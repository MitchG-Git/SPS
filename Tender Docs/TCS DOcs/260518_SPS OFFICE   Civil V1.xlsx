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sZhong\Downloads\sps review\civil\"/>
    </mc:Choice>
  </mc:AlternateContent>
  <xr:revisionPtr revIDLastSave="0" documentId="13_ncr:1_{2F6E7322-3442-478A-BB62-44DEC22FE691}" xr6:coauthVersionLast="47" xr6:coauthVersionMax="47" xr10:uidLastSave="{00000000-0000-0000-0000-000000000000}"/>
  <bookViews>
    <workbookView xWindow="9105" yWindow="3345" windowWidth="23160" windowHeight="13290" activeTab="3" xr2:uid="{165DE662-7D7E-42EF-871F-B48D5074B9DB}"/>
  </bookViews>
  <sheets>
    <sheet name="V1" sheetId="35" r:id="rId1"/>
    <sheet name="Prelim_OH-Check" sheetId="11" r:id="rId2"/>
    <sheet name="SW Zone Sumry" sheetId="46" r:id="rId3"/>
    <sheet name="SW_Mataterial" sheetId="47" r:id="rId4"/>
    <sheet name="SW_Pit Takeoff" sheetId="50" r:id="rId5"/>
    <sheet name="SW_insitu Takeoff" sheetId="48" r:id="rId6"/>
    <sheet name="Program" sheetId="42" r:id="rId7"/>
    <sheet name="Staff Rates" sheetId="17" r:id="rId8"/>
    <sheet name="Equip&amp;HIRE" sheetId="13" r:id="rId9"/>
    <sheet name="Civil Rate  BOQ " sheetId="51" r:id="rId10"/>
  </sheets>
  <externalReferences>
    <externalReference r:id="rId11"/>
  </externalReferences>
  <definedNames>
    <definedName name="aa" localSheetId="1">#REF!</definedName>
    <definedName name="aa" localSheetId="7">#REF!</definedName>
    <definedName name="aa" localSheetId="2">#REF!</definedName>
    <definedName name="aa" localSheetId="5">#REF!</definedName>
    <definedName name="aa" localSheetId="3">#REF!</definedName>
    <definedName name="aa" localSheetId="4">#REF!</definedName>
    <definedName name="aa" localSheetId="0">#REF!</definedName>
    <definedName name="aa">#REF!</definedName>
    <definedName name="bh" localSheetId="5">[1]Preliminaries!$J$1</definedName>
    <definedName name="bh" localSheetId="4">[1]Preliminaries!$J$1</definedName>
    <definedName name="bh">#REF!</definedName>
    <definedName name="Civil4" localSheetId="1">#REF!</definedName>
    <definedName name="Civil4" localSheetId="6">#REF!</definedName>
    <definedName name="Civil4" localSheetId="7">#REF!</definedName>
    <definedName name="Civil4" localSheetId="2">#REF!</definedName>
    <definedName name="Civil4" localSheetId="5">#REF!</definedName>
    <definedName name="Civil4" localSheetId="3">#REF!</definedName>
    <definedName name="Civil4" localSheetId="4">#REF!</definedName>
    <definedName name="Civil4">#REF!</definedName>
    <definedName name="d" localSheetId="1">#REF!</definedName>
    <definedName name="d" localSheetId="7">#REF!</definedName>
    <definedName name="d" localSheetId="2">#REF!</definedName>
    <definedName name="d" localSheetId="5">#REF!</definedName>
    <definedName name="d" localSheetId="3">#REF!</definedName>
    <definedName name="d" localSheetId="4">#REF!</definedName>
    <definedName name="d">#REF!</definedName>
    <definedName name="date" localSheetId="1">#REF!</definedName>
    <definedName name="date" localSheetId="7">#REF!</definedName>
    <definedName name="date" localSheetId="2">#REF!</definedName>
    <definedName name="date" localSheetId="5">#REF!</definedName>
    <definedName name="date" localSheetId="3">#REF!</definedName>
    <definedName name="date" localSheetId="4">#REF!</definedName>
    <definedName name="date" localSheetId="0">#REF!</definedName>
    <definedName name="date">#REF!</definedName>
    <definedName name="daz" localSheetId="1">#REF!</definedName>
    <definedName name="daz" localSheetId="7">#REF!</definedName>
    <definedName name="daz" localSheetId="2">#REF!</definedName>
    <definedName name="daz">#REF!</definedName>
    <definedName name="ddd" localSheetId="1">#REF!</definedName>
    <definedName name="ddd" localSheetId="7">#REF!</definedName>
    <definedName name="ddd" localSheetId="2">#REF!</definedName>
    <definedName name="ddd">#REF!</definedName>
    <definedName name="for" localSheetId="1">#REF!</definedName>
    <definedName name="for" localSheetId="7">#REF!</definedName>
    <definedName name="for" localSheetId="2">#REF!</definedName>
    <definedName name="for" localSheetId="0">#REF!</definedName>
    <definedName name="for">#REF!</definedName>
    <definedName name="job" localSheetId="1">#REF!</definedName>
    <definedName name="job" localSheetId="7">#REF!</definedName>
    <definedName name="job" localSheetId="2">#REF!</definedName>
    <definedName name="job" localSheetId="0">#REF!</definedName>
    <definedName name="job">#REF!</definedName>
    <definedName name="No" localSheetId="1">#REF!</definedName>
    <definedName name="No" localSheetId="7">#REF!</definedName>
    <definedName name="No" localSheetId="2">#REF!</definedName>
    <definedName name="No" localSheetId="0">#REF!</definedName>
    <definedName name="No">#REF!</definedName>
    <definedName name="_xlnm.Print_Area" localSheetId="6">Program!$A$1:$CB$75</definedName>
    <definedName name="_xlnm.Print_Area" localSheetId="4">'SW_Pit Takeoff'!$J$66:$R$98</definedName>
    <definedName name="_xlnm.Print_Area" localSheetId="0">'V1'!$B$1:$K$20</definedName>
    <definedName name="_xlnm.Print_Titles" localSheetId="6">Program!$1:$3</definedName>
    <definedName name="qqq" localSheetId="1">#REF!</definedName>
    <definedName name="qqq" localSheetId="6">#REF!</definedName>
    <definedName name="qqq" localSheetId="7">#REF!</definedName>
    <definedName name="qqq" localSheetId="2">#REF!</definedName>
    <definedName name="qqq" localSheetId="5">#REF!</definedName>
    <definedName name="qqq" localSheetId="3">#REF!</definedName>
    <definedName name="qqq" localSheetId="4">#REF!</definedName>
    <definedName name="qqq">#REF!</definedName>
    <definedName name="Rep_List">#REF!</definedName>
    <definedName name="site" localSheetId="1">#REF!</definedName>
    <definedName name="site" localSheetId="7">#REF!</definedName>
    <definedName name="site" localSheetId="2">#REF!</definedName>
    <definedName name="site" localSheetId="5">#REF!</definedName>
    <definedName name="site" localSheetId="4">#REF!</definedName>
    <definedName name="site" localSheetId="0">#REF!</definedName>
    <definedName name="site">#REF!</definedName>
    <definedName name="site1" localSheetId="1">#REF!</definedName>
    <definedName name="site1" localSheetId="7">#REF!</definedName>
    <definedName name="site1" localSheetId="2">#REF!</definedName>
    <definedName name="site1" localSheetId="5">#REF!</definedName>
    <definedName name="site1" localSheetId="4">#REF!</definedName>
    <definedName name="site1">#REF!</definedName>
    <definedName name="site2" localSheetId="1">#REF!</definedName>
    <definedName name="site2" localSheetId="7">#REF!</definedName>
    <definedName name="site2" localSheetId="2">#REF!</definedName>
    <definedName name="site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3" i="47" l="1"/>
  <c r="F225" i="47"/>
  <c r="F154" i="47"/>
  <c r="F221" i="47"/>
  <c r="F222" i="47"/>
  <c r="F220" i="47"/>
  <c r="F84" i="47"/>
  <c r="C239" i="47"/>
  <c r="L85" i="50"/>
  <c r="L84" i="50"/>
  <c r="L83" i="50"/>
  <c r="L82" i="50"/>
  <c r="L80" i="50"/>
  <c r="L79" i="50"/>
  <c r="L78" i="50"/>
  <c r="AE29" i="50"/>
  <c r="AE28" i="50"/>
  <c r="M47" i="50"/>
  <c r="T47" i="50" s="1"/>
  <c r="M43" i="50"/>
  <c r="T43" i="50" s="1"/>
  <c r="J44" i="50"/>
  <c r="M42" i="50"/>
  <c r="M41" i="50"/>
  <c r="M40" i="50"/>
  <c r="AC30" i="50"/>
  <c r="J39" i="50"/>
  <c r="J37" i="50"/>
  <c r="M37" i="50" s="1"/>
  <c r="T37" i="50" s="1"/>
  <c r="J34" i="50"/>
  <c r="J30" i="50"/>
  <c r="M30" i="50" s="1"/>
  <c r="T30" i="50" s="1"/>
  <c r="M39" i="50" l="1"/>
  <c r="T39" i="50" s="1"/>
  <c r="F165" i="47"/>
  <c r="F166" i="47"/>
  <c r="F167" i="47"/>
  <c r="F168" i="47"/>
  <c r="F169" i="47"/>
  <c r="F170" i="47"/>
  <c r="F171" i="47"/>
  <c r="F155" i="47"/>
  <c r="F101" i="47"/>
  <c r="F102" i="47"/>
  <c r="F96" i="47"/>
  <c r="F95" i="47"/>
  <c r="F97" i="47"/>
  <c r="F98" i="47"/>
  <c r="F99" i="47"/>
  <c r="F94" i="47"/>
  <c r="J45" i="50"/>
  <c r="M45" i="50" s="1"/>
  <c r="T45" i="50" s="1"/>
  <c r="M44" i="50"/>
  <c r="T44" i="50" s="1"/>
  <c r="T42" i="50"/>
  <c r="T41" i="50"/>
  <c r="T40" i="50"/>
  <c r="J38" i="50"/>
  <c r="J36" i="50"/>
  <c r="M36" i="50" s="1"/>
  <c r="T36" i="50" s="1"/>
  <c r="J35" i="50"/>
  <c r="M35" i="50" s="1"/>
  <c r="T35" i="50" s="1"/>
  <c r="J33" i="50"/>
  <c r="M33" i="50" s="1"/>
  <c r="T33" i="50" s="1"/>
  <c r="J32" i="50"/>
  <c r="M32" i="50" s="1"/>
  <c r="T32" i="50" s="1"/>
  <c r="J31" i="50"/>
  <c r="M31" i="50" s="1"/>
  <c r="T31" i="50" s="1"/>
  <c r="M38" i="50" l="1"/>
  <c r="T38" i="50" s="1"/>
  <c r="J29" i="50"/>
  <c r="M29" i="50" s="1"/>
  <c r="T29" i="50" s="1"/>
  <c r="J28" i="50"/>
  <c r="M28" i="50" s="1"/>
  <c r="F9" i="47"/>
  <c r="F10" i="47"/>
  <c r="F11" i="47"/>
  <c r="E262" i="47"/>
  <c r="F48" i="46"/>
  <c r="F47" i="46"/>
  <c r="F46" i="46"/>
  <c r="F44" i="46"/>
  <c r="F20" i="47"/>
  <c r="I196" i="47"/>
  <c r="F158" i="47" l="1"/>
  <c r="F160" i="47"/>
  <c r="F156" i="47"/>
  <c r="F123" i="47"/>
  <c r="F122" i="47"/>
  <c r="E8" i="47"/>
  <c r="F8" i="47" s="1"/>
  <c r="E12" i="47"/>
  <c r="F12" i="47" s="1"/>
  <c r="E13" i="47"/>
  <c r="F13" i="47" s="1"/>
  <c r="E34" i="47"/>
  <c r="AW29" i="50"/>
  <c r="AW28" i="50"/>
  <c r="H4" i="48"/>
  <c r="H27" i="48" s="1"/>
  <c r="AE47" i="50"/>
  <c r="AE46" i="50"/>
  <c r="AE45" i="50"/>
  <c r="AE44" i="50"/>
  <c r="AE42" i="50"/>
  <c r="AE43" i="50"/>
  <c r="AE41" i="50"/>
  <c r="AE39" i="50"/>
  <c r="AE38" i="50"/>
  <c r="AE37" i="50"/>
  <c r="AE36" i="50"/>
  <c r="AE35" i="50"/>
  <c r="AE34" i="50"/>
  <c r="AE33" i="50"/>
  <c r="AE32" i="50"/>
  <c r="AE31" i="50"/>
  <c r="AE30" i="50"/>
  <c r="M46" i="50"/>
  <c r="T46" i="50" s="1"/>
  <c r="F163" i="47"/>
  <c r="F121" i="47"/>
  <c r="M34" i="50"/>
  <c r="T34" i="50" s="1"/>
  <c r="E23" i="17"/>
  <c r="E17" i="17"/>
  <c r="F59" i="46" l="1"/>
  <c r="F43" i="46"/>
  <c r="J27" i="48" l="1"/>
  <c r="K5" i="48"/>
  <c r="F191" i="47" l="1"/>
  <c r="F190" i="47"/>
  <c r="F188" i="47"/>
  <c r="F162" i="47"/>
  <c r="F147" i="47"/>
  <c r="F146" i="47"/>
  <c r="F140" i="47"/>
  <c r="F142" i="47"/>
  <c r="F14" i="47"/>
  <c r="F15" i="47"/>
  <c r="AD29" i="50" l="1"/>
  <c r="I268" i="47" l="1"/>
  <c r="K268" i="47" s="1"/>
  <c r="E149" i="47" l="1"/>
  <c r="F149" i="47" s="1"/>
  <c r="E148" i="47"/>
  <c r="O452" i="51"/>
  <c r="O453" i="51"/>
  <c r="O454" i="51"/>
  <c r="O455" i="51"/>
  <c r="O456" i="51"/>
  <c r="O457" i="51"/>
  <c r="O458" i="51"/>
  <c r="O459" i="51"/>
  <c r="O460" i="51"/>
  <c r="O461" i="51"/>
  <c r="O451" i="51"/>
  <c r="O446" i="51"/>
  <c r="O447" i="51"/>
  <c r="O448" i="51"/>
  <c r="O445" i="51"/>
  <c r="O441" i="51"/>
  <c r="O442" i="51"/>
  <c r="O440" i="51"/>
  <c r="O378" i="51"/>
  <c r="O379" i="51"/>
  <c r="O380" i="51"/>
  <c r="O381" i="51"/>
  <c r="O382" i="51"/>
  <c r="O383" i="51"/>
  <c r="O384" i="51"/>
  <c r="O385" i="51"/>
  <c r="O350" i="51"/>
  <c r="O347" i="51"/>
  <c r="F148" i="47" l="1"/>
  <c r="O348" i="51" l="1"/>
  <c r="O349" i="51"/>
  <c r="O345" i="51"/>
  <c r="O346" i="51"/>
  <c r="F117" i="47"/>
  <c r="F116" i="47"/>
  <c r="F120" i="47"/>
  <c r="F119" i="47"/>
  <c r="F118" i="47"/>
  <c r="F103" i="47" l="1"/>
  <c r="O344" i="51" l="1"/>
  <c r="AJ54" i="50"/>
  <c r="R70" i="50" s="1"/>
  <c r="AI54" i="50"/>
  <c r="Q70" i="50" s="1"/>
  <c r="AH54" i="50"/>
  <c r="AG54" i="50"/>
  <c r="BA53" i="50"/>
  <c r="AZ53" i="50"/>
  <c r="AY53" i="50"/>
  <c r="AX53" i="50"/>
  <c r="AW53" i="50"/>
  <c r="AJ53" i="50"/>
  <c r="R69" i="50" s="1"/>
  <c r="AI53" i="50"/>
  <c r="Q69" i="50" s="1"/>
  <c r="AH53" i="50"/>
  <c r="AG53" i="50"/>
  <c r="AJ52" i="50"/>
  <c r="AI52" i="50"/>
  <c r="AH52" i="50"/>
  <c r="AG52" i="50"/>
  <c r="AK47" i="50"/>
  <c r="AK46" i="50"/>
  <c r="AK45" i="50"/>
  <c r="AK44" i="50"/>
  <c r="AK43" i="50"/>
  <c r="AK42" i="50"/>
  <c r="AK41" i="50"/>
  <c r="AE40" i="50"/>
  <c r="AK40" i="50" s="1"/>
  <c r="AK39" i="50"/>
  <c r="AV35" i="50"/>
  <c r="AK35" i="50"/>
  <c r="AV34" i="50"/>
  <c r="AV33" i="50"/>
  <c r="AK33" i="50"/>
  <c r="AV32" i="50"/>
  <c r="AK32" i="50"/>
  <c r="AV31" i="50"/>
  <c r="AK31" i="50"/>
  <c r="AW30" i="50"/>
  <c r="BB30" i="50" s="1"/>
  <c r="AK30" i="50"/>
  <c r="BB29" i="50"/>
  <c r="AV29" i="50"/>
  <c r="AK29" i="50"/>
  <c r="BB28" i="50"/>
  <c r="F159" i="47"/>
  <c r="F161" i="47"/>
  <c r="F157" i="47"/>
  <c r="AV30" i="50" l="1"/>
  <c r="AK37" i="50"/>
  <c r="AK38" i="50"/>
  <c r="AK34" i="50"/>
  <c r="AK36" i="50"/>
  <c r="AK28" i="50"/>
  <c r="T28" i="50"/>
  <c r="Q73" i="50"/>
  <c r="R73" i="50"/>
  <c r="AV28" i="50"/>
  <c r="AW31" i="50"/>
  <c r="BB31" i="50" s="1"/>
  <c r="F30" i="47"/>
  <c r="O547" i="51"/>
  <c r="O545" i="51"/>
  <c r="O544" i="51"/>
  <c r="O305" i="51"/>
  <c r="O210" i="51"/>
  <c r="O212" i="51"/>
  <c r="O946" i="51" l="1"/>
  <c r="O945" i="51"/>
  <c r="O944" i="51"/>
  <c r="O934" i="51"/>
  <c r="O931" i="51"/>
  <c r="O930" i="51"/>
  <c r="O929" i="51"/>
  <c r="O920" i="51"/>
  <c r="O919" i="51"/>
  <c r="O918" i="51"/>
  <c r="O917" i="51"/>
  <c r="O915" i="51"/>
  <c r="O907" i="51"/>
  <c r="O900" i="51"/>
  <c r="O899" i="51"/>
  <c r="O892" i="51"/>
  <c r="O891" i="51"/>
  <c r="O883" i="51"/>
  <c r="O882" i="51"/>
  <c r="O881" i="51"/>
  <c r="O880" i="51"/>
  <c r="O408" i="51"/>
  <c r="O75" i="51"/>
  <c r="O309" i="51"/>
  <c r="O265" i="51"/>
  <c r="O264" i="51"/>
  <c r="O74" i="51"/>
  <c r="O113" i="51"/>
  <c r="O660" i="51"/>
  <c r="O658" i="51"/>
  <c r="O659" i="51"/>
  <c r="O657" i="51"/>
  <c r="O619" i="51"/>
  <c r="O593" i="51"/>
  <c r="O571" i="51"/>
  <c r="O542" i="51"/>
  <c r="O541" i="51"/>
  <c r="O540" i="51"/>
  <c r="O405" i="51"/>
  <c r="O406" i="51"/>
  <c r="O407" i="51"/>
  <c r="O404" i="51"/>
  <c r="O403" i="51"/>
  <c r="O401" i="51"/>
  <c r="O394" i="51"/>
  <c r="O343" i="51"/>
  <c r="O341" i="51"/>
  <c r="O263" i="51"/>
  <c r="O262" i="51"/>
  <c r="O261" i="51"/>
  <c r="O112" i="51"/>
  <c r="O111" i="51"/>
  <c r="O110" i="51"/>
  <c r="O109" i="51"/>
  <c r="O73" i="51"/>
  <c r="O72" i="51"/>
  <c r="O33" i="51"/>
  <c r="O950" i="51" l="1"/>
  <c r="L22" i="51" s="1"/>
  <c r="O611" i="51" l="1"/>
  <c r="O568" i="51"/>
  <c r="O569" i="51"/>
  <c r="O570" i="51"/>
  <c r="O477" i="51"/>
  <c r="O478" i="51"/>
  <c r="O479" i="51"/>
  <c r="O866" i="51" l="1"/>
  <c r="O861" i="51"/>
  <c r="O860" i="51"/>
  <c r="O856" i="51"/>
  <c r="O851" i="51"/>
  <c r="O850" i="51"/>
  <c r="O849" i="51"/>
  <c r="O841" i="51"/>
  <c r="O840" i="51"/>
  <c r="O820" i="51"/>
  <c r="O816" i="51"/>
  <c r="O804" i="51"/>
  <c r="O800" i="51"/>
  <c r="O795" i="51"/>
  <c r="O790" i="51"/>
  <c r="O786" i="51"/>
  <c r="O781" i="51"/>
  <c r="O775" i="51"/>
  <c r="O770" i="51"/>
  <c r="O767" i="51"/>
  <c r="O762" i="51"/>
  <c r="O752" i="51"/>
  <c r="O751" i="51"/>
  <c r="O743" i="51"/>
  <c r="O738" i="51"/>
  <c r="O733" i="51"/>
  <c r="O728" i="51"/>
  <c r="O724" i="51"/>
  <c r="O717" i="51"/>
  <c r="O713" i="51"/>
  <c r="O712" i="51"/>
  <c r="O674" i="51"/>
  <c r="O663" i="51"/>
  <c r="O655" i="51"/>
  <c r="O654" i="51"/>
  <c r="O643" i="51"/>
  <c r="O636" i="51"/>
  <c r="O631" i="51"/>
  <c r="O628" i="51"/>
  <c r="O627" i="51"/>
  <c r="O626" i="51"/>
  <c r="O616" i="51"/>
  <c r="O610" i="51"/>
  <c r="O609" i="51"/>
  <c r="O608" i="51"/>
  <c r="O599" i="51"/>
  <c r="O598" i="51"/>
  <c r="O590" i="51"/>
  <c r="O589" i="51"/>
  <c r="O588" i="51"/>
  <c r="O587" i="51"/>
  <c r="O586" i="51"/>
  <c r="O577" i="51"/>
  <c r="O576" i="51"/>
  <c r="O567" i="51"/>
  <c r="O566" i="51"/>
  <c r="O565" i="51"/>
  <c r="O564" i="51"/>
  <c r="O530" i="51"/>
  <c r="O527" i="51"/>
  <c r="O526" i="51"/>
  <c r="O525" i="51"/>
  <c r="O516" i="51"/>
  <c r="O515" i="51"/>
  <c r="O514" i="51"/>
  <c r="O513" i="51"/>
  <c r="O511" i="51"/>
  <c r="O503" i="51"/>
  <c r="O496" i="51"/>
  <c r="O495" i="51"/>
  <c r="O488" i="51"/>
  <c r="O487" i="51"/>
  <c r="O476" i="51"/>
  <c r="O438" i="51"/>
  <c r="O437" i="51"/>
  <c r="O429" i="51"/>
  <c r="O423" i="51"/>
  <c r="O422" i="51"/>
  <c r="O421" i="51"/>
  <c r="O420" i="51"/>
  <c r="O419" i="51"/>
  <c r="O418" i="51"/>
  <c r="O417" i="51"/>
  <c r="O416" i="51"/>
  <c r="O415" i="51"/>
  <c r="O410" i="51"/>
  <c r="O400" i="51"/>
  <c r="O399" i="51"/>
  <c r="O392" i="51"/>
  <c r="O391" i="51"/>
  <c r="O388" i="51"/>
  <c r="O377" i="51"/>
  <c r="O376" i="51"/>
  <c r="O375" i="51"/>
  <c r="O369" i="51"/>
  <c r="O363" i="51"/>
  <c r="O362" i="51"/>
  <c r="O356" i="51"/>
  <c r="O342" i="51"/>
  <c r="O336" i="51"/>
  <c r="O335" i="51"/>
  <c r="O317" i="51"/>
  <c r="O314" i="51"/>
  <c r="O308" i="51"/>
  <c r="O303" i="51"/>
  <c r="O302" i="51"/>
  <c r="O301" i="51"/>
  <c r="O300" i="51"/>
  <c r="O295" i="51"/>
  <c r="O292" i="51"/>
  <c r="O285" i="51"/>
  <c r="O282" i="51"/>
  <c r="O280" i="51"/>
  <c r="O272" i="51"/>
  <c r="O270" i="51"/>
  <c r="O258" i="51"/>
  <c r="O256" i="51"/>
  <c r="O249" i="51"/>
  <c r="O248" i="51"/>
  <c r="O240" i="51"/>
  <c r="O238" i="51"/>
  <c r="O237" i="51"/>
  <c r="O231" i="51"/>
  <c r="O227" i="51"/>
  <c r="O224" i="51"/>
  <c r="O181" i="51"/>
  <c r="O179" i="51"/>
  <c r="O177" i="51"/>
  <c r="O158" i="51"/>
  <c r="O156" i="51"/>
  <c r="O139" i="51"/>
  <c r="O137" i="51"/>
  <c r="O127" i="51"/>
  <c r="O119" i="51"/>
  <c r="O115" i="51"/>
  <c r="O104" i="51"/>
  <c r="O101" i="51"/>
  <c r="O98" i="51"/>
  <c r="O96" i="51"/>
  <c r="O69" i="51"/>
  <c r="O59" i="51"/>
  <c r="O52" i="51"/>
  <c r="O47" i="51"/>
  <c r="O43" i="51"/>
  <c r="O38" i="51"/>
  <c r="O35" i="51"/>
  <c r="O32" i="51"/>
  <c r="O463" i="51" l="1"/>
  <c r="O679" i="51"/>
  <c r="L19" i="51" s="1"/>
  <c r="O79" i="51"/>
  <c r="L14" i="51" s="1"/>
  <c r="O829" i="51"/>
  <c r="L20" i="51" s="1"/>
  <c r="O869" i="51"/>
  <c r="O550" i="51"/>
  <c r="L18" i="51" s="1"/>
  <c r="O322" i="51"/>
  <c r="L16" i="51" s="1"/>
  <c r="O218" i="51"/>
  <c r="L15" i="51" s="1"/>
  <c r="O870" i="51" l="1"/>
  <c r="L21" i="51"/>
  <c r="F186" i="47" l="1"/>
  <c r="F183" i="47"/>
  <c r="F184" i="47"/>
  <c r="F187" i="47"/>
  <c r="F185" i="47"/>
  <c r="F164" i="47" l="1"/>
  <c r="F125" i="47"/>
  <c r="F126" i="47"/>
  <c r="F127" i="47"/>
  <c r="F128" i="47"/>
  <c r="F129" i="47"/>
  <c r="F130" i="47"/>
  <c r="F131" i="47"/>
  <c r="F132" i="47"/>
  <c r="F124" i="47"/>
  <c r="F104" i="47"/>
  <c r="F105" i="47"/>
  <c r="F106" i="47"/>
  <c r="F108" i="47"/>
  <c r="F109" i="47"/>
  <c r="F110" i="47"/>
  <c r="F112" i="47"/>
  <c r="F113" i="47"/>
  <c r="F100" i="47"/>
  <c r="F143" i="47" l="1"/>
  <c r="F144" i="47"/>
  <c r="F145" i="47"/>
  <c r="F151" i="47"/>
  <c r="F152" i="47"/>
  <c r="F153" i="47"/>
  <c r="F141" i="47"/>
  <c r="F136" i="47"/>
  <c r="F137" i="47"/>
  <c r="F138" i="47"/>
  <c r="F139" i="47"/>
  <c r="F19" i="47" l="1"/>
  <c r="F21" i="47"/>
  <c r="F22" i="47"/>
  <c r="F23" i="47"/>
  <c r="F24" i="47"/>
  <c r="F25" i="47"/>
  <c r="F26" i="47"/>
  <c r="F27" i="47"/>
  <c r="F182" i="47" l="1"/>
  <c r="F192" i="47"/>
  <c r="F193" i="47"/>
  <c r="F194" i="47"/>
  <c r="F181" i="47" l="1"/>
  <c r="F180" i="47"/>
  <c r="W9" i="35" l="1"/>
  <c r="Z9" i="35"/>
  <c r="F42" i="46" l="1"/>
  <c r="F41" i="46"/>
  <c r="E13" i="46" l="1"/>
  <c r="K4" i="48"/>
  <c r="K6" i="48"/>
  <c r="K7" i="48"/>
  <c r="L24" i="48" l="1"/>
  <c r="F219" i="47" l="1"/>
  <c r="F218" i="47"/>
  <c r="F217" i="47"/>
  <c r="F216" i="47"/>
  <c r="F215" i="47"/>
  <c r="F214" i="47"/>
  <c r="F213" i="47"/>
  <c r="F212" i="47"/>
  <c r="F211" i="47"/>
  <c r="F210" i="47"/>
  <c r="F209" i="47"/>
  <c r="F208" i="47"/>
  <c r="F207" i="47"/>
  <c r="F206" i="47"/>
  <c r="F205" i="47"/>
  <c r="F204" i="47"/>
  <c r="F203" i="47"/>
  <c r="F202" i="47"/>
  <c r="F201" i="47"/>
  <c r="F200" i="47"/>
  <c r="F199" i="47"/>
  <c r="F198" i="47"/>
  <c r="F197" i="47"/>
  <c r="F196" i="47"/>
  <c r="F195" i="47"/>
  <c r="I276" i="47" l="1"/>
  <c r="E276" i="47"/>
  <c r="I275" i="47"/>
  <c r="E275" i="47"/>
  <c r="F275" i="47" s="1"/>
  <c r="I274" i="47"/>
  <c r="E274" i="47"/>
  <c r="F274" i="47" s="1"/>
  <c r="E273" i="47"/>
  <c r="F273" i="47" s="1"/>
  <c r="E272" i="47"/>
  <c r="F272" i="47" s="1"/>
  <c r="E271" i="47"/>
  <c r="F271" i="47" s="1"/>
  <c r="E270" i="47"/>
  <c r="F270" i="47" s="1"/>
  <c r="E269" i="47"/>
  <c r="F269" i="47" s="1"/>
  <c r="E268" i="47"/>
  <c r="F268" i="47" s="1"/>
  <c r="G262" i="47"/>
  <c r="G253" i="47"/>
  <c r="D253" i="47"/>
  <c r="C253" i="47"/>
  <c r="G252" i="47"/>
  <c r="D252" i="47"/>
  <c r="C252" i="47"/>
  <c r="G251" i="47"/>
  <c r="D251" i="47"/>
  <c r="G250" i="47"/>
  <c r="D250" i="47"/>
  <c r="E249" i="47"/>
  <c r="H249" i="47" s="1"/>
  <c r="B249" i="47"/>
  <c r="G248" i="47"/>
  <c r="B248" i="47"/>
  <c r="F91" i="47"/>
  <c r="F90" i="47"/>
  <c r="F89" i="47"/>
  <c r="F88" i="47"/>
  <c r="F87" i="47"/>
  <c r="F86" i="47"/>
  <c r="F85" i="47"/>
  <c r="F83" i="47"/>
  <c r="F82" i="47"/>
  <c r="F81" i="47"/>
  <c r="F80" i="47"/>
  <c r="F79" i="47"/>
  <c r="F78" i="47"/>
  <c r="F77" i="47"/>
  <c r="F76" i="47"/>
  <c r="F75" i="47"/>
  <c r="F74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39" i="47"/>
  <c r="F38" i="47"/>
  <c r="F37" i="47"/>
  <c r="F36" i="47"/>
  <c r="F35" i="47"/>
  <c r="F34" i="47"/>
  <c r="F33" i="47"/>
  <c r="F32" i="47"/>
  <c r="F31" i="47"/>
  <c r="F7" i="47"/>
  <c r="F64" i="46"/>
  <c r="F58" i="46"/>
  <c r="F50" i="46"/>
  <c r="F40" i="46"/>
  <c r="F39" i="46"/>
  <c r="F38" i="46"/>
  <c r="F37" i="46"/>
  <c r="F36" i="46"/>
  <c r="F35" i="46"/>
  <c r="F34" i="46"/>
  <c r="F33" i="46"/>
  <c r="F32" i="46"/>
  <c r="F31" i="46"/>
  <c r="F30" i="46"/>
  <c r="F26" i="46"/>
  <c r="F25" i="46"/>
  <c r="F24" i="46"/>
  <c r="F23" i="46"/>
  <c r="F22" i="46"/>
  <c r="F13" i="46"/>
  <c r="F227" i="47" l="1"/>
  <c r="H262" i="47"/>
  <c r="E57" i="46" s="1"/>
  <c r="F57" i="46" s="1"/>
  <c r="H30" i="46"/>
  <c r="L275" i="47"/>
  <c r="L270" i="47"/>
  <c r="E253" i="47"/>
  <c r="K272" i="47"/>
  <c r="L272" i="47" s="1"/>
  <c r="N272" i="47" s="1"/>
  <c r="C235" i="47"/>
  <c r="L274" i="47"/>
  <c r="L268" i="47"/>
  <c r="N268" i="47" s="1"/>
  <c r="E56" i="46" s="1"/>
  <c r="F56" i="46" s="1"/>
  <c r="E242" i="47"/>
  <c r="E243" i="47"/>
  <c r="E244" i="47"/>
  <c r="L271" i="47"/>
  <c r="L276" i="47"/>
  <c r="E251" i="47"/>
  <c r="I251" i="47" s="1"/>
  <c r="E248" i="47"/>
  <c r="F276" i="47"/>
  <c r="J253" i="47" l="1"/>
  <c r="M272" i="47"/>
  <c r="O268" i="47"/>
  <c r="M268" i="47"/>
  <c r="E252" i="47"/>
  <c r="H248" i="47"/>
  <c r="H255" i="47" s="1"/>
  <c r="E250" i="47"/>
  <c r="I250" i="47" s="1"/>
  <c r="I255" i="47" s="1"/>
  <c r="Q272" i="47"/>
  <c r="P272" i="47"/>
  <c r="E55" i="46" l="1"/>
  <c r="F55" i="46" s="1"/>
  <c r="F229" i="47"/>
  <c r="J252" i="47"/>
  <c r="J255" i="47" s="1"/>
  <c r="K255" i="47" s="1"/>
  <c r="M255" i="47" s="1"/>
  <c r="C53" i="42" l="1"/>
  <c r="C52" i="42"/>
  <c r="C47" i="42"/>
  <c r="C43" i="42"/>
  <c r="C48" i="42"/>
  <c r="DR41" i="42"/>
  <c r="DQ41" i="42"/>
  <c r="DP41" i="42"/>
  <c r="DO41" i="42"/>
  <c r="DN41" i="42"/>
  <c r="DM41" i="42"/>
  <c r="DL41" i="42"/>
  <c r="DK41" i="42"/>
  <c r="DJ41" i="42"/>
  <c r="DI41" i="42"/>
  <c r="DH41" i="42"/>
  <c r="DG41" i="42"/>
  <c r="DF41" i="42"/>
  <c r="DE41" i="42"/>
  <c r="DD41" i="42"/>
  <c r="DC41" i="42"/>
  <c r="DB41" i="42"/>
  <c r="DA41" i="42"/>
  <c r="CZ41" i="42"/>
  <c r="CY41" i="42"/>
  <c r="CX41" i="42"/>
  <c r="CW41" i="42"/>
  <c r="CV41" i="42"/>
  <c r="CU41" i="42"/>
  <c r="CT41" i="42"/>
  <c r="CS41" i="42"/>
  <c r="CR41" i="42"/>
  <c r="CQ41" i="42"/>
  <c r="CP41" i="42"/>
  <c r="CO41" i="42"/>
  <c r="CN41" i="42"/>
  <c r="CM41" i="42"/>
  <c r="CL41" i="42"/>
  <c r="CK41" i="42"/>
  <c r="CJ41" i="42"/>
  <c r="CI41" i="42"/>
  <c r="CH41" i="42"/>
  <c r="CG41" i="42"/>
  <c r="CF41" i="42"/>
  <c r="CE41" i="42"/>
  <c r="CD41" i="42"/>
  <c r="CC41" i="42"/>
  <c r="CB41" i="42"/>
  <c r="CA41" i="42"/>
  <c r="BZ41" i="42"/>
  <c r="BY41" i="42"/>
  <c r="BX41" i="42"/>
  <c r="BW41" i="42"/>
  <c r="BV41" i="42"/>
  <c r="BU41" i="42"/>
  <c r="BT41" i="42"/>
  <c r="BS41" i="42"/>
  <c r="BR41" i="42"/>
  <c r="BQ41" i="42"/>
  <c r="BP41" i="42"/>
  <c r="BO41" i="42"/>
  <c r="BN41" i="42"/>
  <c r="BM41" i="42"/>
  <c r="BL41" i="42"/>
  <c r="BK41" i="42"/>
  <c r="BJ41" i="42"/>
  <c r="BI41" i="42"/>
  <c r="BH41" i="42"/>
  <c r="BG41" i="42"/>
  <c r="BF41" i="42"/>
  <c r="BE41" i="42"/>
  <c r="BD41" i="42"/>
  <c r="BC41" i="42"/>
  <c r="BB41" i="42"/>
  <c r="BA41" i="42"/>
  <c r="AZ41" i="42"/>
  <c r="AY41" i="42"/>
  <c r="AX41" i="42"/>
  <c r="AW41" i="42"/>
  <c r="AV41" i="42"/>
  <c r="AU41" i="42"/>
  <c r="AT41" i="42"/>
  <c r="AS41" i="42"/>
  <c r="AR41" i="42"/>
  <c r="AQ41" i="42"/>
  <c r="AP41" i="42"/>
  <c r="AO41" i="42"/>
  <c r="AN41" i="42"/>
  <c r="AM41" i="42"/>
  <c r="AL41" i="42"/>
  <c r="AK41" i="42"/>
  <c r="AJ41" i="42"/>
  <c r="AI41" i="42"/>
  <c r="AH41" i="42"/>
  <c r="AG41" i="42"/>
  <c r="AF41" i="42"/>
  <c r="AE41" i="42"/>
  <c r="AD41" i="42"/>
  <c r="AC41" i="42"/>
  <c r="AB41" i="42"/>
  <c r="AA41" i="42"/>
  <c r="Z41" i="42"/>
  <c r="Y41" i="42"/>
  <c r="X41" i="42"/>
  <c r="W41" i="42"/>
  <c r="V41" i="42"/>
  <c r="U41" i="42"/>
  <c r="T41" i="42"/>
  <c r="S41" i="42"/>
  <c r="R41" i="42"/>
  <c r="Q41" i="42"/>
  <c r="P41" i="42"/>
  <c r="O41" i="42"/>
  <c r="N41" i="42"/>
  <c r="M41" i="42"/>
  <c r="L41" i="42"/>
  <c r="K41" i="42"/>
  <c r="J41" i="42"/>
  <c r="I41" i="42"/>
  <c r="H41" i="42"/>
  <c r="G41" i="42"/>
  <c r="F41" i="42"/>
  <c r="E41" i="42"/>
  <c r="D41" i="42"/>
  <c r="Q29" i="35" l="1"/>
  <c r="T21" i="35"/>
  <c r="J51" i="17" l="1"/>
  <c r="J52" i="17" s="1"/>
  <c r="I51" i="17"/>
  <c r="I52" i="17" s="1"/>
  <c r="I44" i="17"/>
  <c r="I45" i="17" s="1"/>
  <c r="I46" i="17" s="1"/>
  <c r="J44" i="17"/>
  <c r="J45" i="17" s="1"/>
  <c r="J46" i="17" s="1"/>
  <c r="J16" i="17"/>
  <c r="J17" i="17" s="1"/>
  <c r="I16" i="17"/>
  <c r="I17" i="17" s="1"/>
  <c r="H16" i="17"/>
  <c r="H17" i="17" s="1"/>
  <c r="H51" i="17"/>
  <c r="H52" i="17" s="1"/>
  <c r="H53" i="17" s="1"/>
  <c r="H44" i="17"/>
  <c r="H45" i="17" s="1"/>
  <c r="H46" i="17" s="1"/>
  <c r="I53" i="17" l="1"/>
  <c r="I54" i="17"/>
  <c r="J53" i="17"/>
  <c r="J54" i="17"/>
  <c r="I18" i="17"/>
  <c r="I19" i="17"/>
  <c r="J19" i="17"/>
  <c r="J18" i="17"/>
  <c r="H19" i="17"/>
  <c r="H18" i="17"/>
  <c r="H54" i="17"/>
  <c r="J47" i="17"/>
  <c r="I47" i="17"/>
  <c r="H47" i="17"/>
  <c r="E24" i="17" l="1"/>
  <c r="I23" i="17"/>
  <c r="I24" i="17" s="1"/>
  <c r="H23" i="17"/>
  <c r="H24" i="17" s="1"/>
  <c r="J23" i="17"/>
  <c r="J24" i="17" s="1"/>
  <c r="E15" i="46" l="1"/>
  <c r="F15" i="46" s="1"/>
  <c r="E14" i="46"/>
  <c r="F14" i="46" s="1"/>
  <c r="H26" i="17"/>
  <c r="H25" i="17"/>
  <c r="J25" i="17"/>
  <c r="J26" i="17"/>
  <c r="I25" i="17"/>
  <c r="I26" i="17"/>
  <c r="E25" i="17"/>
  <c r="G9" i="17"/>
  <c r="G10" i="17" l="1"/>
  <c r="H9" i="17"/>
  <c r="G11" i="17" l="1"/>
  <c r="H10" i="17"/>
  <c r="G12" i="17" l="1"/>
  <c r="H12" i="17" s="1"/>
  <c r="H11" i="17"/>
  <c r="E45" i="17" l="1"/>
  <c r="E52" i="17"/>
  <c r="E17" i="46" s="1"/>
  <c r="F17" i="46" s="1"/>
  <c r="E37" i="17"/>
  <c r="E30" i="17"/>
  <c r="F23" i="17"/>
  <c r="G23" i="17" s="1"/>
  <c r="G24" i="17" s="1"/>
  <c r="E19" i="17"/>
  <c r="C12" i="17"/>
  <c r="F44" i="17"/>
  <c r="G44" i="17" s="1"/>
  <c r="G45" i="17" s="1"/>
  <c r="E19" i="46" l="1"/>
  <c r="F19" i="46" s="1"/>
  <c r="E18" i="46"/>
  <c r="F18" i="46" s="1"/>
  <c r="B34" i="17"/>
  <c r="B46" i="17"/>
  <c r="G26" i="17"/>
  <c r="G25" i="17"/>
  <c r="E31" i="17"/>
  <c r="J30" i="17"/>
  <c r="J31" i="17" s="1"/>
  <c r="I30" i="17"/>
  <c r="I31" i="17" s="1"/>
  <c r="H30" i="17"/>
  <c r="H31" i="17" s="1"/>
  <c r="E38" i="17"/>
  <c r="I37" i="17"/>
  <c r="I38" i="17" s="1"/>
  <c r="J37" i="17"/>
  <c r="J38" i="17" s="1"/>
  <c r="H37" i="17"/>
  <c r="H38" i="17" s="1"/>
  <c r="G47" i="17"/>
  <c r="G46" i="17"/>
  <c r="E47" i="17"/>
  <c r="E46" i="17"/>
  <c r="F46" i="17" s="1"/>
  <c r="B27" i="17"/>
  <c r="B53" i="17"/>
  <c r="C56" i="17" s="1"/>
  <c r="B39" i="17"/>
  <c r="B32" i="17"/>
  <c r="B40" i="17"/>
  <c r="B25" i="17"/>
  <c r="B33" i="17"/>
  <c r="B41" i="17"/>
  <c r="B26" i="17"/>
  <c r="E53" i="17"/>
  <c r="F53" i="17" s="1"/>
  <c r="E18" i="17"/>
  <c r="F18" i="17" s="1"/>
  <c r="E54" i="17"/>
  <c r="F54" i="17" s="1"/>
  <c r="E33" i="17"/>
  <c r="F33" i="17" s="1"/>
  <c r="F52" i="17"/>
  <c r="E13" i="11"/>
  <c r="F17" i="17"/>
  <c r="F30" i="17"/>
  <c r="G30" i="17" s="1"/>
  <c r="G31" i="17" s="1"/>
  <c r="F16" i="17"/>
  <c r="G16" i="17" s="1"/>
  <c r="G17" i="17" s="1"/>
  <c r="F19" i="17"/>
  <c r="B18" i="17"/>
  <c r="C21" i="17" s="1"/>
  <c r="F45" i="17"/>
  <c r="F51" i="17"/>
  <c r="G51" i="17" s="1"/>
  <c r="G52" i="17" s="1"/>
  <c r="C49" i="17"/>
  <c r="E32" i="17" l="1"/>
  <c r="F32" i="17" s="1"/>
  <c r="E16" i="46"/>
  <c r="F16" i="46" s="1"/>
  <c r="F70" i="46" s="1"/>
  <c r="G53" i="17"/>
  <c r="G54" i="17"/>
  <c r="F31" i="17"/>
  <c r="G33" i="17"/>
  <c r="G32" i="17"/>
  <c r="H32" i="17"/>
  <c r="H33" i="17"/>
  <c r="I32" i="17"/>
  <c r="I33" i="17"/>
  <c r="E40" i="17"/>
  <c r="F40" i="17" s="1"/>
  <c r="J33" i="17"/>
  <c r="J32" i="17"/>
  <c r="H39" i="17"/>
  <c r="H40" i="17"/>
  <c r="J39" i="17"/>
  <c r="J40" i="17"/>
  <c r="E39" i="17"/>
  <c r="F39" i="17" s="1"/>
  <c r="I39" i="17"/>
  <c r="I40" i="17"/>
  <c r="G19" i="17"/>
  <c r="G18" i="17"/>
  <c r="C35" i="17"/>
  <c r="C42" i="17"/>
  <c r="C28" i="17"/>
  <c r="F25" i="17"/>
  <c r="F24" i="17"/>
  <c r="E26" i="17"/>
  <c r="F26" i="17" s="1"/>
  <c r="F38" i="17"/>
  <c r="F37" i="17"/>
  <c r="G37" i="17" s="1"/>
  <c r="G38" i="17" s="1"/>
  <c r="F47" i="17"/>
  <c r="H11" i="46" l="1"/>
  <c r="R13" i="35"/>
  <c r="G39" i="17"/>
  <c r="G40" i="17"/>
  <c r="F47" i="11"/>
  <c r="F30" i="11"/>
  <c r="F31" i="11"/>
  <c r="F32" i="11"/>
  <c r="F33" i="11"/>
  <c r="F34" i="11"/>
  <c r="F35" i="11"/>
  <c r="F36" i="11"/>
  <c r="F37" i="11"/>
  <c r="F38" i="11"/>
  <c r="F39" i="11"/>
  <c r="F29" i="11"/>
  <c r="F22" i="11"/>
  <c r="F23" i="11"/>
  <c r="F24" i="11"/>
  <c r="F25" i="11"/>
  <c r="F21" i="11"/>
  <c r="F13" i="11"/>
  <c r="F14" i="11"/>
  <c r="F15" i="11"/>
  <c r="F16" i="11"/>
  <c r="R17" i="35" l="1"/>
  <c r="R20" i="35" s="1"/>
  <c r="F53" i="11"/>
  <c r="F42" i="11"/>
  <c r="T20" i="35" s="1"/>
  <c r="R21" i="35" l="1"/>
  <c r="E46" i="13"/>
  <c r="E45" i="13"/>
  <c r="E44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29" i="13"/>
  <c r="E28" i="13"/>
  <c r="E27" i="13"/>
  <c r="E26" i="13"/>
  <c r="E25" i="13"/>
  <c r="E24" i="13"/>
  <c r="E23" i="13"/>
  <c r="E21" i="13"/>
  <c r="E20" i="13"/>
  <c r="E17" i="13"/>
  <c r="E11" i="13"/>
  <c r="E10" i="13"/>
  <c r="E9" i="13"/>
  <c r="E8" i="13"/>
  <c r="E5" i="13"/>
  <c r="R23" i="35" l="1"/>
  <c r="R26" i="35" s="1"/>
  <c r="R31" i="35" s="1"/>
  <c r="R27" i="35" l="1"/>
  <c r="S13" i="35" l="1"/>
  <c r="K13" i="35" s="1"/>
  <c r="K20" i="35" s="1"/>
  <c r="S17" i="35" l="1"/>
  <c r="L17" i="51"/>
  <c r="L24" i="51" s="1"/>
  <c r="Q25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tc={99B5E81F-1162-47B0-98B1-F6CA3CBD435B}</author>
    <author>tc={0683597D-E000-4086-8C1D-6235612DEEC4}</author>
    <author>tc={27361731-BAF0-4D95-ACF2-11C3AD5C4062}</author>
  </authors>
  <commentList>
    <comment ref="E14" authorId="0" shapeId="0" xr:uid="{99B5E81F-1162-47B0-98B1-F6CA3CBD435B}">
      <text>
        <t>[Threaded comment]
Your version of Excel allows you to read this threaded comment; however, any edits to it will get removed if the file is opened in a newer version of Excel. Learn more: https://go.microsoft.com/fwlink/?linkid=870924
Comment:
    Allow for Class 4</t>
      </text>
    </comment>
    <comment ref="E15" authorId="1" shapeId="0" xr:uid="{0683597D-E000-4086-8C1D-6235612DEEC4}">
      <text>
        <t>[Threaded comment]
Your version of Excel allows you to read this threaded comment; however, any edits to it will get removed if the file is opened in a newer version of Excel. Learn more: https://go.microsoft.com/fwlink/?linkid=870924
Comment:
    Allow for Class 4</t>
      </text>
    </comment>
    <comment ref="C191" authorId="2" shapeId="0" xr:uid="{27361731-BAF0-4D95-ACF2-11C3AD5C40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Concrete head wall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tc={7687B65D-6F2E-4B9E-B6DE-844709B7528E}</author>
  </authors>
  <commentList>
    <comment ref="L210" authorId="0" shapeId="0" xr:uid="{7687B65D-6F2E-4B9E-B6DE-844709B752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 it too high for retaining wall as .82 height max )
</t>
      </text>
    </comment>
  </commentList>
</comments>
</file>

<file path=xl/sharedStrings.xml><?xml version="1.0" encoding="utf-8"?>
<sst xmlns="http://schemas.openxmlformats.org/spreadsheetml/2006/main" count="2265" uniqueCount="1267">
  <si>
    <t xml:space="preserve"> </t>
  </si>
  <si>
    <t xml:space="preserve">SUMMARY </t>
  </si>
  <si>
    <t>Cost</t>
  </si>
  <si>
    <t xml:space="preserve">JOB DESCRIPTION: </t>
  </si>
  <si>
    <t>Markup</t>
  </si>
  <si>
    <t>SITE ADDRESS:</t>
  </si>
  <si>
    <t xml:space="preserve">Charge = </t>
  </si>
  <si>
    <t>(Cost + O/H) + Profit</t>
  </si>
  <si>
    <t>TOTALS</t>
  </si>
  <si>
    <t>PART A</t>
  </si>
  <si>
    <t>TOTAL ex GST</t>
  </si>
  <si>
    <t>Manual Calc</t>
  </si>
  <si>
    <t>Prelim</t>
  </si>
  <si>
    <t>of total cost</t>
  </si>
  <si>
    <t>O/H</t>
  </si>
  <si>
    <t>Sub Total</t>
  </si>
  <si>
    <t>total cost + Prelim + O/H</t>
  </si>
  <si>
    <t>Gross Profit</t>
  </si>
  <si>
    <t>Exl equip &amp; Fixt</t>
  </si>
  <si>
    <t>Grand Total</t>
  </si>
  <si>
    <t>Total Markup</t>
  </si>
  <si>
    <t>Net Profit Incl Equip</t>
  </si>
  <si>
    <t xml:space="preserve">Project: </t>
  </si>
  <si>
    <t>Tricore   -</t>
  </si>
  <si>
    <t>Stage 1 Version 1</t>
  </si>
  <si>
    <t xml:space="preserve">Item  </t>
  </si>
  <si>
    <t>A</t>
  </si>
  <si>
    <t>PRELIMINARIES</t>
  </si>
  <si>
    <t>Unit</t>
  </si>
  <si>
    <t>REQ</t>
  </si>
  <si>
    <t>Cost ex GST</t>
  </si>
  <si>
    <t>Total ex GST</t>
  </si>
  <si>
    <t>Labour</t>
  </si>
  <si>
    <t>Contingencies; Wet Weather ?</t>
  </si>
  <si>
    <t>TRADESMAN_LEADING HAND</t>
  </si>
  <si>
    <t>Day</t>
  </si>
  <si>
    <t>TRADESMAN_PLUMBER_OPERATOR</t>
  </si>
  <si>
    <t>T/A &amp; Apprentice</t>
  </si>
  <si>
    <t>Crew #1</t>
  </si>
  <si>
    <t>Crew #2</t>
  </si>
  <si>
    <t>Equipment, Hire, Subbies</t>
  </si>
  <si>
    <t>Dual CabUte</t>
  </si>
  <si>
    <t>item</t>
  </si>
  <si>
    <t>10m3_Skip Bin</t>
  </si>
  <si>
    <t>TCS Container; Ecl Freight</t>
  </si>
  <si>
    <t xml:space="preserve">Fencing </t>
  </si>
  <si>
    <t>Misc.</t>
  </si>
  <si>
    <t>Site Admin, Stationary etc - GREENSTAR ADMINS</t>
  </si>
  <si>
    <t>Site PPE</t>
  </si>
  <si>
    <t>Site Consumables- Paint, Tapes etc</t>
  </si>
  <si>
    <t>Site Management - Bollards, Pickets, Barrier Mesh etc</t>
  </si>
  <si>
    <t>Staff Refreshments - ONSITE</t>
  </si>
  <si>
    <t>Staff Refreshments - Offsite</t>
  </si>
  <si>
    <t>TOOLS - Roll Grover - S&amp;M</t>
  </si>
  <si>
    <t>TOOLS - Poly Welder - S&amp;M</t>
  </si>
  <si>
    <t>TOOLS - Wacker/Laser/Misc - S&amp;M</t>
  </si>
  <si>
    <t>TOOLS - Demo Saw Trolley - PURCHASE</t>
  </si>
  <si>
    <t>TOOLS - Consumabls - Blades, etc</t>
  </si>
  <si>
    <t xml:space="preserve">Total TCS Prelims </t>
  </si>
  <si>
    <t>OverHeads</t>
  </si>
  <si>
    <t>TriCore Overheads - COMPLETE…PER MONTH</t>
  </si>
  <si>
    <t>Total TCS O/H</t>
  </si>
  <si>
    <t>B</t>
  </si>
  <si>
    <t>TOTAL Labour</t>
  </si>
  <si>
    <t>From Proposed Program</t>
  </si>
  <si>
    <t>DAY</t>
  </si>
  <si>
    <t>CREW - Fire &amp; WAT</t>
  </si>
  <si>
    <t>CREW - Drainage</t>
  </si>
  <si>
    <t>CREW #3</t>
  </si>
  <si>
    <t>TRADESMAN.1</t>
  </si>
  <si>
    <t>TRADESMAN.2</t>
  </si>
  <si>
    <t>HOUR</t>
  </si>
  <si>
    <t>HR</t>
  </si>
  <si>
    <t>C</t>
  </si>
  <si>
    <t>TOTAL Equip</t>
  </si>
  <si>
    <t>Skid Steer Loader_Wheeled</t>
  </si>
  <si>
    <t>ea</t>
  </si>
  <si>
    <t>8Ton_Excavator</t>
  </si>
  <si>
    <t>20-24Ton_Excavator</t>
  </si>
  <si>
    <t>14-16Ton_Excavator</t>
  </si>
  <si>
    <t>6-12T_Tipper Truck</t>
  </si>
  <si>
    <t>&lt;10T_Articulated Site Tipper</t>
  </si>
  <si>
    <t>Trench Roller_Dbl Drum_Remote</t>
  </si>
  <si>
    <t>&lt;26Ft_Scissor Lift - Diesel</t>
  </si>
  <si>
    <t>Compaction Testing</t>
  </si>
  <si>
    <t>CCTV</t>
  </si>
  <si>
    <t>Misc Hire/Tooling</t>
  </si>
  <si>
    <t>Flushing, protections</t>
  </si>
  <si>
    <t>Spoil removal</t>
  </si>
  <si>
    <t>Maximesh to one pit</t>
  </si>
  <si>
    <t>Pit customoziation</t>
  </si>
  <si>
    <t>Carpark, fottpath demo &amp; resto</t>
  </si>
  <si>
    <t>Fuel - Diesel_Machinery &amp; Equip/WEEK (Average)</t>
  </si>
  <si>
    <t>**Mini tankers Avg 6,000/Mnth</t>
  </si>
  <si>
    <t>D</t>
  </si>
  <si>
    <t>Material</t>
  </si>
  <si>
    <t xml:space="preserve">Material; </t>
  </si>
  <si>
    <t>Inground Quarry Products; Complete</t>
  </si>
  <si>
    <t>MANHOLE Concrete</t>
  </si>
  <si>
    <t>FILTER Install Inc Gravels &amp; Crane</t>
  </si>
  <si>
    <t>Lean mix stab sand etc - ROADS</t>
  </si>
  <si>
    <t>E</t>
  </si>
  <si>
    <t>Misc</t>
  </si>
  <si>
    <t>M3</t>
  </si>
  <si>
    <t>Total Taken forward to Summary</t>
  </si>
  <si>
    <t>Total</t>
  </si>
  <si>
    <t xml:space="preserve">SECTION A </t>
  </si>
  <si>
    <t>STORMWATER DRAINAGE</t>
  </si>
  <si>
    <t>Description</t>
  </si>
  <si>
    <t>Qty</t>
  </si>
  <si>
    <t>Rate</t>
  </si>
  <si>
    <t>rcp/frc</t>
  </si>
  <si>
    <t>PIPE 675MM - RCP_C3</t>
  </si>
  <si>
    <t>m</t>
  </si>
  <si>
    <t>PIPE 600MM - RCP_C4</t>
  </si>
  <si>
    <t>PIPE 600MM - RCP_C2</t>
  </si>
  <si>
    <t>PIPE 525MM - RCP_C4</t>
  </si>
  <si>
    <t>PIPE 525MM - RCP_C3</t>
  </si>
  <si>
    <t>PIPE 450MM - RCP_C4</t>
  </si>
  <si>
    <t>PIPE 375MM - RCP_C4</t>
  </si>
  <si>
    <t>PIPE 375MM - RCP_C3</t>
  </si>
  <si>
    <t>PIPE 375MM - RCP_C2</t>
  </si>
  <si>
    <t>SW_SN8 RIBBED (Blackmax or similar)</t>
  </si>
  <si>
    <t>PIPE Ribbed RRJ 900MM</t>
  </si>
  <si>
    <r>
      <t xml:space="preserve">PIPE Ribbed RRJ </t>
    </r>
    <r>
      <rPr>
        <sz val="10"/>
        <color rgb="FFFF0000"/>
        <rFont val="Arial"/>
        <family val="2"/>
      </rPr>
      <t>825MM</t>
    </r>
  </si>
  <si>
    <t>PIPE Ribbed RRJ 750MM</t>
  </si>
  <si>
    <r>
      <t xml:space="preserve">PIPE Ribbed RRJ </t>
    </r>
    <r>
      <rPr>
        <sz val="10"/>
        <color rgb="FFFF0000"/>
        <rFont val="Arial"/>
        <family val="2"/>
      </rPr>
      <t>675MM</t>
    </r>
  </si>
  <si>
    <t>PIPE Ribbed RRJ 600MM</t>
  </si>
  <si>
    <t>PIPE Ribbed RRJ 525MM</t>
  </si>
  <si>
    <t>PIPE Ribbed RRJ 450MM</t>
  </si>
  <si>
    <t>PIPE Ribbed RRJ 375MM</t>
  </si>
  <si>
    <t>PIPE Ribbed RRJ 300MM</t>
  </si>
  <si>
    <t>PIPE Ribbed RRJ 225MM</t>
  </si>
  <si>
    <t>PIPE Ribbed RRJ 150MM</t>
  </si>
  <si>
    <t>SW_SN8 PVC Pipeline</t>
  </si>
  <si>
    <t>PIPE DWV SN8 PVC S/WELD  375MM</t>
  </si>
  <si>
    <t>PIPE DWV SN8 PVC S/WELD  300MM</t>
  </si>
  <si>
    <t>PIPE DWV SN4 PVC S/WELD  300MM</t>
  </si>
  <si>
    <t>PIPE SW H/D PVC S/WELD  300MM</t>
  </si>
  <si>
    <t>PIPE DWV SN8 PVC S/WELD  225MM</t>
  </si>
  <si>
    <t>PIPE DWV SN4 PVC S/WELD  225MM</t>
  </si>
  <si>
    <t>50mm PVC Class 12</t>
  </si>
  <si>
    <t>PIPE DWV SN8 PVC S/WELD  150MM</t>
  </si>
  <si>
    <t>PIPE DWV SN4 PVC S/WELD  150MM</t>
  </si>
  <si>
    <t>PIPE DWV SN4 PVC S/WELD  100MM</t>
  </si>
  <si>
    <t>SW Grade Option</t>
  </si>
  <si>
    <t>300MM * 45D PVC SW JUNCTION</t>
  </si>
  <si>
    <t>300X225X45D PVC SW JUNCTION</t>
  </si>
  <si>
    <t>300MM X 225MM SW Reducer</t>
  </si>
  <si>
    <t>300MM X 90Deg SW Bend</t>
  </si>
  <si>
    <t>300MM X 45Deg SW Bend</t>
  </si>
  <si>
    <t>225MM * 45D PVC SW JUNCTION</t>
  </si>
  <si>
    <t>225X150X45D PVC SW JUNCTION</t>
  </si>
  <si>
    <t>225MM X 90Deg SW Bend</t>
  </si>
  <si>
    <t>225MM X 45Deg SW Bend</t>
  </si>
  <si>
    <t>150 PVC SW 45Deg Junct</t>
  </si>
  <si>
    <t>150MM X 90Deg SW Bend</t>
  </si>
  <si>
    <t>150MM X 45Deg SW Bend</t>
  </si>
  <si>
    <t>DWV Grade Option</t>
  </si>
  <si>
    <t>600*225 Ribbed Saddle</t>
  </si>
  <si>
    <t>600*45Deg RIBBED Bend</t>
  </si>
  <si>
    <t>600*450 Ribbed Reducer</t>
  </si>
  <si>
    <t>450*375 Ribbed*PVC Reducer</t>
  </si>
  <si>
    <t>450 45 Deg ribbed Bend</t>
  </si>
  <si>
    <t>450 * 225 Ribbed Saddle</t>
  </si>
  <si>
    <t>375mm X 45Deg Junction</t>
  </si>
  <si>
    <t>375X300X45D PVC JUNCTION</t>
  </si>
  <si>
    <t>375X225X45D PVC JUNCTION</t>
  </si>
  <si>
    <t>375MM X 300MM Reducer</t>
  </si>
  <si>
    <t>375MM X 225MM Reducer</t>
  </si>
  <si>
    <t>375MM X 90Deg Bend</t>
  </si>
  <si>
    <t>375MM X 45Deg Bend</t>
  </si>
  <si>
    <t>300MM * 45D PVC JUNCTION</t>
  </si>
  <si>
    <t>300X225X45D PVC JUNCTION</t>
  </si>
  <si>
    <t>300MM X 225MM Reducer</t>
  </si>
  <si>
    <t>300MM X 90Deg Bend</t>
  </si>
  <si>
    <t>300MM X 45Deg Bend</t>
  </si>
  <si>
    <t>300MM X 150 Junction</t>
  </si>
  <si>
    <t>225MM * 45D PVC JUNCTION</t>
  </si>
  <si>
    <t>225X150X45D PVC JUNCTION</t>
  </si>
  <si>
    <t>225MM X 90Deg Bend</t>
  </si>
  <si>
    <t>225MM X 45Deg Bend</t>
  </si>
  <si>
    <t>225MM X 150MM Reducer</t>
  </si>
  <si>
    <t>150MM X 100MM Reducer</t>
  </si>
  <si>
    <t>150 PVC DWV 45Deg Junct</t>
  </si>
  <si>
    <t>150MM X 90Deg Bend</t>
  </si>
  <si>
    <t>150MM X 45Deg Bend</t>
  </si>
  <si>
    <t>150X100X45D PVC JUNCTION</t>
  </si>
  <si>
    <t>100MM X 90Deg Bend</t>
  </si>
  <si>
    <t>100MM X 45Deg Bend</t>
  </si>
  <si>
    <t>150mm PVC 10mm nut hanging clip</t>
  </si>
  <si>
    <t>10mm Zinc Threaded Rod</t>
  </si>
  <si>
    <t>Glue - Blue - 4Ltr</t>
  </si>
  <si>
    <t>Primer - Red - 4Ltr</t>
  </si>
  <si>
    <t>600*600 pits</t>
  </si>
  <si>
    <t>SW_Gully/Pit</t>
  </si>
  <si>
    <t>Concrete/GRC - Class D - 450SQ Pit w/base - 450H</t>
  </si>
  <si>
    <t>Concrete/GRC - Class D - 450SQ Pit w/base - 600H</t>
  </si>
  <si>
    <t>Concrete/GRC - Class D - 450SQ Riser - 150H</t>
  </si>
  <si>
    <t>Concrete/GRC - Class D - 450SQ Riser - 300H</t>
  </si>
  <si>
    <t>Concrete/GRC - Class D - 450SQ Riser - 450H</t>
  </si>
  <si>
    <t>Concrete/GRC - Class D - 600SQ Pit w/base - 450H</t>
  </si>
  <si>
    <t>Concrete/GRC - Class D - 600SQ Pit w/base - 600H</t>
  </si>
  <si>
    <t>Concrete/GRC - Class D - 900SQ Pit w/base - 450H</t>
  </si>
  <si>
    <t>Concrete/GRC - Class D - 900SQ Pit w/base - 600H</t>
  </si>
  <si>
    <t>Concrete/GRC - Class D - 900SQ Pit w/base - 900H</t>
  </si>
  <si>
    <t>Concrete/GRC - Class D - 600SQ Riser - 150H</t>
  </si>
  <si>
    <t>Concrete/GRC - Class D - 600SQ Riser - 300H</t>
  </si>
  <si>
    <t>Concrete/GRC - Class D - 600SQ Riser - 600H</t>
  </si>
  <si>
    <t>Concrete/GRC - Class D - 600SQ Riser - 900H</t>
  </si>
  <si>
    <t>Concrete/GRC - Class D - 900SQ Riser - 150H</t>
  </si>
  <si>
    <t>Concrete/GRC - Class D - 900SQ Riser - 300H</t>
  </si>
  <si>
    <t>Concrete/GRC - Class D - 900SQ Riser - 450H</t>
  </si>
  <si>
    <t>Concrete/GRC - Class D - 900SQ Riser - 600H</t>
  </si>
  <si>
    <t>Concrete/GRC - Class D - 900SQ Riser - 900H</t>
  </si>
  <si>
    <t xml:space="preserve">Concrete Precast Base - Class D - 1050 dia </t>
  </si>
  <si>
    <t>Concrete Precast Chamber/Shaft - Class D - 1200dia @ 150 Height</t>
  </si>
  <si>
    <t xml:space="preserve">Concrete Precast Base - Class D - 1200dia </t>
  </si>
  <si>
    <t>Concrete Precast Chamber/Shaft - Class D - 1200dia @ 200 Height</t>
  </si>
  <si>
    <t>Concrete Precast Chamber/Shaft - Class D - 1200dia @ 300 Height</t>
  </si>
  <si>
    <t>Concrete/GRC - Class D - 1200*900*1200 PIT w/Base - 1200H</t>
  </si>
  <si>
    <t>Concrete/GRC - Class D - 1200*900*  Riser  - 150H</t>
  </si>
  <si>
    <t>Concrete/GRC - Class D - 1200*900*  Riser  - 300H</t>
  </si>
  <si>
    <t>Concrete/GRC - Class D - 1200*1200*1200 PIT w/Base - 1200H</t>
  </si>
  <si>
    <t>Concrete/GRC - Class D - 1200*1200 Riser - 150H</t>
  </si>
  <si>
    <t>Concrete/GRC - Class D - 1200*1200 Riser - 300H</t>
  </si>
  <si>
    <t>Concrete/GRC - Class D - 1200*1200 Riser - 600H</t>
  </si>
  <si>
    <t>Concrete/GRC - Class D - 1200*1200 Riser - 900H</t>
  </si>
  <si>
    <t>Concrete/GRC - Class D - 1500*1500*1500 shaft</t>
  </si>
  <si>
    <t>Concrete/GRC - Class D - 1500*1500 Riser - 300H</t>
  </si>
  <si>
    <t>Concrete/GRC - Class D - 1500*1500 Riser - 600H</t>
  </si>
  <si>
    <t>Concrete/GRC - Class D - 1500*1500 Riser - 900H</t>
  </si>
  <si>
    <t>Concrete/GRC - Class D - 600*900 Pit w/base - 600H</t>
  </si>
  <si>
    <t>Concrete/GRC - Class D - 600*900 Pit w/base - 800-900H</t>
  </si>
  <si>
    <t>Concrete/GRC - Class D - 600*900 Riser - 150H</t>
  </si>
  <si>
    <t>Concrete/GRC - Class D - 600*900 Riser - 300H</t>
  </si>
  <si>
    <t>Concrete/GRC - Class D - 600*900 Riser - 450H</t>
  </si>
  <si>
    <t>Concrete/GRC - Class D - 600*900 Riser - 600H</t>
  </si>
  <si>
    <t>Concrete/GRC - Class D - 600*900 Riser - 900H</t>
  </si>
  <si>
    <t>PRECAST MANHOLE SHAFT 1050 X 300</t>
  </si>
  <si>
    <t>PRECAST MANHOLE SHAFT 1050 X 600</t>
  </si>
  <si>
    <t>PRECAST MANHOLE SHAFT 1050 X 900</t>
  </si>
  <si>
    <t>PRECAST MANHOLE SHAFT 1050 X 1200</t>
  </si>
  <si>
    <t xml:space="preserve">PRECAST MANHOLE SHAFT 1050 X 1200 with600mm extension </t>
  </si>
  <si>
    <t xml:space="preserve">PRECAST MANHOLE SHAFT 1500 SQ </t>
  </si>
  <si>
    <t>PRECAST MANHOLE SHAFT 1500 SQ  150 RISER</t>
  </si>
  <si>
    <t xml:space="preserve">PRECAST MANHOLE SHAFT 1500 DIA </t>
  </si>
  <si>
    <t>1200X300 PRECAST CONCRETE STORMWATER SHAFT</t>
  </si>
  <si>
    <t>1200X600 PRECAST CONCRETE STORMWATER SHAFT</t>
  </si>
  <si>
    <t>1200X900 PRECAST CONCRETE STORMWATER SHAFT</t>
  </si>
  <si>
    <t>450x450 CL D Galv Heelguard Lockable</t>
  </si>
  <si>
    <t>600x600 CL D Galv Heelguard Lockabl</t>
  </si>
  <si>
    <t>Class D - Galv - Grate &amp; Frame - 600SQ</t>
  </si>
  <si>
    <t>900x900 CL D 2 Part Galv Heelguard</t>
  </si>
  <si>
    <t>Class D - Galv - Grate &amp; Frame - 900SQ</t>
  </si>
  <si>
    <t>600x900 CL D Galv 2 Part Heelguard</t>
  </si>
  <si>
    <t>Class D - Galv - Grate &amp; Frame - 600*900</t>
  </si>
  <si>
    <t>600x900 Solid lid</t>
  </si>
  <si>
    <t>Class D - Galv - Grate &amp; Frame - 1200*900</t>
  </si>
  <si>
    <t>Class D - Galv - Grate &amp; Frame - 1200*1200</t>
  </si>
  <si>
    <t>Class B - Galv - Grate &amp; Frame - Concrete Surround - 450SQ</t>
  </si>
  <si>
    <t>Class B - Galv - Grate &amp; Frame - Concrete Surround - 600SQ</t>
  </si>
  <si>
    <t>Class B - Galv - Grate &amp; Frame - Concrete Surround - 900SQ</t>
  </si>
  <si>
    <t>Class B - Galv - Grate &amp; Frame - Concrete Surround - 600*900</t>
  </si>
  <si>
    <t>Class D - Galv - Grate &amp; Frame - Concrete Surround - 450SQ</t>
  </si>
  <si>
    <t>Class D - Galv - Grate &amp; Frame - Concrete Surround - 600SQ</t>
  </si>
  <si>
    <t xml:space="preserve">1200 x1200 surcharge grate </t>
  </si>
  <si>
    <t>Class D - Galv - Grate &amp; Frame - Concrete Surround - 600*900</t>
  </si>
  <si>
    <t>2.4mt (1.8M C/O) kerb entry- Creek unit centre c/w 900x600 Class D Gully grate Creek</t>
  </si>
  <si>
    <t>Pit Base Unit 900 x 600 x 900mm</t>
  </si>
  <si>
    <t>ASPRO S/W 1050 X 1350 X 175 600 - 600 ROUND HOLE</t>
  </si>
  <si>
    <t>ASPRO S/W 1050 X 1350 X 175 600 - 900X900  ROUND HOLE</t>
  </si>
  <si>
    <t>ASPRO S/W 1050 X 1350 X 175 600 - 600*900  HOLE</t>
  </si>
  <si>
    <t>ASPRO S/W 1200 X 1650 X 175 9 X 9 - 600 ROUND HOLE</t>
  </si>
  <si>
    <t>ASPRO S/W 1200 X 1650 X 175 9 X 9 - 900 X 900 HOLE</t>
  </si>
  <si>
    <t>ASPRO S/W 1200 X 1650 X 175 9 X 9 - 600*900 HOLE</t>
  </si>
  <si>
    <t>ASPRO S/W 2100 X 2600 X  250        - 600*900  HOLE</t>
  </si>
  <si>
    <t>HEADWALL TO SUIT 450MM RCP</t>
  </si>
  <si>
    <t xml:space="preserve">HEADWALL TO SUIT 2 X 375MM RCP </t>
  </si>
  <si>
    <t>STORMWATER C&amp;F 600 dia CLASS D - Bolt down (2 bolts)</t>
  </si>
  <si>
    <t>600x900 CL D Gal Lockable Sump Grate &amp; Frame</t>
  </si>
  <si>
    <t>900x900 CL D 2 Part Gal Lockable Sump Grate &amp; Frame</t>
  </si>
  <si>
    <t>Twin Pipe Headwall ( 300mm /225mm pipe )</t>
  </si>
  <si>
    <t>100mm socked ag pipe</t>
  </si>
  <si>
    <t>MH Step Irons (230mm Wide)</t>
  </si>
  <si>
    <t xml:space="preserve">Kerb Adapter - Galv - SQ/Flat/Upright - </t>
  </si>
  <si>
    <t xml:space="preserve">Kerb Adapter - Galv - Layback/Sloped - </t>
  </si>
  <si>
    <t>PVC Round x Rectangle adapt - 90mm - 100*50</t>
  </si>
  <si>
    <t>PVC Round x Rectangle adapt - 90mm - 100*75</t>
  </si>
  <si>
    <t>Flexible Coupler - (flexseal/Fernco) - 225-250mm</t>
  </si>
  <si>
    <t>Flexible Coupler - (flexseal/Fernco) - 750-200mm</t>
  </si>
  <si>
    <t>Flexible Coupler - (flexseal/Fernco) - 140-165mm</t>
  </si>
  <si>
    <t>Flexible Coupler - (flexseal/Fernco) - 125-150mm</t>
  </si>
  <si>
    <t>Flexible Coupler - (flexseal/Fernco) - 110-115mm</t>
  </si>
  <si>
    <t>MEGA Poxy (2 Part) - 4L</t>
  </si>
  <si>
    <t>MEGA Poxy (2 Part) - 20L</t>
  </si>
  <si>
    <t>Bidim Geofabric Roll = 2m x 50m+&gt;?</t>
  </si>
  <si>
    <t xml:space="preserve">Manhole Sealant Mastic 3.6m </t>
  </si>
  <si>
    <t>Concrete Bag - Rapid Set</t>
  </si>
  <si>
    <t>Concrete Bag - Regular</t>
  </si>
  <si>
    <t>Mortar Mix Bag - Regular</t>
  </si>
  <si>
    <t>General Purpose Cement Bag</t>
  </si>
  <si>
    <t>Sand &amp; Cement Bag</t>
  </si>
  <si>
    <t>Bitumen Cold Mix Bag</t>
  </si>
  <si>
    <t>Detectable STORMWATER Marker Tape - 250m</t>
  </si>
  <si>
    <t>Form Ply &amp; Sand Bags</t>
  </si>
  <si>
    <t>Contingency</t>
  </si>
  <si>
    <t>Total Taken Forward</t>
  </si>
  <si>
    <t>TOTAL MATERIAL COST TAKEN FORWARD</t>
  </si>
  <si>
    <t>Excavation/Quarry/Misc/ Takeoff.</t>
  </si>
  <si>
    <t>Avrg Trench = .900D*.450W</t>
  </si>
  <si>
    <t>L/M Of Asphalt Reinstate</t>
  </si>
  <si>
    <t>M2 Of Asphalt Reinstate</t>
  </si>
  <si>
    <t>m2</t>
  </si>
  <si>
    <t>L/M Of CBR Reinstate</t>
  </si>
  <si>
    <t>L/M of Inground Pipe (Average Depth)</t>
  </si>
  <si>
    <t>L/M of Inground Pipe (Deeper Than Average Depth)</t>
  </si>
  <si>
    <t>Avergage of trtenches 'Shared'…. Shared trench Factor</t>
  </si>
  <si>
    <t>SEWER / SW / TW - InGrnd</t>
  </si>
  <si>
    <t>WAT / FIRE - InGrnd</t>
  </si>
  <si>
    <t>SPK - InGrnd</t>
  </si>
  <si>
    <t>W</t>
  </si>
  <si>
    <t>L</t>
  </si>
  <si>
    <t>Spoil/Compact Factor;</t>
  </si>
  <si>
    <t>Shared Trench Factor</t>
  </si>
  <si>
    <t>Total m3 - EXCAVATED</t>
  </si>
  <si>
    <t>Total M3 - Bed, Pipe, Cover reduction</t>
  </si>
  <si>
    <t>Total M3 - Backfill Req (Less Bed&amp;Pipe)</t>
  </si>
  <si>
    <t>Total M3 - Spoil - REMOVE</t>
  </si>
  <si>
    <t>TCS Load - Haulage &amp; dump rate only</t>
  </si>
  <si>
    <t>L/M of Bed, Pipe, Cover material reduction (Average Depth)</t>
  </si>
  <si>
    <t>L/M of Bed, Pipe, Cover material reduction (Deeper Than Average Depth)</t>
  </si>
  <si>
    <t>L/M of BACKFILL required (Average Depth)</t>
  </si>
  <si>
    <t>L/M of BACKFILL required (Deeper Than Average Depth)</t>
  </si>
  <si>
    <t>QTY</t>
  </si>
  <si>
    <t>m3/TB</t>
  </si>
  <si>
    <t>Total m3</t>
  </si>
  <si>
    <t>Total Cost</t>
  </si>
  <si>
    <t>Quarry &amp; Concrete Product</t>
  </si>
  <si>
    <t>Unit/LM</t>
  </si>
  <si>
    <t>Rate/LM</t>
  </si>
  <si>
    <t>Total Req.</t>
  </si>
  <si>
    <t>TOTAL</t>
  </si>
  <si>
    <t>Drainage Use</t>
  </si>
  <si>
    <t>Fire/WAT Use</t>
  </si>
  <si>
    <t>SPK Use</t>
  </si>
  <si>
    <t>5-7mm Stone</t>
  </si>
  <si>
    <t>Ton</t>
  </si>
  <si>
    <t>m3</t>
  </si>
  <si>
    <t>10-12mm Stone</t>
  </si>
  <si>
    <t>80-110mm Stone</t>
  </si>
  <si>
    <t>Medium River / Bed Sand</t>
  </si>
  <si>
    <t>CBR15 Road Base</t>
  </si>
  <si>
    <t>CBR45</t>
  </si>
  <si>
    <t>LEANMIX</t>
  </si>
  <si>
    <t>TCS</t>
  </si>
  <si>
    <t>Q2</t>
  </si>
  <si>
    <t>T</t>
  </si>
  <si>
    <t>LEANMIX_20mm-12:1</t>
  </si>
  <si>
    <t>Concrete_32/20/100</t>
  </si>
  <si>
    <t>Total Qty</t>
  </si>
  <si>
    <t>600 Grte/frm Height</t>
  </si>
  <si>
    <t>600*900 Grte/frm Height</t>
  </si>
  <si>
    <t>1.2*1.2 Grte/frm Height</t>
  </si>
  <si>
    <t>1200*9*6 ASPRO Height</t>
  </si>
  <si>
    <t>600 infl Height</t>
  </si>
  <si>
    <t>600 V Grate Height</t>
  </si>
  <si>
    <r>
      <t xml:space="preserve">600 Pit </t>
    </r>
    <r>
      <rPr>
        <b/>
        <sz val="10"/>
        <rFont val="Arial"/>
        <family val="2"/>
      </rPr>
      <t>Base</t>
    </r>
    <r>
      <rPr>
        <sz val="10"/>
        <rFont val="Arial"/>
        <family val="2"/>
      </rPr>
      <t xml:space="preserve"> Height</t>
    </r>
  </si>
  <si>
    <t>600 Pit Riser Height</t>
  </si>
  <si>
    <r>
      <t xml:space="preserve">900*900 Pit </t>
    </r>
    <r>
      <rPr>
        <b/>
        <sz val="10"/>
        <rFont val="Arial"/>
        <family val="2"/>
      </rPr>
      <t>Base</t>
    </r>
    <r>
      <rPr>
        <sz val="10"/>
        <rFont val="Arial"/>
        <family val="2"/>
      </rPr>
      <t xml:space="preserve"> Height</t>
    </r>
  </si>
  <si>
    <t>600*900 Pit Riser Height</t>
  </si>
  <si>
    <r>
      <t xml:space="preserve">1050 Chmbr </t>
    </r>
    <r>
      <rPr>
        <b/>
        <sz val="10"/>
        <rFont val="Arial"/>
        <family val="2"/>
      </rPr>
      <t>Base</t>
    </r>
    <r>
      <rPr>
        <sz val="10"/>
        <rFont val="Arial"/>
        <family val="2"/>
      </rPr>
      <t xml:space="preserve"> Height</t>
    </r>
  </si>
  <si>
    <t>1050 Chmbr Riser Height</t>
  </si>
  <si>
    <t>1200*1200*200</t>
  </si>
  <si>
    <t>0.2for1.2</t>
  </si>
  <si>
    <t>Manual calc</t>
  </si>
  <si>
    <t xml:space="preserve">V3 </t>
  </si>
  <si>
    <t>Pit Count</t>
  </si>
  <si>
    <t>PIT No.</t>
  </si>
  <si>
    <t>Grate RL</t>
  </si>
  <si>
    <t>Type</t>
  </si>
  <si>
    <t>Grate Size</t>
  </si>
  <si>
    <t>Chamber</t>
  </si>
  <si>
    <t>Outlet IL</t>
  </si>
  <si>
    <t>Depth</t>
  </si>
  <si>
    <t>Riser Height Req. w/ base</t>
  </si>
  <si>
    <t>0.15 Riser</t>
  </si>
  <si>
    <t>0.3 Riser</t>
  </si>
  <si>
    <t>0.6 Riser</t>
  </si>
  <si>
    <t>0.9 Riser</t>
  </si>
  <si>
    <t>Pit riser difference</t>
  </si>
  <si>
    <t>Riser Height Req. w/base</t>
  </si>
  <si>
    <t>46</t>
  </si>
  <si>
    <t>47</t>
  </si>
  <si>
    <t>900X900</t>
  </si>
  <si>
    <t>600x600</t>
  </si>
  <si>
    <t>Pit Bases</t>
  </si>
  <si>
    <t>Pits</t>
  </si>
  <si>
    <t>900High</t>
  </si>
  <si>
    <t>900*600</t>
  </si>
  <si>
    <t>450*450</t>
  </si>
  <si>
    <t>450High</t>
  </si>
  <si>
    <t>600*600</t>
  </si>
  <si>
    <t>600High</t>
  </si>
  <si>
    <t>900*900</t>
  </si>
  <si>
    <t>1200High</t>
  </si>
  <si>
    <t>1200x1200</t>
  </si>
  <si>
    <t xml:space="preserve">1200 High </t>
  </si>
  <si>
    <t>1st Order</t>
  </si>
  <si>
    <t>1500x1500</t>
  </si>
  <si>
    <t xml:space="preserve">900 high </t>
  </si>
  <si>
    <t xml:space="preserve">600 High </t>
  </si>
  <si>
    <t xml:space="preserve">300 High </t>
  </si>
  <si>
    <t>0.2R 1.2*1.2</t>
  </si>
  <si>
    <t xml:space="preserve">TOTAL </t>
  </si>
  <si>
    <t>1050Dia</t>
  </si>
  <si>
    <t>1200Dia</t>
  </si>
  <si>
    <t>1200 Pit</t>
  </si>
  <si>
    <t>In lieu of 1050&amp;1200Ch</t>
  </si>
  <si>
    <t>Grates/Covers</t>
  </si>
  <si>
    <t>450x450</t>
  </si>
  <si>
    <t xml:space="preserve">heel safe grate cover </t>
  </si>
  <si>
    <t>CL D, Hinged, Galv, Bolt Down.</t>
  </si>
  <si>
    <t>600X600</t>
  </si>
  <si>
    <t xml:space="preserve">Grate &amp;Frame </t>
  </si>
  <si>
    <t xml:space="preserve">CL D, Cast Iron </t>
  </si>
  <si>
    <t>600x900</t>
  </si>
  <si>
    <t xml:space="preserve"> heel safe grate cover </t>
  </si>
  <si>
    <t>1050*6*9</t>
  </si>
  <si>
    <t>Aspro</t>
  </si>
  <si>
    <t>150Thick, 900*600 Opening</t>
  </si>
  <si>
    <t>1200x900</t>
  </si>
  <si>
    <t>Grate &amp; Frame</t>
  </si>
  <si>
    <t xml:space="preserve">1200*1200 overflow pit </t>
  </si>
  <si>
    <t>900x900 Class D hinged grate and frame with a concrete surroun</t>
  </si>
  <si>
    <t>2.4m lintel</t>
  </si>
  <si>
    <t>3.6m SAG centre inlet, Kerb in line</t>
  </si>
  <si>
    <t>Head Wall</t>
  </si>
  <si>
    <t>Precast - 450RCP Inlet</t>
  </si>
  <si>
    <t>1st PIT Order</t>
  </si>
  <si>
    <t>0High</t>
  </si>
  <si>
    <t>1St GRATE Order</t>
  </si>
  <si>
    <t>CL D, Galv, Bolt Down.</t>
  </si>
  <si>
    <t>CL B, Galv, Bolt Down.</t>
  </si>
  <si>
    <t>Cover &amp; Frm - INFILL</t>
  </si>
  <si>
    <t>V-Grate w/conc surround</t>
  </si>
  <si>
    <t>CL B, Galv</t>
  </si>
  <si>
    <t>CL D, Galv, Bolt Down - HEEL GUARD</t>
  </si>
  <si>
    <t>2nd GRATE Order</t>
  </si>
  <si>
    <t xml:space="preserve">PIT/MANHOLE TAKEOFF </t>
  </si>
  <si>
    <t>DESCRIPTION</t>
  </si>
  <si>
    <t>Design Depth</t>
  </si>
  <si>
    <t>Grate/Finish</t>
  </si>
  <si>
    <t>Total Chamber Height</t>
  </si>
  <si>
    <t>Chamber Concrete volume/m3</t>
  </si>
  <si>
    <t>Base Concrete volume/m3</t>
  </si>
  <si>
    <t>Total Concrete volume/m3</t>
  </si>
  <si>
    <t>Dia</t>
  </si>
  <si>
    <t>Area of circle</t>
  </si>
  <si>
    <t>MPA</t>
  </si>
  <si>
    <t>$/m3</t>
  </si>
  <si>
    <t>Project Program</t>
  </si>
  <si>
    <t>MONTH 1</t>
  </si>
  <si>
    <t>MONTH 2</t>
  </si>
  <si>
    <t>MONTH 3</t>
  </si>
  <si>
    <t>MONTH 4</t>
  </si>
  <si>
    <t>MONTH 5</t>
  </si>
  <si>
    <r>
      <t>Week 1</t>
    </r>
    <r>
      <rPr>
        <sz val="11"/>
        <color theme="5"/>
        <rFont val="Calibri"/>
        <family val="2"/>
        <scheme val="minor"/>
      </rPr>
      <t xml:space="preserve"> </t>
    </r>
    <r>
      <rPr>
        <b/>
        <sz val="11"/>
        <color theme="5"/>
        <rFont val="Calibri"/>
        <family val="2"/>
        <scheme val="minor"/>
      </rPr>
      <t>/ SEPT</t>
    </r>
  </si>
  <si>
    <r>
      <t xml:space="preserve">Week 2 </t>
    </r>
    <r>
      <rPr>
        <sz val="11"/>
        <color theme="5"/>
        <rFont val="Calibri"/>
        <family val="2"/>
        <scheme val="minor"/>
      </rPr>
      <t>/</t>
    </r>
    <r>
      <rPr>
        <b/>
        <sz val="11"/>
        <color theme="5"/>
        <rFont val="Calibri"/>
        <family val="2"/>
        <scheme val="minor"/>
      </rPr>
      <t xml:space="preserve"> SEPT</t>
    </r>
  </si>
  <si>
    <r>
      <t>Week 3</t>
    </r>
    <r>
      <rPr>
        <sz val="11"/>
        <color theme="5"/>
        <rFont val="Calibri"/>
        <family val="2"/>
        <scheme val="minor"/>
      </rPr>
      <t xml:space="preserve"> / SEPT</t>
    </r>
  </si>
  <si>
    <r>
      <t xml:space="preserve">Week 4 </t>
    </r>
    <r>
      <rPr>
        <sz val="11"/>
        <color theme="5"/>
        <rFont val="Calibri"/>
        <family val="2"/>
        <scheme val="minor"/>
      </rPr>
      <t>/</t>
    </r>
    <r>
      <rPr>
        <b/>
        <sz val="11"/>
        <color theme="5"/>
        <rFont val="Calibri"/>
        <family val="2"/>
        <scheme val="minor"/>
      </rPr>
      <t xml:space="preserve"> SEPT</t>
    </r>
  </si>
  <si>
    <r>
      <t>Week 5</t>
    </r>
    <r>
      <rPr>
        <sz val="11"/>
        <color theme="5"/>
        <rFont val="Calibri"/>
        <family val="2"/>
        <scheme val="minor"/>
      </rPr>
      <t xml:space="preserve"> / </t>
    </r>
    <r>
      <rPr>
        <b/>
        <sz val="11"/>
        <color theme="5"/>
        <rFont val="Calibri"/>
        <family val="2"/>
        <scheme val="minor"/>
      </rPr>
      <t>OCT</t>
    </r>
  </si>
  <si>
    <r>
      <t xml:space="preserve">Week 6 </t>
    </r>
    <r>
      <rPr>
        <sz val="11"/>
        <color theme="5"/>
        <rFont val="Calibri"/>
        <family val="2"/>
        <scheme val="minor"/>
      </rPr>
      <t>/</t>
    </r>
    <r>
      <rPr>
        <b/>
        <sz val="11"/>
        <color theme="5"/>
        <rFont val="Calibri"/>
        <family val="2"/>
        <scheme val="minor"/>
      </rPr>
      <t xml:space="preserve"> OCT</t>
    </r>
  </si>
  <si>
    <r>
      <t>Week 7</t>
    </r>
    <r>
      <rPr>
        <sz val="11"/>
        <color theme="5"/>
        <rFont val="Calibri"/>
        <family val="2"/>
        <scheme val="minor"/>
      </rPr>
      <t xml:space="preserve"> / </t>
    </r>
    <r>
      <rPr>
        <b/>
        <sz val="11"/>
        <color theme="5"/>
        <rFont val="Calibri"/>
        <family val="2"/>
        <scheme val="minor"/>
      </rPr>
      <t>OCT</t>
    </r>
  </si>
  <si>
    <r>
      <t xml:space="preserve">Week 8 </t>
    </r>
    <r>
      <rPr>
        <sz val="11"/>
        <color theme="5"/>
        <rFont val="Calibri"/>
        <family val="2"/>
        <scheme val="minor"/>
      </rPr>
      <t>/</t>
    </r>
    <r>
      <rPr>
        <b/>
        <sz val="11"/>
        <color theme="5"/>
        <rFont val="Calibri"/>
        <family val="2"/>
        <scheme val="minor"/>
      </rPr>
      <t xml:space="preserve"> OCT</t>
    </r>
  </si>
  <si>
    <r>
      <t>Week 9</t>
    </r>
    <r>
      <rPr>
        <sz val="11"/>
        <color theme="5"/>
        <rFont val="Calibri"/>
        <family val="2"/>
        <scheme val="minor"/>
      </rPr>
      <t xml:space="preserve"> /</t>
    </r>
    <r>
      <rPr>
        <b/>
        <sz val="11"/>
        <color theme="5"/>
        <rFont val="Calibri"/>
        <family val="2"/>
        <scheme val="minor"/>
      </rPr>
      <t xml:space="preserve"> NOV</t>
    </r>
  </si>
  <si>
    <r>
      <t xml:space="preserve">Week 10 </t>
    </r>
    <r>
      <rPr>
        <sz val="11"/>
        <color theme="5"/>
        <rFont val="Calibri"/>
        <family val="2"/>
        <scheme val="minor"/>
      </rPr>
      <t>/</t>
    </r>
    <r>
      <rPr>
        <b/>
        <sz val="11"/>
        <color theme="5"/>
        <rFont val="Calibri"/>
        <family val="2"/>
        <scheme val="minor"/>
      </rPr>
      <t xml:space="preserve"> NOV</t>
    </r>
  </si>
  <si>
    <r>
      <t>Week 11</t>
    </r>
    <r>
      <rPr>
        <sz val="11"/>
        <color theme="5"/>
        <rFont val="Calibri"/>
        <family val="2"/>
        <scheme val="minor"/>
      </rPr>
      <t xml:space="preserve"> / </t>
    </r>
    <r>
      <rPr>
        <b/>
        <sz val="11"/>
        <color theme="5"/>
        <rFont val="Calibri"/>
        <family val="2"/>
        <scheme val="minor"/>
      </rPr>
      <t>NOV</t>
    </r>
  </si>
  <si>
    <r>
      <t xml:space="preserve">Week 12 </t>
    </r>
    <r>
      <rPr>
        <sz val="11"/>
        <color theme="5"/>
        <rFont val="Calibri"/>
        <family val="2"/>
        <scheme val="minor"/>
      </rPr>
      <t>/</t>
    </r>
    <r>
      <rPr>
        <b/>
        <sz val="11"/>
        <color theme="5"/>
        <rFont val="Calibri"/>
        <family val="2"/>
        <scheme val="minor"/>
      </rPr>
      <t xml:space="preserve"> NOV</t>
    </r>
  </si>
  <si>
    <r>
      <t>Week 13</t>
    </r>
    <r>
      <rPr>
        <sz val="11"/>
        <color theme="5"/>
        <rFont val="Calibri"/>
        <family val="2"/>
        <scheme val="minor"/>
      </rPr>
      <t xml:space="preserve"> / </t>
    </r>
    <r>
      <rPr>
        <b/>
        <sz val="11"/>
        <color theme="5"/>
        <rFont val="Calibri"/>
        <family val="2"/>
        <scheme val="minor"/>
      </rPr>
      <t>NOV-DEC</t>
    </r>
  </si>
  <si>
    <r>
      <t>Week 14</t>
    </r>
    <r>
      <rPr>
        <sz val="11"/>
        <color theme="5"/>
        <rFont val="Calibri"/>
        <family val="2"/>
        <scheme val="minor"/>
      </rPr>
      <t xml:space="preserve"> / </t>
    </r>
    <r>
      <rPr>
        <b/>
        <sz val="11"/>
        <color theme="5"/>
        <rFont val="Calibri"/>
        <family val="2"/>
        <scheme val="minor"/>
      </rPr>
      <t>DEC</t>
    </r>
  </si>
  <si>
    <r>
      <t>Week 15</t>
    </r>
    <r>
      <rPr>
        <sz val="11"/>
        <color theme="5"/>
        <rFont val="Calibri"/>
        <family val="2"/>
        <scheme val="minor"/>
      </rPr>
      <t xml:space="preserve"> / </t>
    </r>
    <r>
      <rPr>
        <b/>
        <sz val="11"/>
        <color theme="5"/>
        <rFont val="Calibri"/>
        <family val="2"/>
        <scheme val="minor"/>
      </rPr>
      <t>DEC</t>
    </r>
  </si>
  <si>
    <r>
      <t xml:space="preserve">Week 16 </t>
    </r>
    <r>
      <rPr>
        <sz val="11"/>
        <color theme="5"/>
        <rFont val="Calibri"/>
        <family val="2"/>
        <scheme val="minor"/>
      </rPr>
      <t>/</t>
    </r>
    <r>
      <rPr>
        <b/>
        <sz val="11"/>
        <color theme="5"/>
        <rFont val="Calibri"/>
        <family val="2"/>
        <scheme val="minor"/>
      </rPr>
      <t xml:space="preserve"> NOV</t>
    </r>
  </si>
  <si>
    <r>
      <t>Week 17</t>
    </r>
    <r>
      <rPr>
        <sz val="11"/>
        <color theme="5"/>
        <rFont val="Calibri"/>
        <family val="2"/>
        <scheme val="minor"/>
      </rPr>
      <t xml:space="preserve"> / </t>
    </r>
    <r>
      <rPr>
        <b/>
        <sz val="11"/>
        <color theme="5"/>
        <rFont val="Calibri"/>
        <family val="2"/>
        <scheme val="minor"/>
      </rPr>
      <t>NOV-DEC</t>
    </r>
  </si>
  <si>
    <t>M</t>
  </si>
  <si>
    <t>Tu</t>
  </si>
  <si>
    <t>Th</t>
  </si>
  <si>
    <t>F</t>
  </si>
  <si>
    <t>Sa</t>
  </si>
  <si>
    <t>Su</t>
  </si>
  <si>
    <t>Contract Execution, Contract Insurances and Exchanges</t>
  </si>
  <si>
    <t>Design Assessment, Coordination, Shop Drawings etc_For Construction</t>
  </si>
  <si>
    <t>Site Inductions</t>
  </si>
  <si>
    <t>Mobilsation</t>
  </si>
  <si>
    <t xml:space="preserve">BUILDERS Proj DURATION: </t>
  </si>
  <si>
    <t>TEMPS</t>
  </si>
  <si>
    <t>Materials Store, Area establishment, signage and controls</t>
  </si>
  <si>
    <t>Road 5</t>
  </si>
  <si>
    <t>670LM - 2 Tees - Serving 20 Lots</t>
  </si>
  <si>
    <t>Road 6</t>
  </si>
  <si>
    <t>100LM -  Serving 5 Lots</t>
  </si>
  <si>
    <t>Road 7</t>
  </si>
  <si>
    <t>500LM -  Serving 19 Lots</t>
  </si>
  <si>
    <t>Live Connection #1</t>
  </si>
  <si>
    <t>Live Connection #2</t>
  </si>
  <si>
    <t>Contract Completion</t>
  </si>
  <si>
    <t>Commissioning</t>
  </si>
  <si>
    <t>As-Built</t>
  </si>
  <si>
    <t>O+M Manuals</t>
  </si>
  <si>
    <t>Pratical Completion</t>
  </si>
  <si>
    <t>Site Demobilisation</t>
  </si>
  <si>
    <t>Staff Count</t>
  </si>
  <si>
    <t>Qty Staff On Site</t>
  </si>
  <si>
    <t>Total Days - LEAD HAND - PRELIM</t>
  </si>
  <si>
    <t>Hyd allow **</t>
  </si>
  <si>
    <t>Civil SW allow **</t>
  </si>
  <si>
    <t>Total Days - CREW - FIRE_WAT</t>
  </si>
  <si>
    <t>Total - CREW "Drainage"</t>
  </si>
  <si>
    <t>HYD - CREW "Drainage"</t>
  </si>
  <si>
    <t>Civil SW - CREW "Drainage"</t>
  </si>
  <si>
    <t>Total Days CREW 3</t>
  </si>
  <si>
    <t>Total Days - TA</t>
  </si>
  <si>
    <t>Total Days - Tradesman.1</t>
  </si>
  <si>
    <t>Hyd - Tradesman.1</t>
  </si>
  <si>
    <t>Civil SW - Tradesman.1</t>
  </si>
  <si>
    <t>Total Days - Tradesman.2</t>
  </si>
  <si>
    <t>Hyd - Tradesman.2</t>
  </si>
  <si>
    <t>Civil SW - Tradesman.2</t>
  </si>
  <si>
    <t>BASED ON:</t>
  </si>
  <si>
    <t>6 - Day Week, 10Hr Day</t>
  </si>
  <si>
    <t>2023 Staff Cost increase</t>
  </si>
  <si>
    <t>Project total cost</t>
  </si>
  <si>
    <t>Difference</t>
  </si>
  <si>
    <t>Working Days/Month</t>
  </si>
  <si>
    <t>Current</t>
  </si>
  <si>
    <t>No-Work Days/Month</t>
  </si>
  <si>
    <t>Avrg Hours / Day</t>
  </si>
  <si>
    <t>Avrg Days / Week</t>
  </si>
  <si>
    <t>Avrg Hours / Month</t>
  </si>
  <si>
    <t>STAFF</t>
  </si>
  <si>
    <r>
      <t xml:space="preserve">Hourly Rate + </t>
    </r>
    <r>
      <rPr>
        <sz val="8"/>
        <color rgb="FFFF0000"/>
        <rFont val="Arial"/>
        <family val="2"/>
      </rPr>
      <t>2.5%</t>
    </r>
  </si>
  <si>
    <r>
      <t xml:space="preserve">Hourly Rate + </t>
    </r>
    <r>
      <rPr>
        <sz val="8"/>
        <color rgb="FFFF0000"/>
        <rFont val="Arial"/>
        <family val="2"/>
      </rPr>
      <t>5%</t>
    </r>
  </si>
  <si>
    <r>
      <t xml:space="preserve">Hourly Rate + </t>
    </r>
    <r>
      <rPr>
        <sz val="8"/>
        <color rgb="FFFF0000"/>
        <rFont val="Arial"/>
        <family val="2"/>
      </rPr>
      <t>7.5%</t>
    </r>
  </si>
  <si>
    <r>
      <t xml:space="preserve">Hourly Rate + </t>
    </r>
    <r>
      <rPr>
        <sz val="8"/>
        <color rgb="FFFF0000"/>
        <rFont val="Arial"/>
        <family val="2"/>
      </rPr>
      <t>10%</t>
    </r>
  </si>
  <si>
    <t>WEEK</t>
  </si>
  <si>
    <t>MONTH</t>
  </si>
  <si>
    <t>QTY Staff in Crew</t>
  </si>
  <si>
    <t>Crew #3</t>
  </si>
  <si>
    <t>TCS PROJECT USE</t>
  </si>
  <si>
    <t>CAT Rental (ROK)</t>
  </si>
  <si>
    <t>COATES (ROK)</t>
  </si>
  <si>
    <t>ONSITE</t>
  </si>
  <si>
    <t>WEEKLY (5 day)</t>
  </si>
  <si>
    <t>COMMENTS</t>
  </si>
  <si>
    <t>DAILY</t>
  </si>
  <si>
    <t>Skid Steer Loader_Tracked</t>
  </si>
  <si>
    <t>4.5-6Ton_Excavator</t>
  </si>
  <si>
    <t>10-12Ton_Excavator</t>
  </si>
  <si>
    <t>13T</t>
  </si>
  <si>
    <t>12T</t>
  </si>
  <si>
    <t>17T</t>
  </si>
  <si>
    <t>14T</t>
  </si>
  <si>
    <t>25T</t>
  </si>
  <si>
    <t>20T</t>
  </si>
  <si>
    <t>Ripper_10-12T</t>
  </si>
  <si>
    <t>Ripper_14-16T</t>
  </si>
  <si>
    <t>Ripper_20-24T</t>
  </si>
  <si>
    <t>Breaker_10-12T</t>
  </si>
  <si>
    <t>Auger Drive_10-12T</t>
  </si>
  <si>
    <t>300Dia Auger Drill</t>
  </si>
  <si>
    <t>2-4T_Tipper Truck</t>
  </si>
  <si>
    <t>2-3T</t>
  </si>
  <si>
    <t>6T</t>
  </si>
  <si>
    <t>9T</t>
  </si>
  <si>
    <t>Upright Rammer_Wacker</t>
  </si>
  <si>
    <t>Rller - padfot?</t>
  </si>
  <si>
    <t>&lt;26Ft_Scissor Lift - Elec</t>
  </si>
  <si>
    <t>&lt;34Ft_Boom Lift - Diesel</t>
  </si>
  <si>
    <t>&lt;34Ft_Boom Lift - Elec</t>
  </si>
  <si>
    <t>Porta Loo_No Tank</t>
  </si>
  <si>
    <t>3.6*3m Demantable Office</t>
  </si>
  <si>
    <t>42D Min.</t>
  </si>
  <si>
    <t>20Ft Shipping Container</t>
  </si>
  <si>
    <t>Quick Cut Demo Saw</t>
  </si>
  <si>
    <t>Sngl Ph_6KVA Genset</t>
  </si>
  <si>
    <t>Diesel Air Compressor_Trailer</t>
  </si>
  <si>
    <t>Air Breaker - Heavy</t>
  </si>
  <si>
    <t>Air Hose &lt;10m</t>
  </si>
  <si>
    <t>Elec Breaker/Jachammer</t>
  </si>
  <si>
    <t>Flexdrive Motor Unit</t>
  </si>
  <si>
    <t>Flexdrive_Pump Shaft</t>
  </si>
  <si>
    <t>Temporary Power Board</t>
  </si>
  <si>
    <t>Vac Truck / HR</t>
  </si>
  <si>
    <t>TRANSPORT_Ex BRIS - Return</t>
  </si>
  <si>
    <t>TRANSPORT_Ex ROK - Return</t>
  </si>
  <si>
    <t>22T</t>
  </si>
  <si>
    <t xml:space="preserve">Adress </t>
  </si>
  <si>
    <t xml:space="preserve">Contract </t>
  </si>
  <si>
    <t>ROADWORKS AND CIVIL SERVICES</t>
  </si>
  <si>
    <t>BILL OF QUANTITIES</t>
  </si>
  <si>
    <t xml:space="preserve">Date </t>
  </si>
  <si>
    <t>SUMMARY</t>
  </si>
  <si>
    <t>TOTAL PART A - PRELIMS, SITE ESTABLISHMENT, E&amp;S Controls &amp; PREPARATIONS</t>
  </si>
  <si>
    <t>TOTAL PART B - EARTHWORKS</t>
  </si>
  <si>
    <t>TOTAL PART C - ROADWORKS</t>
  </si>
  <si>
    <t>TOTAL PART D - STORMWATER DRAINAGE</t>
  </si>
  <si>
    <t>TOTAL PART E - POTABLE WATER RETICULATION</t>
  </si>
  <si>
    <t>TOTAL PART F - SEWERAGE RETICULATION (RIGS)</t>
  </si>
  <si>
    <t>TOTAL PART G - STORMWATER TREATMENT</t>
  </si>
  <si>
    <t>TOTAL PART H - ELECTRICAL &amp; COMMUNICATIONS</t>
  </si>
  <si>
    <t>TOTAL PART I - INTERNAL PLUMBING</t>
  </si>
  <si>
    <t>SUB-TOTAL:</t>
  </si>
  <si>
    <t xml:space="preserve">COMBINED QLEAVE LEVY AND WORKPLACE HEALTH AND SAFETY FEE
</t>
  </si>
  <si>
    <t>(By Principal)</t>
  </si>
  <si>
    <t>ITEM DESCRIPTION</t>
  </si>
  <si>
    <t xml:space="preserve">QTY UNIT </t>
  </si>
  <si>
    <t xml:space="preserve">Rate </t>
  </si>
  <si>
    <t xml:space="preserve">Amount </t>
  </si>
  <si>
    <t>PART A - SITE ESTABLISHMENT AND PREPARATION</t>
  </si>
  <si>
    <t>1. Site establishment including mobilisation of plant and personnel.</t>
  </si>
  <si>
    <t xml:space="preserve">Item </t>
  </si>
  <si>
    <t>1. Site DeMob &amp; Clean</t>
  </si>
  <si>
    <t xml:space="preserve">2. Supply and erect approved 1200mm x 900mm project Notice </t>
  </si>
  <si>
    <t>board to Local Authority requirements.</t>
  </si>
  <si>
    <t xml:space="preserve">3. Provision for traffic, including installation of temporary warning </t>
  </si>
  <si>
    <t>devices and/or traffic controllers and /or traffic controllers and</t>
  </si>
  <si>
    <t>maintenance of access for site traffic, in accordance with approved</t>
  </si>
  <si>
    <t xml:space="preserve">Traffic Management Plan (to be organised by contractor)
</t>
  </si>
  <si>
    <t>4. Allowance for service location and potholing as required to</t>
  </si>
  <si>
    <t xml:space="preserve">confirm existing services and protect infrastructure throughout </t>
  </si>
  <si>
    <t>construction.</t>
  </si>
  <si>
    <t xml:space="preserve">5. Supply all materials, construct, maintain and remove on </t>
  </si>
  <si>
    <t>completion of works the erosion and sediment control measures as</t>
  </si>
  <si>
    <t>detailed. Note that the Contractor must engage their own CPESC for</t>
  </si>
  <si>
    <t>ongoing management of ESC Control measures on site.</t>
  </si>
  <si>
    <t xml:space="preserve">6.Clearing and grubbing, including removal of trees and grasses, </t>
  </si>
  <si>
    <t>existing fences, rubbish and debris from all work areas, including</t>
  </si>
  <si>
    <t>mulching of trees &amp; vegetation or removal from site as directed.</t>
  </si>
  <si>
    <t xml:space="preserve">7. Provision of Level 4 Arborist for attendance at pre-start meeting </t>
  </si>
  <si>
    <t>and during cleaning operations.</t>
  </si>
  <si>
    <t xml:space="preserve">8. Implementation of approved Vegetation Management Plan </t>
  </si>
  <si>
    <t xml:space="preserve">procedures, including supply and establishent of temporary fencing </t>
  </si>
  <si>
    <t xml:space="preserve">for protection of identified trees, vegetation to be preserved &amp; </t>
  </si>
  <si>
    <t>management of mulch stockpiles.</t>
  </si>
  <si>
    <t xml:space="preserve">9. Provision for obtaining EPA resuce permit and for payment to </t>
  </si>
  <si>
    <t>By Client</t>
  </si>
  <si>
    <t>accredited wildlife spotter / catched for attendance during clearing</t>
  </si>
  <si>
    <t xml:space="preserve">and grubbing operations, in accordance with approved Fauna </t>
  </si>
  <si>
    <t>Management Plan requirements.</t>
  </si>
  <si>
    <t>10.Condition of adjacent buildings and structures, carried out by</t>
  </si>
  <si>
    <t>accredited personnel prior to construction. - DELAP REPORT</t>
  </si>
  <si>
    <t>SURVEY</t>
  </si>
  <si>
    <t>Construciton Management Plan</t>
  </si>
  <si>
    <t>Geotech Report</t>
  </si>
  <si>
    <t>Skip Bin &amp; Rubbish</t>
  </si>
  <si>
    <t>TOTAL PART A:</t>
  </si>
  <si>
    <t>(Carried forward to Summary)</t>
  </si>
  <si>
    <t>PART B - EARTHWORKS</t>
  </si>
  <si>
    <t>1. Strip, stockpile and replace topsoil to allotments, verge and</t>
  </si>
  <si>
    <t>verge and batters including final trim and soil amendment (100mm</t>
  </si>
  <si>
    <t>nominal depth).</t>
  </si>
  <si>
    <t>(a) Strip to stockpiles.</t>
  </si>
  <si>
    <t>cu.m.</t>
  </si>
  <si>
    <t>(d) Respread topsoil from stockpiles</t>
  </si>
  <si>
    <t>(c) Removal of excess topsoil offsite.</t>
  </si>
  <si>
    <t xml:space="preserve">3. Earthworks in all materials including compaction, trimming and </t>
  </si>
  <si>
    <t>testing (by RPEQ Geotechnical Engineer) as specified:</t>
  </si>
  <si>
    <t>(a) On leads from site excavations to structural filling. (Nett cut)</t>
  </si>
  <si>
    <t>(b) Import of acceptable fill material to site (to LCC Requirements)</t>
  </si>
  <si>
    <t xml:space="preserve">inclusive of compaction factor (compacted fill in place).
</t>
  </si>
  <si>
    <t>(c) Trench Spoil (including stormwater, sewer, water &amp;</t>
  </si>
  <si>
    <t>electrical) to structural fill (Provisional)</t>
  </si>
  <si>
    <t xml:space="preserve">(d) Excavation of unsuitable material below ground surface or </t>
  </si>
  <si>
    <t xml:space="preserve">road subgrade , including removal to nonstructural areas and </t>
  </si>
  <si>
    <t xml:space="preserve">replacement with compacted,approved site material. (Provisional)
</t>
  </si>
  <si>
    <t>Strip Topsoil</t>
  </si>
  <si>
    <t>Remove Topsoil</t>
  </si>
  <si>
    <t>Cut-Fill</t>
  </si>
  <si>
    <t>Remove Trees_onsite</t>
  </si>
  <si>
    <t>Item</t>
  </si>
  <si>
    <t>Remove Spoil From site</t>
  </si>
  <si>
    <t xml:space="preserve">4 Extra/over Item 3 for excavation of general earthworks in rock by 
</t>
  </si>
  <si>
    <t>excavator larger than 148kW (Provisional).</t>
  </si>
  <si>
    <t>5.  Level 1 testing carried out by a NATA-accredited</t>
  </si>
  <si>
    <t>Lump Sum</t>
  </si>
  <si>
    <t>testing authority, including certification by an approved</t>
  </si>
  <si>
    <t>geotechnical engineer and Registered Professional</t>
  </si>
  <si>
    <t>Engineer Queensland (RPEQ), carried out in</t>
  </si>
  <si>
    <t>accordance with AS3798, including relative</t>
  </si>
  <si>
    <t>compaction testing carried out in accordance with</t>
  </si>
  <si>
    <t>AS1289 Series 5.</t>
  </si>
  <si>
    <t xml:space="preserve">6. Global stability analysis and certification, carried out on the </t>
  </si>
  <si>
    <t xml:space="preserve">completed earthworks and retaining walls by the Contractor's </t>
  </si>
  <si>
    <t xml:space="preserve">geotechnical engineer and Registered Professional Engineer </t>
  </si>
  <si>
    <t>Queensland (RPEQ).</t>
  </si>
  <si>
    <t xml:space="preserve">7. Allowance for site inspections by Principal's geotechnical </t>
  </si>
  <si>
    <t>PC Item</t>
  </si>
  <si>
    <t xml:space="preserve"> consultant, only if ordered by Superintendent. (Provisional)</t>
  </si>
  <si>
    <t>8. Grass seeding to the following areas:</t>
  </si>
  <si>
    <t>ha</t>
  </si>
  <si>
    <t>(a) Allotments</t>
  </si>
  <si>
    <t>(b) Extra/over - Supply and apply Vital Chemical spray or</t>
  </si>
  <si>
    <t>equivalent approved product (Provisional)</t>
  </si>
  <si>
    <t xml:space="preserve">9. Provide detailed design, supply all materials and construct the </t>
  </si>
  <si>
    <t xml:space="preserve">following precast concrete sleeper retaining wall system complete, </t>
  </si>
  <si>
    <t>including all components, additional excavation as required,</t>
  </si>
  <si>
    <t>drainage layer, connection of aggregate drains to stormwater system,</t>
  </si>
  <si>
    <t xml:space="preserve">approved backfilling, temporary safety fencing during construction, </t>
  </si>
  <si>
    <t>provision of structural design and supervision certificate by</t>
  </si>
  <si>
    <t xml:space="preserve">Registered Professional Engineer, Queensland and supply of testing </t>
  </si>
  <si>
    <t xml:space="preserve"> results to Superintendent certifying compliance (Work by specialist</t>
  </si>
  <si>
    <t>retaining wall subcontractor):</t>
  </si>
  <si>
    <t>(Note: Retaining wall quantities scheduled are based on square</t>
  </si>
  <si>
    <t>metres of exposed face area).</t>
  </si>
  <si>
    <t>(a) Single tier sleeper walls 1600mm maximum exposed hieght</t>
  </si>
  <si>
    <t>sq.m</t>
  </si>
  <si>
    <t xml:space="preserve">(b) Single tier sleeper walls 1600 - 2400mm maximum exposed </t>
  </si>
  <si>
    <t>height.</t>
  </si>
  <si>
    <t>(c) Fence Brackets</t>
  </si>
  <si>
    <t>10.  Provide detailed design, supply all materials and construct the</t>
  </si>
  <si>
    <t>following blockwork retaining wall system complete, including</t>
  </si>
  <si>
    <t>all components, additional excavation as required, drainage layer,</t>
  </si>
  <si>
    <t xml:space="preserve">connection of aggregate drains to stormwater system, approved
</t>
  </si>
  <si>
    <t xml:space="preserve">backfilling, temporary safety fencing during construction, provision </t>
  </si>
  <si>
    <t xml:space="preserve">of structural design and  supervision certificate by Registered </t>
  </si>
  <si>
    <t>Professional Engineer, Queensland and supply of testing results</t>
  </si>
  <si>
    <t xml:space="preserve">to Superintendent certifying compliance (Work by specialist 
</t>
  </si>
  <si>
    <t>retaining wall sub-contractor):</t>
  </si>
  <si>
    <t xml:space="preserve">(Note: Retaining wall quantities scheduled are based on square </t>
  </si>
  <si>
    <t>(a) Single tier block walls up to 2000mm maximum exposed height</t>
  </si>
  <si>
    <t>(b) Single tier block walls 2000 - 3000mm exposed height</t>
  </si>
  <si>
    <t xml:space="preserve">(c) Extra/over select waterproofing application to external face </t>
  </si>
  <si>
    <t>of blockwork wall to 1% AEP Flood Level (14.6m AHD).</t>
  </si>
  <si>
    <t>(d) Fence Brackets</t>
  </si>
  <si>
    <t>Rate Only</t>
  </si>
  <si>
    <t xml:space="preserve">11. Allowance for 3rd party RPEQ review of the retaining wall </t>
  </si>
  <si>
    <t>designs and provide review certificate.</t>
  </si>
  <si>
    <t>12. Provision of "as constructed" survey by Principal's icensed</t>
  </si>
  <si>
    <t xml:space="preserve">By others </t>
  </si>
  <si>
    <t>surveyor of finished allotment profiles, retaining walls, roadway profiles, stormwater</t>
  </si>
  <si>
    <t xml:space="preserve"> profiles, stormwater drainage and bio-basin areas, sewerage and 
</t>
  </si>
  <si>
    <t xml:space="preserve">water reticulation to Council requirements.
</t>
  </si>
  <si>
    <t>TOTAL PART B:</t>
  </si>
  <si>
    <t>PART C - ROADWORKS / Pavement</t>
  </si>
  <si>
    <t>1.  Supply all materials, excavate for, and construct sub-soils</t>
  </si>
  <si>
    <t xml:space="preserve"> lin.m.</t>
  </si>
  <si>
    <t xml:space="preserve">drains including cleanout points, outlet and backfilling. 
</t>
  </si>
  <si>
    <t>2. Trim pavement subgrade including compaction, proof_x0002_rolling and</t>
  </si>
  <si>
    <t>sq.m.</t>
  </si>
  <si>
    <t>testing.</t>
  </si>
  <si>
    <t>4. inal trim pavement base including compaction, proofrolling</t>
  </si>
  <si>
    <t>and testing.</t>
  </si>
  <si>
    <t xml:space="preserve">5.  Supply, spread and compact the following gravel pavement 
</t>
  </si>
  <si>
    <t>including testing:</t>
  </si>
  <si>
    <t>(a) Type 2.1 base course 150mm (CBR80)</t>
  </si>
  <si>
    <t>(b) Type 2.3 Sub-Base Course 150mm (CBR45)</t>
  </si>
  <si>
    <t>(c) Type 2.5 Lower Sub-base Course (CBR15)</t>
  </si>
  <si>
    <t>(d) Class 3 imported subgrade replacement material (CBR15)</t>
  </si>
  <si>
    <t xml:space="preserve"> including additional excavation and disposal of excavated
of excavated materials if ordered 300mm (Provisional)</t>
  </si>
  <si>
    <t xml:space="preserve"> materials if ordered 300mm (Provisional)</t>
  </si>
  <si>
    <t xml:space="preserve">6. Supply all materials and construct the following cast-in_x0002_situ </t>
  </si>
  <si>
    <t xml:space="preserve">concrete edge sections, complete including 75mm minimum </t>
  </si>
  <si>
    <t>gravel bedding and all tapers and transitions:</t>
  </si>
  <si>
    <t>(a) Mountable Kerb 'M3'</t>
  </si>
  <si>
    <t>(b) Edge Restraint 'ER2</t>
  </si>
  <si>
    <t xml:space="preserve">7. Supply all materials and construct reinforced concrete driveways </t>
  </si>
  <si>
    <t xml:space="preserve">as detailed including bedding, jointing, kerb transitions, blinding </t>
  </si>
  <si>
    <t xml:space="preserve">layer and finish including vehicular crossover at kerb in accordance </t>
  </si>
  <si>
    <t>with Logan City Council Standards:</t>
  </si>
  <si>
    <t xml:space="preserve">(a) Driveway for Lot 7 detail refer drawing BE210215-01-C350 for </t>
  </si>
  <si>
    <t>details</t>
  </si>
  <si>
    <t>(b) Modified driveway for Lots 15, 16 and Basin detail refer drawing</t>
  </si>
  <si>
    <t xml:space="preserve"> BE210215-01-C451 for details.</t>
  </si>
  <si>
    <t>Crossover</t>
  </si>
  <si>
    <t>No.</t>
  </si>
  <si>
    <t>Bedding Sand</t>
  </si>
  <si>
    <t>Testing</t>
  </si>
  <si>
    <t>Road Patch</t>
  </si>
  <si>
    <t>Kerb Patch</t>
  </si>
  <si>
    <t xml:space="preserve">8.  Supply materials and install approved full-height metal roofwater </t>
  </si>
  <si>
    <t xml:space="preserve">kerb adapters during kerb and channel  construction (minimum 2 </t>
  </si>
  <si>
    <t>per Lot) and associated stormwater pipe construction including:</t>
  </si>
  <si>
    <t>(a) Approved full-height metal roofwater kerb adaptors during kerb</t>
  </si>
  <si>
    <t>and channel construction .</t>
  </si>
  <si>
    <t>(b) Roof water pipe under concrete footpath (100mm)</t>
  </si>
  <si>
    <t>lin.m.</t>
  </si>
  <si>
    <t xml:space="preserve">(c) Roof water pipe under concrete footpath (150mm) to all </t>
  </si>
  <si>
    <t>nominated pits.</t>
  </si>
  <si>
    <t xml:space="preserve">9. Supply all materials and construct the following standard </t>
  </si>
  <si>
    <t xml:space="preserve"> reinforced concrete pathway, including excavation and restoration</t>
  </si>
  <si>
    <t>of surfaces.</t>
  </si>
  <si>
    <t>(a) 1200mm nominal width (Refer Standard Drawing 
IPWEAQ RS-065)</t>
  </si>
  <si>
    <t xml:space="preserve"> sq.m.</t>
  </si>
  <si>
    <t xml:space="preserve">IPWEAQ RS-065)
</t>
  </si>
  <si>
    <t>(b) Kerb ramps (Refer Standard Drawing IPWEAQ RS-065)_x0002_</t>
  </si>
  <si>
    <t xml:space="preserve">10. Supply all materials and construct bin collector pad including </t>
  </si>
  <si>
    <t xml:space="preserve">excavation, restoration of surfaces as detailed on the approved </t>
  </si>
  <si>
    <t>plans.</t>
  </si>
  <si>
    <t xml:space="preserve">11.  Supply all materials and construct the following asphalt </t>
  </si>
  <si>
    <t xml:space="preserve"> surfacing, including prime coat, seal and testing for:</t>
  </si>
  <si>
    <t>(a) AC10 - 35mm compacted thickness.</t>
  </si>
  <si>
    <t xml:space="preserve">12.  Supply materials for and action linemarking as per the </t>
  </si>
  <si>
    <t xml:space="preserve"> Item</t>
  </si>
  <si>
    <t>approved plans.</t>
  </si>
  <si>
    <t>13. Supply and install all signs including:</t>
  </si>
  <si>
    <t>(a) Street sign</t>
  </si>
  <si>
    <t>(b) R1-2A Giveway sign</t>
  </si>
  <si>
    <t>(c) D4-5 Obstruction marker</t>
  </si>
  <si>
    <t xml:space="preserve">(d) Timber bollards with reflective tape to road ends </t>
  </si>
  <si>
    <t>(Refer Landscape Architect Documentation)</t>
  </si>
  <si>
    <t xml:space="preserve">Allow for demolishing and replacing existing crossover </t>
  </si>
  <si>
    <t xml:space="preserve">14. Supply all materials, excavate for, bed, lay, joint and backfill </t>
  </si>
  <si>
    <t xml:space="preserve">100mm dia. UPVC PN9 water service road crossing conduits </t>
  </si>
  <si>
    <t xml:space="preserve"> complete including marker discs on kerb and testing of backfill </t>
  </si>
  <si>
    <t>compaction.</t>
  </si>
  <si>
    <t>15.  Turfing to Road Verge - Full width of verge</t>
  </si>
  <si>
    <t xml:space="preserve"> sq.m</t>
  </si>
  <si>
    <t>16.  Decommission and remove of existing VXO and driveways</t>
  </si>
  <si>
    <t xml:space="preserve">on Chambers Flat Road and reinstate the verge with turf &amp; kerb </t>
  </si>
  <si>
    <t xml:space="preserve"> and channel to existing conditions.
</t>
  </si>
  <si>
    <t>TOTAL PART C:</t>
  </si>
  <si>
    <t>PART D - STORMWATER DRAINAGE</t>
  </si>
  <si>
    <t>1. Supply and install all materials, clearing and grubbing, excavate</t>
  </si>
  <si>
    <t>for, bed, lay, joint and backfill the following drainage lines  and box</t>
  </si>
  <si>
    <t xml:space="preserve">culverts, including jointing materials, approved bedding,backfill,  </t>
  </si>
  <si>
    <t xml:space="preserve">approved backfill under roads, testing of backfill compaction, </t>
  </si>
  <si>
    <t>disposal of surplus materials off site and restoration of surfaces:</t>
  </si>
  <si>
    <t>a) Steel-reinforced concrete stormwater drainage pipes:</t>
  </si>
  <si>
    <t>(i) 375mm dia. Class 2 (RRJ)</t>
  </si>
  <si>
    <t>(ii) 375mm Class 4 RCP</t>
  </si>
  <si>
    <t>(b) SN8 PVC stormwater drainage pipes</t>
  </si>
  <si>
    <t xml:space="preserve">(i)150mm Class SN8 UPVC </t>
  </si>
  <si>
    <t>(ii) PIPE Ribbed RRJ 225MM</t>
  </si>
  <si>
    <t>(iii)  300mm Class SN8 PVC</t>
  </si>
  <si>
    <t>(iii)  PIPE Ribbed RRJ 375MM</t>
  </si>
  <si>
    <t>373 PP SN8</t>
  </si>
  <si>
    <t>2. Extra/over Item 1 for removal of unsuitable foundation</t>
  </si>
  <si>
    <t>material to stormwater lines and replacement with</t>
  </si>
  <si>
    <t>approved material (Provisional)</t>
  </si>
  <si>
    <t>3. Extra over for CBR15 backfill where pipes are located under roads</t>
  </si>
  <si>
    <t xml:space="preserve">or trafficable areas </t>
  </si>
  <si>
    <t>4. Extra/over Item 1 for excavation of rock in stormwater trenches</t>
  </si>
  <si>
    <t>as follows (Provisional):</t>
  </si>
  <si>
    <t>(a) By excavator larger than 148kW.</t>
  </si>
  <si>
    <t xml:space="preserve"> cu.m.</t>
  </si>
  <si>
    <t>(b) By jackhammer.</t>
  </si>
  <si>
    <t xml:space="preserve">5. Supply all materials and construct reinforced concrete </t>
  </si>
  <si>
    <t>headwalls to suit the following sized drainage lines, including</t>
  </si>
  <si>
    <t xml:space="preserve"> pedestrain safety fence &amp; dumped rock surround as per detail:</t>
  </si>
  <si>
    <t>(a) Twin 375mm Dia.</t>
  </si>
  <si>
    <t>6. Supply all materials, excavate for, and construct the following</t>
  </si>
  <si>
    <t xml:space="preserve">concrete stormwater inlet structures including reinforcement if </t>
  </si>
  <si>
    <t>requried (all depths) complete:</t>
  </si>
  <si>
    <t>(a) Single gully on grade or sag - small lintel.</t>
  </si>
  <si>
    <t>(b)600 x 600mm, Type 2A, I.A.W IPWEAQ DS-050</t>
  </si>
  <si>
    <t>(c) 600 x 600mm, Type 2A, I.A.W IPWEAQ DS-050. Dome</t>
  </si>
  <si>
    <t>top, including concrete apron - bio basin</t>
  </si>
  <si>
    <t>(d) 900x900 Field Inlet - Type 1 - Concrete Apron</t>
  </si>
  <si>
    <t>(e) 600x900 Field Inlet Pit with Class D Grated Lid</t>
  </si>
  <si>
    <t>Concrete/GRC - Class D - 900SQ Pit w/base -</t>
  </si>
  <si>
    <t xml:space="preserve">7.Roofwater Property Connections </t>
  </si>
  <si>
    <t>a)  150mm dia directly from chamber</t>
  </si>
  <si>
    <t>8. HEADWALLS</t>
  </si>
  <si>
    <t>a) 225 dia precast concrete complete</t>
  </si>
  <si>
    <t>b) 375 dia precast concrete complete</t>
  </si>
  <si>
    <t xml:space="preserve">Trench Gate </t>
  </si>
  <si>
    <t>9. Supply all materials, excavate for and construct the</t>
  </si>
  <si>
    <t>following concrete stormwater manholes, including</t>
  </si>
  <si>
    <t>lids, (all depths) complete:</t>
  </si>
  <si>
    <t>(a) 1050mm dia. &lt; 2m depth</t>
  </si>
  <si>
    <t>b) 1200mm dia. &lt; 2m depth</t>
  </si>
  <si>
    <t>c) 1500 dia</t>
  </si>
  <si>
    <t>Geo Testing</t>
  </si>
  <si>
    <t>Neighbouring Property additional Labour</t>
  </si>
  <si>
    <t>Neighbouring Property &amp; Balfour additional rectification</t>
  </si>
  <si>
    <t>Balfour St asphalt</t>
  </si>
  <si>
    <t>Balfour st vacuum truck</t>
  </si>
  <si>
    <t>Balfour st MH Additional hire, shore, plate etc</t>
  </si>
  <si>
    <t xml:space="preserve">10. Supply all materials, excavate for and construct swale, including </t>
  </si>
  <si>
    <t xml:space="preserve"> turfing. Refer drawing BE210215-01-C470 &amp; C471 for details.
</t>
  </si>
  <si>
    <t>11. BIO-RETENTION / DETENTION BASIN</t>
  </si>
  <si>
    <t>a) Excavation for bio-retention to fill onsite</t>
  </si>
  <si>
    <t>b) Impermeable proprietary liner fabric</t>
  </si>
  <si>
    <t>c) Subsoil Drainage, including collector pipe and clean out points</t>
  </si>
  <si>
    <t>d) Drainage layer</t>
  </si>
  <si>
    <t>e) Transition laye</t>
  </si>
  <si>
    <t>f) Filter Material, including testing</t>
  </si>
  <si>
    <t>g) Turf to filter area including geotextile</t>
  </si>
  <si>
    <t>h) Lock rail with steel posts I.A.W IPWEAQ RS-049</t>
  </si>
  <si>
    <t xml:space="preserve">i) Bio retention batter planting including subgrade </t>
  </si>
  <si>
    <t>cultivation, topsoil spread, coir netting, and planting</t>
  </si>
  <si>
    <t>complete. Refer Landscape Documentation prepared</t>
  </si>
  <si>
    <t>by Saunders Havill Group</t>
  </si>
  <si>
    <t>12. MISCELLANEOUS</t>
  </si>
  <si>
    <t>a)  Stone Pitching</t>
  </si>
  <si>
    <t>13. Carry out CCTV video survey and condition report on all</t>
  </si>
  <si>
    <t xml:space="preserve">stormwater drainage pipework after completion, in </t>
  </si>
  <si>
    <t>standard Council-prescribed format by approved</t>
  </si>
  <si>
    <t>consultant, for submission to Council by the</t>
  </si>
  <si>
    <t>Superintendent at the following stages of the works:</t>
  </si>
  <si>
    <t>(a) At Practical Completion of works ("On-Maintenance").</t>
  </si>
  <si>
    <t>(b) At time of "Off Maintenance" Inspection</t>
  </si>
  <si>
    <t xml:space="preserve">Allow for 150mm Wide Trench with Heel Guard Grage </t>
  </si>
  <si>
    <t xml:space="preserve">Allow for 450mm wide spoon drain </t>
  </si>
  <si>
    <t xml:space="preserve">Allow 200mm - 300 mm rock picking </t>
  </si>
  <si>
    <t xml:space="preserve">28 meter lever spreader as below </t>
  </si>
  <si>
    <t xml:space="preserve">Allow for 500 mm lever spreader </t>
  </si>
  <si>
    <t xml:space="preserve">Allow for 200 mm lever spreader </t>
  </si>
  <si>
    <t xml:space="preserve">Allow for 150 mm lever spreade </t>
  </si>
  <si>
    <t xml:space="preserve">65 mm knock outs @ 2m space </t>
  </si>
  <si>
    <t xml:space="preserve">DetentionTank </t>
  </si>
  <si>
    <t xml:space="preserve">Allow for 10mx 1.4 high detention wall </t>
  </si>
  <si>
    <t xml:space="preserve">Allow for 29.20m x 1.4m high detention wall </t>
  </si>
  <si>
    <t xml:space="preserve">Allow for 10m x29.20 detention Base </t>
  </si>
  <si>
    <t xml:space="preserve">Allow for 1.3m weir wall </t>
  </si>
  <si>
    <t>Allow for 450x150mm RECTANGULAR ORIFACE</t>
  </si>
  <si>
    <t>Allow for 750x150mm RECTANGULAR ORIFACE</t>
  </si>
  <si>
    <t xml:space="preserve">Allow for 0.80m weir </t>
  </si>
  <si>
    <t xml:space="preserve">Allow for Spel Treatment area </t>
  </si>
  <si>
    <t xml:space="preserve">Allow for Type A Precast lip in lin on Grade Gull Inlet </t>
  </si>
  <si>
    <t>Allow fpr 100 mm sub soil drainage</t>
  </si>
  <si>
    <t xml:space="preserve">TOTAL PART D: </t>
  </si>
  <si>
    <t>PART E - POTABLE WATER RETICULATION</t>
  </si>
  <si>
    <t xml:space="preserve">1. Supply all materials, clearing and grubbing, excavate in all </t>
  </si>
  <si>
    <t>materials, bed, lay, joint, backfill and all NATA testing for the</t>
  </si>
  <si>
    <t>following diameter water mains, including all fittings, bends,</t>
  </si>
  <si>
    <t xml:space="preserve">concrete thrustblocks, approved backfill under roads, testing of </t>
  </si>
  <si>
    <t>backfill compaction, pressure testing, disposal of surplus</t>
  </si>
  <si>
    <t>materials off site and restoration of surfaces:</t>
  </si>
  <si>
    <t>(a) 100mm dia. PVC-M PN16 Series 2 (RRJ).</t>
  </si>
  <si>
    <t>(b) 100mm dia. DICL PN35 Series 2 (RRJ).</t>
  </si>
  <si>
    <t xml:space="preserve">(c) 100mm dia. DICL Crossing underneath Stormwater </t>
  </si>
  <si>
    <t>(d)  DN25 PE 100</t>
  </si>
  <si>
    <t xml:space="preserve">pipework complete with concrete thrust restraints &amp; </t>
  </si>
  <si>
    <t xml:space="preserve">associated fittings in accordance with approved detail </t>
  </si>
  <si>
    <t>on drawing BE210215-01-C510.</t>
  </si>
  <si>
    <t xml:space="preserve">2. Extra/over Item 1 for excavation of rock in stormwater </t>
  </si>
  <si>
    <t>trenches as follows (Provisional):</t>
  </si>
  <si>
    <t>a) By excavator larger than 148kW.</t>
  </si>
  <si>
    <t>b) By jackhammer.</t>
  </si>
  <si>
    <t xml:space="preserve">3.  Supply all materials and install approved hydrants to </t>
  </si>
  <si>
    <t xml:space="preserve">the following diameter water mains complete, </t>
  </si>
  <si>
    <t>including hydrant tee, bend, riser, hydrant box</t>
  </si>
  <si>
    <t>concrete surround and kerb/pavement marking:</t>
  </si>
  <si>
    <t>(a) 100mm dia. On Line</t>
  </si>
  <si>
    <t>(b) Temporary Duck Foot Hydrant</t>
  </si>
  <si>
    <t>4. Supply all materials and install approved sluice valves</t>
  </si>
  <si>
    <t xml:space="preserve">to the following diameter water mains complete, </t>
  </si>
  <si>
    <t xml:space="preserve">including jointing, margin setts, boxes, associated </t>
  </si>
  <si>
    <t>concrete thrust restraint and kerb/pavement marking:</t>
  </si>
  <si>
    <t>(a) 100mm dia. end of line including puddle flange and</t>
  </si>
  <si>
    <t>concrete thrust restraint.</t>
  </si>
  <si>
    <t>5. Supply all materials and install the following internally</t>
  </si>
  <si>
    <t>lined and externally coated DICL fittings including bed,</t>
  </si>
  <si>
    <t>lay, joint, backfill and thrust blocks:</t>
  </si>
  <si>
    <t>(a) Tee:</t>
  </si>
  <si>
    <t>(i) 100mm x 100mm.</t>
  </si>
  <si>
    <t>(b) Bends:</t>
  </si>
  <si>
    <t>(i) 100mm dia. 11.25 degree Bend</t>
  </si>
  <si>
    <t>(ii)100mm x 22.5 degrees</t>
  </si>
  <si>
    <t>(iii)100mm x 45 degrees</t>
  </si>
  <si>
    <t>(iv) 100mm dia. 90 degree Bend</t>
  </si>
  <si>
    <t xml:space="preserve">6. Supply all materials and construct the following 25mm </t>
  </si>
  <si>
    <t>OD MDPE Series 1 SDR11 PE100 PN16 water</t>
  </si>
  <si>
    <t xml:space="preserve">service pipework complete including ball valves, </t>
  </si>
  <si>
    <t xml:space="preserve">additional footpath excavation, sand bedding, </t>
  </si>
  <si>
    <t>backfilling and property service marker discs:</t>
  </si>
  <si>
    <t>(a) To each allotment on same side of street.</t>
  </si>
  <si>
    <t xml:space="preserve"> No.</t>
  </si>
  <si>
    <t>(b) To each allotment on opposite side of street.</t>
  </si>
  <si>
    <t>(c) Extra Over Supply and Install Water Meters box complet</t>
  </si>
  <si>
    <t>7. Sterilisation of all water mains including supply of</t>
  </si>
  <si>
    <t xml:space="preserve">chlorine, water for chlorination and bacteriological </t>
  </si>
  <si>
    <t>sampling and testing.</t>
  </si>
  <si>
    <t>8.  Locate existing 100mm dia. water main and arrange</t>
  </si>
  <si>
    <t xml:space="preserve">connection of new water mains, complete including </t>
  </si>
  <si>
    <t xml:space="preserve">application forms and payment of all applicable fees </t>
  </si>
  <si>
    <t>and charges. (Provisional)</t>
  </si>
  <si>
    <t>Live water Con &amp; Prop Service</t>
  </si>
  <si>
    <t>Supply Meter_007 - DN100 Fire</t>
  </si>
  <si>
    <t>25Con &amp; Meter</t>
  </si>
  <si>
    <t xml:space="preserve">	Live work 1 , allow for expense of installing new fire hydrant </t>
  </si>
  <si>
    <t xml:space="preserve">No . </t>
  </si>
  <si>
    <t xml:space="preserve">Live work 2 , allow for connecting to the existing main , </t>
  </si>
  <si>
    <t xml:space="preserve">proposed DN25 Water service and 20mm meter </t>
  </si>
  <si>
    <t xml:space="preserve">	Live work 3 make connection live in Manhole </t>
  </si>
  <si>
    <t xml:space="preserve">TOTAL PART E: </t>
  </si>
  <si>
    <t>PART F - SEWERAGE RETICULATION</t>
  </si>
  <si>
    <t xml:space="preserve">1. Supply and install sewer pipes including clearing and </t>
  </si>
  <si>
    <t>grubbing, excavation, bends and fittings and</t>
  </si>
  <si>
    <t xml:space="preserve">backfilling of trenches, including approved backfill, </t>
  </si>
  <si>
    <t xml:space="preserve">approved trench filling, testing of backfill compaction, </t>
  </si>
  <si>
    <t xml:space="preserve">vacuum testing by NATA-approved laboratory, </t>
  </si>
  <si>
    <t xml:space="preserve">disposal of surplus materials off site and restoration of </t>
  </si>
  <si>
    <t>surfaces for sewer lines in the following depth ranges:</t>
  </si>
  <si>
    <t>(a) 150mm dia. PVC SN8 pipe:</t>
  </si>
  <si>
    <t>(i) &lt;1.5m depth.</t>
  </si>
  <si>
    <t>(i) 1.5 - 2.0m depth.</t>
  </si>
  <si>
    <t>(ii) 2.0 - 2.5m depth.</t>
  </si>
  <si>
    <t>(iii) 2.5 - 3.0m depth.</t>
  </si>
  <si>
    <t>(iv) 3.0 - 3.5m depth.</t>
  </si>
  <si>
    <t>(c) DN110 PE 100</t>
  </si>
  <si>
    <t>(d) DN160 PE100</t>
  </si>
  <si>
    <t xml:space="preserve">2.  Extra/over Item 1 for excavation of rock in stormwater </t>
  </si>
  <si>
    <t xml:space="preserve">3.  Supply all materials and construct the following </t>
  </si>
  <si>
    <t xml:space="preserve">precast sewer maintenance holes in accordance with </t>
  </si>
  <si>
    <t>SEQ standards, complete including bedding,</t>
  </si>
  <si>
    <t xml:space="preserve">benching, vacuum testing by NATA-approved </t>
  </si>
  <si>
    <t>laboratory and sub-soil drainage, but excluding frames</t>
  </si>
  <si>
    <t>and covers:</t>
  </si>
  <si>
    <t>(a) SEQ Type 'P2' - DN 1050mm:</t>
  </si>
  <si>
    <t>(ii) 1.5 - 2.0m depth.</t>
  </si>
  <si>
    <t>(iii) 2.0 - 2.5m depth.</t>
  </si>
  <si>
    <t>(iv) 2.5 - 3.0m depth.</t>
  </si>
  <si>
    <t>(v) 3.0 - 3.6m depth.</t>
  </si>
  <si>
    <t>Maintenance Shaft</t>
  </si>
  <si>
    <t>4. Supply all materials and install the following ductile</t>
  </si>
  <si>
    <t>iron maintenance hole covers, frames and surrounds</t>
  </si>
  <si>
    <t>complete, in accordance with SEQ requirements:</t>
  </si>
  <si>
    <t>(a) Class 'B' cover and frame (in roadways)</t>
  </si>
  <si>
    <t>(b) Class 'D' cover and frame (in roadways)</t>
  </si>
  <si>
    <t xml:space="preserve">5.  Supply all materials, excavate for, bed, lay, joint, </t>
  </si>
  <si>
    <t>backfill and test the following house connection</t>
  </si>
  <si>
    <t xml:space="preserve">branches to sewer lines complete, including fibreglass </t>
  </si>
  <si>
    <t xml:space="preserve">reinforced oblique junction fittings, bends, inspection </t>
  </si>
  <si>
    <t>tees, concrete surround and location markers:</t>
  </si>
  <si>
    <t>(a) 100mm dia. UPVC Class SN6:</t>
  </si>
  <si>
    <t>(i) Type A</t>
  </si>
  <si>
    <t>(ii) Type B</t>
  </si>
  <si>
    <t>(iii) Type D</t>
  </si>
  <si>
    <t xml:space="preserve">(iv) Type C </t>
  </si>
  <si>
    <t>6. MAINTENANCE SHAFTS</t>
  </si>
  <si>
    <t>Construct maintenance shafts including excavation,</t>
  </si>
  <si>
    <t>backfilling, rendering, benching, drops and step irons,</t>
  </si>
  <si>
    <t>excluding covers</t>
  </si>
  <si>
    <t>Rodding End</t>
  </si>
  <si>
    <t>Cap Seal Exisiting</t>
  </si>
  <si>
    <t xml:space="preserve">7. Supply all materials and construct the following </t>
  </si>
  <si>
    <t xml:space="preserve">maintenance hole drops complete, including coupling, </t>
  </si>
  <si>
    <t>hydrophylic rubber seal and short pipe as detailed:</t>
  </si>
  <si>
    <t>(a) 150mm dia. pipe:</t>
  </si>
  <si>
    <t>(i) Type V drop - benching only.</t>
  </si>
  <si>
    <t>(ii) Type Y</t>
  </si>
  <si>
    <t>(iii) Type W</t>
  </si>
  <si>
    <t>8. Supply all materials and construct temporary end cap</t>
  </si>
  <si>
    <t>to UPVC Class SN8 sewer lines to be extended in</t>
  </si>
  <si>
    <t>future contracts, including approved location markers.</t>
  </si>
  <si>
    <t xml:space="preserve">9.  Decomission and remove existing sewer main and </t>
  </si>
  <si>
    <t xml:space="preserve">structure between new structures 01/01 &amp; 04/01 </t>
  </si>
  <si>
    <t xml:space="preserve">including excavation, disposal of pipe and structure </t>
  </si>
  <si>
    <t>offsite, backfill, compaction and testing, after</t>
  </si>
  <si>
    <t>successful live connections of the new sewer.</t>
  </si>
  <si>
    <t>10. Complete live works break-in of existing sewer pipe</t>
  </si>
  <si>
    <t xml:space="preserve">crown upon successful completion of On-Maintenance </t>
  </si>
  <si>
    <t xml:space="preserve">Inspection. Refer to drawing BE210215-01-C620 for </t>
  </si>
  <si>
    <t>additional details. (Provisional)</t>
  </si>
  <si>
    <t xml:space="preserve">11.  Carry out CCTV video survey and condition report on </t>
  </si>
  <si>
    <t>all sewerage reticulation pipework, in standard Council_x0002_</t>
  </si>
  <si>
    <t xml:space="preserve">prescribed format by approved consultant, for </t>
  </si>
  <si>
    <t xml:space="preserve">submission to Council by the Superintendent at the </t>
  </si>
  <si>
    <t>following stages of the works:</t>
  </si>
  <si>
    <t>(a) At Practical Completion of works ("On Maintenance").</t>
  </si>
  <si>
    <t>(b) At time of "Off-Maintenance" Inspection</t>
  </si>
  <si>
    <t>CCTV Of exisitng to confirm OK for use</t>
  </si>
  <si>
    <t>VAC TEST</t>
  </si>
  <si>
    <t>GEO TEST</t>
  </si>
  <si>
    <t>Conc Test</t>
  </si>
  <si>
    <t xml:space="preserve">12. Excavation </t>
  </si>
  <si>
    <t>a) Extra over for excavation in rock</t>
  </si>
  <si>
    <t>b) Extra over for excavation and disposal of unsuitable</t>
  </si>
  <si>
    <t>material and supply of additional bedding to trench or</t>
  </si>
  <si>
    <t>structure foundation</t>
  </si>
  <si>
    <t xml:space="preserve"> 13. BEDDING</t>
  </si>
  <si>
    <t>a) Extra over for Type 4 bedding</t>
  </si>
  <si>
    <t xml:space="preserve"> Rate Only</t>
  </si>
  <si>
    <t xml:space="preserve"> 14. MISCELLANEOUS</t>
  </si>
  <si>
    <t xml:space="preserve">a) Live sewer works delivered under the LCC Developer </t>
  </si>
  <si>
    <t>delivered live works process, excluding Council and</t>
  </si>
  <si>
    <t>Consultant fees</t>
  </si>
  <si>
    <t xml:space="preserve">TOTAL PART F: </t>
  </si>
  <si>
    <t>PART G - STORMWATER TREATMENT</t>
  </si>
  <si>
    <t>Phase 1: Sediment Basin</t>
  </si>
  <si>
    <t>Allowed for in Part A - Item 5</t>
  </si>
  <si>
    <t xml:space="preserve">1. Excavation in all materials within bio-basins to nominal </t>
  </si>
  <si>
    <t>1000mm below ultimate top of media level to establish</t>
  </si>
  <si>
    <t xml:space="preserve">temporary sediment control basin, including lead </t>
  </si>
  <si>
    <t>excavated material to site fill areas as directed.</t>
  </si>
  <si>
    <t xml:space="preserve">2.  Maintenance of sediment control basins, including </t>
  </si>
  <si>
    <t xml:space="preserve">pump-out and manual flocculation following rainfall </t>
  </si>
  <si>
    <t>events throughout construction.</t>
  </si>
  <si>
    <t>3. Testing of sediment basin water quality by NATA_x0002_</t>
  </si>
  <si>
    <t>accredited laboratory prior to commencement of</t>
  </si>
  <si>
    <t>dewatering.</t>
  </si>
  <si>
    <t>Phase 2: Building Work Phase</t>
  </si>
  <si>
    <t>4. Decommissioning and cleanout of sediment basin</t>
  </si>
  <si>
    <t>following completion of civil infrastructure works,</t>
  </si>
  <si>
    <t xml:space="preserve">including trim floor of basin to level of ultimate base of </t>
  </si>
  <si>
    <t>drainage layer:</t>
  </si>
  <si>
    <t xml:space="preserve">overflow weirs to basins, complete as detailed, </t>
  </si>
  <si>
    <t>ncluding all reinforcement and jointing.</t>
  </si>
  <si>
    <t>(a) Overflow weir (4m wide) - reno mattress scheduled elsewhere.</t>
  </si>
  <si>
    <t xml:space="preserve">(b) High flow weir (3.5m wide) - reno mattress scheduled </t>
  </si>
  <si>
    <t>elsewhere.</t>
  </si>
  <si>
    <t>6.  Supply all materials and construct coarse forebay inlet</t>
  </si>
  <si>
    <t xml:space="preserve">area, including all concrete and steal reinforcement, </t>
  </si>
  <si>
    <t>nib wall and energy dissipator as detailed on the</t>
  </si>
  <si>
    <t xml:space="preserve">drawings, generally in accordance with the detailed </t>
  </si>
  <si>
    <t>design drawings.</t>
  </si>
  <si>
    <t xml:space="preserve">7.  Supply all materials and install flood hazard sign at </t>
  </si>
  <si>
    <t>basin entrance.</t>
  </si>
  <si>
    <t>8. Supply all materials and construct compacted gravel</t>
  </si>
  <si>
    <t>driveway &amp; 1m access track in accordance with</t>
  </si>
  <si>
    <t>drawings.</t>
  </si>
  <si>
    <t>9. Supply all materials and construct 175mm thick</t>
  </si>
  <si>
    <t xml:space="preserve">concrete access driveway. Refer basin driveway </t>
  </si>
  <si>
    <t>access detail on drawing BE210215-01-C451.</t>
  </si>
  <si>
    <t xml:space="preserve">10. Supply all materials and construct 300mm thick rock </t>
  </si>
  <si>
    <t xml:space="preserve"> scour protection with 200mm nominal dia. Rock </t>
  </si>
  <si>
    <t>adjacent to sediment forebay.</t>
  </si>
  <si>
    <t xml:space="preserve">11. Supply all materials and construct 230mm thick Reno </t>
  </si>
  <si>
    <t xml:space="preserve">rock mattress 80-150mm dia. Rock. Refer to drawing </t>
  </si>
  <si>
    <t>BE210215-01-462 for details.</t>
  </si>
  <si>
    <t>12. Supply all materials, excavate for and construct the</t>
  </si>
  <si>
    <t>following bio-basin inlet structures including rock scour</t>
  </si>
  <si>
    <t>protection surrounds &amp; filter cloth, as detailed:</t>
  </si>
  <si>
    <t>(a) 900 x 600 pit with hinged gate</t>
  </si>
  <si>
    <t>(b) 900 x 900 pit with hinged gate with 425mm diameter</t>
  </si>
  <si>
    <t>orifice plate.</t>
  </si>
  <si>
    <t xml:space="preserve">13. Supply and install all materials, clearing and grubbing, </t>
  </si>
  <si>
    <t>excavate for, bed, lay, joint and backfill the following</t>
  </si>
  <si>
    <t xml:space="preserve">drainage lines , including jointing materials, approved </t>
  </si>
  <si>
    <t xml:space="preserve">bedding, backfill, approved backfill under roads, </t>
  </si>
  <si>
    <t>testing of backfill compaction, disposal of surplus</t>
  </si>
  <si>
    <t>(a) 450mm dia. Class 2 (RRJ). (including concrete collar)</t>
  </si>
  <si>
    <t xml:space="preserve">14. Supply all materials, excavate for and construct </t>
  </si>
  <si>
    <t>headwalls to suit the following inlet/outlet structures:</t>
  </si>
  <si>
    <t>(a) 450mm dia.</t>
  </si>
  <si>
    <t>15. Supply all materials, excavate for and install 150mm</t>
  </si>
  <si>
    <t xml:space="preserve">dia. solid HDPE collector pipe as outlet line from </t>
  </si>
  <si>
    <t>drainage layer to basin outlet pit, as detailed.</t>
  </si>
  <si>
    <t>16. Supply all materials, excavate for and install 100mm</t>
  </si>
  <si>
    <t>dia. slotted HDPE collector pipe in drainage layer to</t>
  </si>
  <si>
    <t>collector pipes, as detailed including branches and</t>
  </si>
  <si>
    <t>clean-out drain as detailed.</t>
  </si>
  <si>
    <t>17. Supply all materials and construct bio-basin drainage</t>
  </si>
  <si>
    <t>cu.m</t>
  </si>
  <si>
    <t xml:space="preserve">layer, as detailed (2-5mm screenings), nominal </t>
  </si>
  <si>
    <t>150mm depth.</t>
  </si>
  <si>
    <t>18. Supply all materials and install coarse sand transition</t>
  </si>
  <si>
    <t xml:space="preserve"> cu.m</t>
  </si>
  <si>
    <t>layer, nominal 100mm depth, as detailed.</t>
  </si>
  <si>
    <t>19. Supply all materials and install approved filter media</t>
  </si>
  <si>
    <t>as detailed (sandy loam material), to nominal 600mm</t>
  </si>
  <si>
    <t>depth as directed.</t>
  </si>
  <si>
    <t>20. Supply all materials and install approved geofabric</t>
  </si>
  <si>
    <t xml:space="preserve">liner as media surround to floor and walls of ultimate </t>
  </si>
  <si>
    <t>bio basin, as detailed.</t>
  </si>
  <si>
    <t>21. Supply and place temporary approved cover-turf to top</t>
  </si>
  <si>
    <t>of bio basin areas, including sacrificial geofabric layer.</t>
  </si>
  <si>
    <t>22. Supply and install slip rail gate as per council</t>
  </si>
  <si>
    <t>standards and details.</t>
  </si>
  <si>
    <t>23.  Install all required fencing and landscaping treatments</t>
  </si>
  <si>
    <t>NO DETAILS</t>
  </si>
  <si>
    <t xml:space="preserve">around bio-retention basin as detailed on Landscape </t>
  </si>
  <si>
    <t>Architect's plans.</t>
  </si>
  <si>
    <t>Phase 3: Vegetation Planting Phase</t>
  </si>
  <si>
    <t>(Provisional - Upon Completion of 80% of houses/building works)</t>
  </si>
  <si>
    <t>24. At completion of building works phase, remove</t>
  </si>
  <si>
    <t>temporary cover from top of basins:</t>
  </si>
  <si>
    <t>25. Supply all materials and extend approved filter media</t>
  </si>
  <si>
    <t>(sandy loam material), to finished basin surface level</t>
  </si>
  <si>
    <t>as directed (nominal 100mm depth):</t>
  </si>
  <si>
    <t>26. Supply materials and carry out vegetation</t>
  </si>
  <si>
    <t>stabilisation/landscaping to basin areas as detailed:</t>
  </si>
  <si>
    <t>TOTAL PART G:</t>
  </si>
  <si>
    <t>PART H - ELECTRICAL &amp; COMMUNICATIONS (PROVISIONAL)</t>
  </si>
  <si>
    <t xml:space="preserve">(N.B All work to be carried out by Energex and Telstra accredited </t>
  </si>
  <si>
    <t>contractors)</t>
  </si>
  <si>
    <t>1.  Excavate for the following road crossing conduits for</t>
  </si>
  <si>
    <t xml:space="preserve">all depths, including supply and place approved </t>
  </si>
  <si>
    <t xml:space="preserve">bedding and surround and approved backfill </t>
  </si>
  <si>
    <t>(Provisional).</t>
  </si>
  <si>
    <t>(a) Electrical and communications joint-use trench.</t>
  </si>
  <si>
    <t>lin.m</t>
  </si>
  <si>
    <t>(b) Single-Use Trench</t>
  </si>
  <si>
    <t>2. Supply all materials, lay and joint the following road</t>
  </si>
  <si>
    <t xml:space="preserve">crossing conduits including draw rope, marker discs, </t>
  </si>
  <si>
    <t>warning tape and plastic cover strip: (Provisional)</t>
  </si>
  <si>
    <t>(a) Electrical Conduits (Orange PVC)</t>
  </si>
  <si>
    <t>(i) 40mm dia. Heavy duty (street light conduit).</t>
  </si>
  <si>
    <t xml:space="preserve"> lin.m</t>
  </si>
  <si>
    <t>(ii) 100mm dia. Light duty</t>
  </si>
  <si>
    <t>(iii) 125mm dia. Light duty</t>
  </si>
  <si>
    <t xml:space="preserve">(b) Electrical Communication Circuit Conduits (White </t>
  </si>
  <si>
    <t>PVC)</t>
  </si>
  <si>
    <t>(i) 100mm dia. Medium duty</t>
  </si>
  <si>
    <t>(c) Telstra / NBN Conduits (white PVC)</t>
  </si>
  <si>
    <t>(i) 50mm Dia light duty.</t>
  </si>
  <si>
    <t>(ii) 100mm dia. Light duty.</t>
  </si>
  <si>
    <t xml:space="preserve">(d) Private Commmunications / C.A.T.V Conduits (White </t>
  </si>
  <si>
    <t>(i) 100mm dia. Light duty.</t>
  </si>
  <si>
    <t>TOTAL PART H:</t>
  </si>
  <si>
    <t>PART E - INTERNAL PLUMBING</t>
  </si>
  <si>
    <t>Council Fees</t>
  </si>
  <si>
    <t>Inspection, test cert</t>
  </si>
  <si>
    <t xml:space="preserve">Sewer Divert </t>
  </si>
  <si>
    <t>SCOPE OF WORKS</t>
  </si>
  <si>
    <t>Our proposal is based on the civil design package provided by Burchills Consulting Engineers. In no way should it be</t>
  </si>
  <si>
    <t>deemed that we have included something detailed or noted in other drawings or documents either supplied or not. We note</t>
  </si>
  <si>
    <t>hat landscape drawings were not provided as part of the tender package.</t>
  </si>
  <si>
    <t>CLARIFICATIONS SPECIFIC TO THE SCOPE</t>
  </si>
  <si>
    <t>Preliminary</t>
  </si>
  <si>
    <t>• No allowance has been made for payment of such fees as portable long service levy, workplace health and safety ee, local authority applications and/or inspection fees or bonds.</t>
  </si>
  <si>
    <t>Clearing and demolition</t>
  </si>
  <si>
    <t xml:space="preserve">• No allowance has been made for additional works, delays or costs associated with, treatment, management, </t>
  </si>
  <si>
    <t>demolition, protection, removal or reinstatement of Trees/Flaura/Root systems incl Arborist costs or NALL permits.</t>
  </si>
  <si>
    <t>• No allowance has been made for creation, implementation or management of Vegetation Management plans.</t>
  </si>
  <si>
    <t>• No allowance has been made to remove tree stumps on boundaries where damage to existing fences or structures could occur.</t>
  </si>
  <si>
    <t>• No allowance has been made for vacuum excavation of tree stumps in or close to existing underground services, fences or tree protection zones or at the direction of an arborist.</t>
  </si>
  <si>
    <t>• We have made no allowance for encountering asbestos or potential asbestos containing materials above or below he ground.</t>
  </si>
  <si>
    <t xml:space="preserve">• No allowance has been made to demolish and reconstruct existing structures unless detailed. </t>
  </si>
  <si>
    <t>Earthworks</t>
  </si>
  <si>
    <t>• No allowance has been made for encountering, removing and treatment of PASS (Potential Acid Sulphate Soils) or unsuitable material below the natural surface.</t>
  </si>
  <si>
    <t>COMMERCIAL</t>
  </si>
  <si>
    <t>GST</t>
  </si>
  <si>
    <t>Unless specifically noted, all prices or rates provided in the tender schedule are excluding GST.</t>
  </si>
  <si>
    <t>Insurances</t>
  </si>
  <si>
    <t xml:space="preserve">We have allowed for public and products liability to $20million and WorkCover or where not applicable, personal accident </t>
  </si>
  <si>
    <t>insurance. We have assumed that our scope will fall under the principal contractors contract works insurance.</t>
  </si>
  <si>
    <t>GENERAL</t>
  </si>
  <si>
    <t>Working hours</t>
  </si>
  <si>
    <t xml:space="preserve">Tender provided is based on permitted hours of work for that local council, and is generally Monday to Friday – 6:30am to </t>
  </si>
  <si>
    <t>6:30pm excluding public holidays. Should work be required outside these hours, this will incur additional costs. Reduced</t>
  </si>
  <si>
    <t>allowable working hours as a result of permit conditions may also incur additional costs</t>
  </si>
  <si>
    <t>Program of works</t>
  </si>
  <si>
    <t xml:space="preserve">Our construction duration is approx. 16 weeks from date of possession of site. If successful we can provide a detailed </t>
  </si>
  <si>
    <t>program of works. Lead time on permits for this project are 8-10 Weeks.</t>
  </si>
  <si>
    <t>Extensions of time</t>
  </si>
  <si>
    <t>Wet weather, unforeseen circumstances, encountering rock or unsuitable material, design changes, interruption by other</t>
  </si>
  <si>
    <t>trades, public holidays and Christmas closure periods will require extensions of time. To remove any doubt; rain and the</t>
  </si>
  <si>
    <t xml:space="preserve">effects of rain will trigger an extension of time. This may include days proceeding a rain event, where no productive work can </t>
  </si>
  <si>
    <t>be undertaken. Safety issues will be considered, as will the ability to undertake works in accordance with engineering</t>
  </si>
  <si>
    <t>requirements.</t>
  </si>
  <si>
    <t>Damage caused by others</t>
  </si>
  <si>
    <t>No allowance has been made for the repair of damage to works caused by others, including damage caused by building</t>
  </si>
  <si>
    <t>trades and/or client’s subcontractors during construction and/or maintenance periods.</t>
  </si>
  <si>
    <t>Existing services</t>
  </si>
  <si>
    <t xml:space="preserve">Unless specifically noted by a scheduled item, no allowances are made for protection, and/or support of, and/or relocation of </t>
  </si>
  <si>
    <t>existing services.</t>
  </si>
  <si>
    <t>Survey Control</t>
  </si>
  <si>
    <t>Survey control data, control points and electronic data shall be provided prior to commencement. We have assumed</t>
  </si>
  <si>
    <t>boundary pegs placed by a cadastral surveyor will be in place prior to our mobilisation to site.</t>
  </si>
  <si>
    <t>TCS Quote #: 2378</t>
  </si>
  <si>
    <t>Stormwater Drainage (Civil &amp; Hydraulic)</t>
  </si>
  <si>
    <t>headwall(600mm pipe )</t>
  </si>
  <si>
    <t>Headwall (250mm pipe )</t>
  </si>
  <si>
    <t>1050 dia</t>
  </si>
  <si>
    <t>450x450 poly</t>
  </si>
  <si>
    <t xml:space="preserve">300x300 ploy </t>
  </si>
  <si>
    <t>900X600</t>
  </si>
  <si>
    <t xml:space="preserve">900x600 cast Iron lid and concret around </t>
  </si>
  <si>
    <t xml:space="preserve">100 X 45D PVC JUNCTION </t>
  </si>
  <si>
    <t xml:space="preserve">kerb adapter </t>
  </si>
  <si>
    <t xml:space="preserve">subsoil drain </t>
  </si>
  <si>
    <t xml:space="preserve">225mm Pipe stud </t>
  </si>
  <si>
    <t>450x450 CL D Gal Lockable Sump Grate &amp; Frame</t>
  </si>
  <si>
    <t>750X450 RCBC + 2 OF CONCRETE HEADWALL ( CAR PARK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</si>
</sst>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;[Red]\-&quot;$&quot;#,##0.00"/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&quot;$&quot;#,##0.00"/>
    <numFmt numFmtId="166" formatCode="&quot;$&quot;#,##0"/>
    <numFmt numFmtId="167" formatCode="_-&quot;$&quot;* #,##0_-;\-&quot;$&quot;* #,##0_-;_-&quot;$&quot;* &quot;-&quot;??_-;_-@_-"/>
    <numFmt numFmtId="168" formatCode="0.0%"/>
    <numFmt numFmtId="169" formatCode="0.000"/>
    <numFmt numFmtId="170" formatCode="0.0"/>
    <numFmt numFmtId="175" formatCode="_-&quot;$&quot;* #,##0.00_-;\-&quot;$&quot;* #,##0.00_-;_-&quot;$&quot;* &quot;-&quot;??_-;_-@_-"/>
  </numFmts>
  <fonts count="8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theme="11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  <font>
      <b/>
      <u val="singleAccounting"/>
      <sz val="8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b/>
      <sz val="12"/>
      <name val="Arial"/>
      <family val="2"/>
    </font>
    <font>
      <b/>
      <u/>
      <sz val="11"/>
      <color theme="1"/>
      <name val="Calibri"/>
      <family val="2"/>
      <scheme val="minor"/>
    </font>
    <font>
      <b/>
      <sz val="10"/>
      <name val="Century Gothic"/>
      <family val="2"/>
    </font>
    <font>
      <b/>
      <sz val="12"/>
      <color theme="5"/>
      <name val="Century Gothic"/>
      <family val="2"/>
    </font>
    <font>
      <b/>
      <sz val="10"/>
      <name val="Calibri Light"/>
      <family val="2"/>
      <scheme val="major"/>
    </font>
    <font>
      <sz val="9"/>
      <color theme="1"/>
      <name val="Calibri"/>
      <family val="2"/>
      <scheme val="minor"/>
    </font>
    <font>
      <b/>
      <sz val="9"/>
      <name val="Century Gothic"/>
      <family val="2"/>
    </font>
    <font>
      <sz val="9"/>
      <color theme="5"/>
      <name val="Calibri"/>
      <family val="2"/>
      <scheme val="minor"/>
    </font>
    <font>
      <b/>
      <sz val="9"/>
      <color theme="5"/>
      <name val="Century Gothic"/>
      <family val="2"/>
    </font>
    <font>
      <sz val="9"/>
      <name val="Century Gothic"/>
      <family val="2"/>
    </font>
    <font>
      <sz val="9"/>
      <color theme="5"/>
      <name val="Century Gothic"/>
      <family val="2"/>
    </font>
    <font>
      <sz val="8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i/>
      <sz val="16"/>
      <color theme="5"/>
      <name val="Calibri"/>
      <family val="2"/>
      <scheme val="minor"/>
    </font>
    <font>
      <b/>
      <i/>
      <sz val="11"/>
      <color theme="5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5"/>
      <name val="Arial"/>
      <family val="2"/>
    </font>
    <font>
      <b/>
      <sz val="8"/>
      <color rgb="FFFF0000"/>
      <name val="Arial"/>
      <family val="2"/>
    </font>
    <font>
      <b/>
      <u/>
      <sz val="8"/>
      <color rgb="FFFF0000"/>
      <name val="Arial"/>
      <family val="2"/>
    </font>
    <font>
      <b/>
      <sz val="14"/>
      <name val="Arial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0"/>
      <color theme="0"/>
      <name val="Century Gothic"/>
      <family val="2"/>
    </font>
    <font>
      <b/>
      <sz val="16"/>
      <name val="Century Gothic"/>
      <family val="2"/>
    </font>
    <font>
      <b/>
      <sz val="10"/>
      <color theme="1"/>
      <name val="Century Gothic"/>
      <family val="2"/>
    </font>
    <font>
      <b/>
      <sz val="10"/>
      <color theme="1"/>
      <name val="Calibri Light"/>
      <family val="2"/>
      <scheme val="major"/>
    </font>
    <font>
      <b/>
      <u/>
      <sz val="9"/>
      <color theme="1"/>
      <name val="Century Gothic"/>
      <family val="2"/>
    </font>
    <font>
      <b/>
      <sz val="9"/>
      <color theme="3" tint="-0.499984740745262"/>
      <name val="Century Gothic"/>
      <family val="2"/>
    </font>
    <font>
      <b/>
      <sz val="12"/>
      <color theme="3" tint="-0.499984740745262"/>
      <name val="Century Gothic"/>
      <family val="2"/>
    </font>
    <font>
      <sz val="11"/>
      <color rgb="FFFF0000"/>
      <name val="Calibri"/>
      <family val="2"/>
      <scheme val="minor"/>
    </font>
    <font>
      <b/>
      <sz val="14"/>
      <color theme="0"/>
      <name val="Arial"/>
      <family val="2"/>
    </font>
    <font>
      <b/>
      <i/>
      <sz val="10"/>
      <name val="Arial"/>
      <family val="2"/>
    </font>
    <font>
      <sz val="10"/>
      <color rgb="FFFF0000"/>
      <name val="Arial"/>
      <family val="2"/>
    </font>
    <font>
      <b/>
      <u/>
      <sz val="10"/>
      <name val="Arial"/>
      <family val="2"/>
    </font>
    <font>
      <strike/>
      <sz val="10"/>
      <name val="Arial"/>
      <family val="2"/>
    </font>
    <font>
      <b/>
      <strike/>
      <sz val="10"/>
      <name val="Arial"/>
      <family val="2"/>
    </font>
    <font>
      <b/>
      <strike/>
      <u/>
      <sz val="10"/>
      <name val="Arial"/>
      <family val="2"/>
    </font>
    <font>
      <b/>
      <strike/>
      <u/>
      <sz val="11"/>
      <color theme="1"/>
      <name val="Calibri"/>
      <family val="2"/>
      <scheme val="minor"/>
    </font>
    <font>
      <i/>
      <strike/>
      <sz val="10"/>
      <color theme="5"/>
      <name val="Arial"/>
      <family val="2"/>
    </font>
    <font>
      <b/>
      <sz val="11"/>
      <color theme="1"/>
      <name val="Abadi"/>
      <family val="2"/>
    </font>
    <font>
      <u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sz val="16"/>
      <color theme="1"/>
      <name val="Abadi"/>
      <family val="2"/>
    </font>
    <font>
      <b/>
      <sz val="12"/>
      <color theme="1"/>
      <name val="Calibri"/>
      <family val="2"/>
      <scheme val="minor"/>
    </font>
    <font>
      <sz val="8"/>
      <name val="Arial"/>
      <family val="2"/>
    </font>
    <font>
      <sz val="10"/>
      <color theme="1"/>
      <name val="Arial"/>
      <family val="2"/>
    </font>
    <font>
      <sz val="9"/>
      <color indexed="81"/>
      <name val="Tahoma"/>
      <charset val="1"/>
    </font>
  </fonts>
  <fills count="2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lightUp">
        <bgColor theme="0" tint="-0.14993743705557422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dashed">
        <color auto="1"/>
      </right>
      <top style="medium">
        <color auto="1"/>
      </top>
      <bottom style="dashed">
        <color auto="1"/>
      </bottom>
      <diagonal/>
    </border>
    <border>
      <left/>
      <right style="dashed">
        <color auto="1"/>
      </right>
      <top/>
      <bottom/>
      <diagonal/>
    </border>
    <border>
      <left/>
      <right style="dashed">
        <color auto="1"/>
      </right>
      <top style="dashed">
        <color auto="1"/>
      </top>
      <bottom style="medium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4" tint="0.39997558519241921"/>
      </left>
      <right/>
      <top style="medium">
        <color theme="4" tint="0.39997558519241921"/>
      </top>
      <bottom style="medium">
        <color theme="4" tint="0.39997558519241921"/>
      </bottom>
      <diagonal/>
    </border>
    <border>
      <left style="medium">
        <color theme="4" tint="0.39997558519241921"/>
      </left>
      <right style="thin">
        <color theme="4" tint="0.39997558519241921"/>
      </right>
      <top style="medium">
        <color theme="4" tint="0.39997558519241921"/>
      </top>
      <bottom style="double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medium">
        <color theme="4" tint="0.39997558519241921"/>
      </top>
      <bottom style="double">
        <color theme="4" tint="0.39997558519241921"/>
      </bottom>
      <diagonal/>
    </border>
    <border>
      <left style="thin">
        <color theme="4" tint="0.39997558519241921"/>
      </left>
      <right style="medium">
        <color theme="4" tint="0.39997558519241921"/>
      </right>
      <top style="medium">
        <color theme="4" tint="0.39997558519241921"/>
      </top>
      <bottom style="double">
        <color theme="4" tint="0.39997558519241921"/>
      </bottom>
      <diagonal/>
    </border>
    <border>
      <left/>
      <right/>
      <top style="medium">
        <color theme="4" tint="0.39997558519241921"/>
      </top>
      <bottom style="double">
        <color theme="4" tint="0.39997558519241921"/>
      </bottom>
      <diagonal/>
    </border>
    <border>
      <left style="medium">
        <color theme="4" tint="0.39997558519241921"/>
      </left>
      <right style="medium">
        <color theme="4" tint="0.39997558519241921"/>
      </right>
      <top style="medium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theme="4" tint="0.39997558519241921"/>
      </right>
      <top style="medium">
        <color theme="4" tint="0.39997558519241921"/>
      </top>
      <bottom style="thin">
        <color theme="4" tint="0.39997558519241921"/>
      </bottom>
      <diagonal/>
    </border>
    <border>
      <left style="medium">
        <color theme="4" tint="0.39997558519241921"/>
      </left>
      <right/>
      <top style="medium">
        <color theme="4" tint="0.39997558519241921"/>
      </top>
      <bottom/>
      <diagonal/>
    </border>
    <border>
      <left style="medium">
        <color theme="4" tint="0.39997558519241921"/>
      </left>
      <right style="thin">
        <color theme="4" tint="0.39997558519241921"/>
      </right>
      <top style="medium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medium">
        <color theme="4" tint="0.39997558519241921"/>
      </top>
      <bottom/>
      <diagonal/>
    </border>
    <border>
      <left style="thin">
        <color theme="4" tint="0.39997558519241921"/>
      </left>
      <right style="medium">
        <color theme="4" tint="0.39997558519241921"/>
      </right>
      <top style="medium">
        <color theme="4" tint="0.39997558519241921"/>
      </top>
      <bottom/>
      <diagonal/>
    </border>
    <border>
      <left/>
      <right/>
      <top style="medium">
        <color theme="4" tint="0.39997558519241921"/>
      </top>
      <bottom/>
      <diagonal/>
    </border>
    <border>
      <left style="medium">
        <color theme="4" tint="0.39997558519241921"/>
      </left>
      <right style="medium">
        <color theme="4" tint="0.39997558519241921"/>
      </right>
      <top/>
      <bottom style="thin">
        <color theme="4" tint="0.3999755851924192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37">
    <xf numFmtId="0" fontId="0" fillId="0" borderId="0"/>
    <xf numFmtId="44" fontId="26" fillId="0" borderId="0" applyFont="0" applyFill="0" applyBorder="0" applyAlignment="0" applyProtection="0"/>
    <xf numFmtId="0" fontId="26" fillId="0" borderId="0"/>
    <xf numFmtId="0" fontId="28" fillId="0" borderId="0" applyNumberFormat="0" applyFill="0" applyBorder="0" applyAlignment="0" applyProtection="0"/>
    <xf numFmtId="9" fontId="21" fillId="0" borderId="0" applyFont="0" applyFill="0" applyBorder="0" applyAlignment="0" applyProtection="0"/>
    <xf numFmtId="0" fontId="26" fillId="0" borderId="0"/>
    <xf numFmtId="9" fontId="20" fillId="0" borderId="0" applyFont="0" applyFill="0" applyBorder="0" applyAlignment="0" applyProtection="0"/>
    <xf numFmtId="44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9" fontId="16" fillId="0" borderId="0" applyFont="0" applyFill="0" applyBorder="0" applyAlignment="0" applyProtection="0"/>
    <xf numFmtId="0" fontId="15" fillId="0" borderId="0"/>
    <xf numFmtId="44" fontId="15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44" fontId="12" fillId="0" borderId="0" applyFont="0" applyFill="0" applyBorder="0" applyAlignment="0" applyProtection="0"/>
    <xf numFmtId="0" fontId="12" fillId="0" borderId="0"/>
    <xf numFmtId="0" fontId="11" fillId="0" borderId="0"/>
    <xf numFmtId="0" fontId="11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7" fillId="0" borderId="0"/>
    <xf numFmtId="44" fontId="7" fillId="0" borderId="0" applyFont="0" applyFill="0" applyBorder="0" applyAlignment="0" applyProtection="0"/>
    <xf numFmtId="0" fontId="6" fillId="0" borderId="0"/>
    <xf numFmtId="0" fontId="1" fillId="0" borderId="0"/>
    <xf numFmtId="175" fontId="1" fillId="0" borderId="0" applyFont="0" applyFill="0" applyBorder="0" applyAlignment="0" applyProtection="0"/>
  </cellStyleXfs>
  <cellXfs count="649">
    <xf numFmtId="0" fontId="0" fillId="0" borderId="0" xfId="0"/>
    <xf numFmtId="0" fontId="22" fillId="0" borderId="0" xfId="0" applyFont="1"/>
    <xf numFmtId="165" fontId="22" fillId="0" borderId="0" xfId="0" applyNumberFormat="1" applyFont="1"/>
    <xf numFmtId="166" fontId="23" fillId="0" borderId="0" xfId="0" applyNumberFormat="1" applyFont="1" applyAlignment="1">
      <alignment horizontal="right" vertical="top"/>
    </xf>
    <xf numFmtId="166" fontId="22" fillId="0" borderId="0" xfId="0" applyNumberFormat="1" applyFont="1" applyAlignment="1">
      <alignment horizontal="right" vertical="top"/>
    </xf>
    <xf numFmtId="0" fontId="23" fillId="0" borderId="0" xfId="0" applyFont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horizontal="left" vertical="top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horizontal="center" vertical="top"/>
    </xf>
    <xf numFmtId="0" fontId="24" fillId="0" borderId="0" xfId="0" applyFont="1" applyAlignment="1">
      <alignment horizontal="center"/>
    </xf>
    <xf numFmtId="0" fontId="22" fillId="3" borderId="3" xfId="0" applyFont="1" applyFill="1" applyBorder="1"/>
    <xf numFmtId="0" fontId="22" fillId="3" borderId="4" xfId="0" applyFont="1" applyFill="1" applyBorder="1"/>
    <xf numFmtId="0" fontId="22" fillId="0" borderId="0" xfId="0" applyFont="1" applyAlignment="1">
      <alignment horizontal="right"/>
    </xf>
    <xf numFmtId="44" fontId="22" fillId="3" borderId="4" xfId="1" applyFont="1" applyFill="1" applyBorder="1" applyAlignment="1">
      <alignment horizontal="left"/>
    </xf>
    <xf numFmtId="165" fontId="22" fillId="0" borderId="0" xfId="0" applyNumberFormat="1" applyFont="1" applyAlignment="1">
      <alignment horizontal="center"/>
    </xf>
    <xf numFmtId="0" fontId="25" fillId="0" borderId="4" xfId="0" applyFont="1" applyBorder="1" applyAlignment="1">
      <alignment horizontal="center"/>
    </xf>
    <xf numFmtId="0" fontId="22" fillId="3" borderId="5" xfId="0" applyFont="1" applyFill="1" applyBorder="1"/>
    <xf numFmtId="44" fontId="22" fillId="3" borderId="6" xfId="1" applyFont="1" applyFill="1" applyBorder="1" applyAlignment="1">
      <alignment horizontal="left"/>
    </xf>
    <xf numFmtId="0" fontId="22" fillId="2" borderId="0" xfId="0" applyFont="1" applyFill="1"/>
    <xf numFmtId="165" fontId="22" fillId="2" borderId="0" xfId="0" applyNumberFormat="1" applyFont="1" applyFill="1"/>
    <xf numFmtId="165" fontId="22" fillId="2" borderId="0" xfId="0" applyNumberFormat="1" applyFont="1" applyFill="1" applyAlignment="1">
      <alignment horizontal="center"/>
    </xf>
    <xf numFmtId="44" fontId="22" fillId="0" borderId="4" xfId="1" applyFont="1" applyBorder="1"/>
    <xf numFmtId="44" fontId="22" fillId="0" borderId="0" xfId="1" applyFont="1"/>
    <xf numFmtId="0" fontId="28" fillId="0" borderId="0" xfId="3"/>
    <xf numFmtId="44" fontId="22" fillId="0" borderId="0" xfId="0" applyNumberFormat="1" applyFont="1"/>
    <xf numFmtId="8" fontId="22" fillId="0" borderId="0" xfId="0" applyNumberFormat="1" applyFont="1"/>
    <xf numFmtId="44" fontId="22" fillId="0" borderId="0" xfId="1" applyFont="1" applyFill="1" applyBorder="1"/>
    <xf numFmtId="0" fontId="29" fillId="0" borderId="0" xfId="0" applyFont="1"/>
    <xf numFmtId="165" fontId="30" fillId="0" borderId="7" xfId="0" applyNumberFormat="1" applyFont="1" applyBorder="1" applyAlignment="1">
      <alignment horizontal="right"/>
    </xf>
    <xf numFmtId="165" fontId="23" fillId="0" borderId="0" xfId="0" applyNumberFormat="1" applyFont="1" applyAlignment="1">
      <alignment horizontal="right"/>
    </xf>
    <xf numFmtId="44" fontId="22" fillId="0" borderId="8" xfId="1" applyFont="1" applyBorder="1"/>
    <xf numFmtId="44" fontId="22" fillId="0" borderId="7" xfId="0" applyNumberFormat="1" applyFont="1" applyBorder="1"/>
    <xf numFmtId="44" fontId="23" fillId="0" borderId="0" xfId="1" applyFont="1" applyAlignment="1">
      <alignment horizontal="right"/>
    </xf>
    <xf numFmtId="0" fontId="23" fillId="0" borderId="0" xfId="0" applyFont="1"/>
    <xf numFmtId="165" fontId="23" fillId="0" borderId="0" xfId="0" applyNumberFormat="1" applyFont="1"/>
    <xf numFmtId="0" fontId="23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2" fontId="23" fillId="0" borderId="0" xfId="4" applyNumberFormat="1" applyFont="1" applyAlignment="1">
      <alignment horizontal="right"/>
    </xf>
    <xf numFmtId="44" fontId="23" fillId="0" borderId="0" xfId="0" applyNumberFormat="1" applyFont="1"/>
    <xf numFmtId="44" fontId="31" fillId="0" borderId="0" xfId="0" applyNumberFormat="1" applyFont="1"/>
    <xf numFmtId="44" fontId="22" fillId="3" borderId="4" xfId="1" applyFont="1" applyFill="1" applyBorder="1"/>
    <xf numFmtId="0" fontId="23" fillId="0" borderId="0" xfId="0" applyFont="1" applyAlignment="1">
      <alignment horizontal="center"/>
    </xf>
    <xf numFmtId="8" fontId="23" fillId="0" borderId="0" xfId="0" applyNumberFormat="1" applyFont="1"/>
    <xf numFmtId="0" fontId="22" fillId="0" borderId="4" xfId="0" applyFont="1" applyBorder="1"/>
    <xf numFmtId="165" fontId="23" fillId="0" borderId="0" xfId="0" applyNumberFormat="1" applyFont="1" applyAlignment="1">
      <alignment horizontal="center"/>
    </xf>
    <xf numFmtId="2" fontId="22" fillId="0" borderId="0" xfId="4" applyNumberFormat="1" applyFont="1" applyAlignment="1">
      <alignment horizontal="center"/>
    </xf>
    <xf numFmtId="2" fontId="23" fillId="0" borderId="0" xfId="4" applyNumberFormat="1" applyFont="1" applyAlignment="1">
      <alignment horizontal="center"/>
    </xf>
    <xf numFmtId="2" fontId="22" fillId="0" borderId="0" xfId="0" applyNumberFormat="1" applyFont="1" applyAlignment="1">
      <alignment horizontal="center"/>
    </xf>
    <xf numFmtId="0" fontId="22" fillId="0" borderId="0" xfId="2" applyFont="1"/>
    <xf numFmtId="0" fontId="23" fillId="0" borderId="0" xfId="2" applyFont="1"/>
    <xf numFmtId="0" fontId="22" fillId="0" borderId="0" xfId="2" applyFont="1" applyAlignment="1">
      <alignment horizontal="center"/>
    </xf>
    <xf numFmtId="44" fontId="22" fillId="0" borderId="0" xfId="7" applyFont="1"/>
    <xf numFmtId="0" fontId="23" fillId="0" borderId="0" xfId="2" applyFont="1" applyAlignment="1">
      <alignment horizontal="center"/>
    </xf>
    <xf numFmtId="0" fontId="33" fillId="0" borderId="0" xfId="2" applyFont="1"/>
    <xf numFmtId="0" fontId="23" fillId="0" borderId="9" xfId="2" applyFont="1" applyBorder="1"/>
    <xf numFmtId="44" fontId="22" fillId="0" borderId="0" xfId="7" applyFont="1" applyFill="1" applyBorder="1"/>
    <xf numFmtId="0" fontId="34" fillId="7" borderId="10" xfId="2" applyFont="1" applyFill="1" applyBorder="1"/>
    <xf numFmtId="0" fontId="34" fillId="0" borderId="11" xfId="2" applyFont="1" applyBorder="1"/>
    <xf numFmtId="44" fontId="23" fillId="0" borderId="0" xfId="7" applyFont="1" applyAlignment="1">
      <alignment horizontal="center"/>
    </xf>
    <xf numFmtId="0" fontId="34" fillId="0" borderId="0" xfId="2" applyFont="1"/>
    <xf numFmtId="44" fontId="23" fillId="0" borderId="0" xfId="7" applyFont="1" applyFill="1"/>
    <xf numFmtId="9" fontId="22" fillId="0" borderId="0" xfId="8" applyFont="1" applyAlignment="1">
      <alignment horizontal="center"/>
    </xf>
    <xf numFmtId="164" fontId="22" fillId="0" borderId="0" xfId="2" applyNumberFormat="1" applyFont="1"/>
    <xf numFmtId="0" fontId="23" fillId="4" borderId="0" xfId="2" applyFont="1" applyFill="1"/>
    <xf numFmtId="44" fontId="22" fillId="0" borderId="0" xfId="7" applyFont="1" applyFill="1"/>
    <xf numFmtId="44" fontId="22" fillId="0" borderId="0" xfId="2" applyNumberFormat="1" applyFont="1"/>
    <xf numFmtId="0" fontId="34" fillId="0" borderId="9" xfId="2" applyFont="1" applyBorder="1"/>
    <xf numFmtId="0" fontId="23" fillId="0" borderId="0" xfId="2" applyFont="1" applyAlignment="1">
      <alignment horizontal="right"/>
    </xf>
    <xf numFmtId="44" fontId="23" fillId="9" borderId="0" xfId="7" applyFont="1" applyFill="1"/>
    <xf numFmtId="0" fontId="23" fillId="3" borderId="0" xfId="2" applyFont="1" applyFill="1" applyAlignment="1">
      <alignment horizontal="right"/>
    </xf>
    <xf numFmtId="44" fontId="23" fillId="3" borderId="0" xfId="2" applyNumberFormat="1" applyFont="1" applyFill="1"/>
    <xf numFmtId="10" fontId="22" fillId="0" borderId="0" xfId="8" applyNumberFormat="1" applyFont="1"/>
    <xf numFmtId="10" fontId="22" fillId="0" borderId="0" xfId="7" applyNumberFormat="1" applyFont="1"/>
    <xf numFmtId="0" fontId="22" fillId="0" borderId="0" xfId="2" quotePrefix="1" applyFont="1"/>
    <xf numFmtId="0" fontId="36" fillId="0" borderId="15" xfId="10" applyFont="1" applyBorder="1" applyAlignment="1">
      <alignment horizontal="center" vertical="center" wrapText="1"/>
    </xf>
    <xf numFmtId="164" fontId="37" fillId="3" borderId="15" xfId="11" applyFont="1" applyFill="1" applyBorder="1" applyAlignment="1">
      <alignment vertical="center"/>
    </xf>
    <xf numFmtId="164" fontId="36" fillId="2" borderId="15" xfId="11" applyFont="1" applyFill="1" applyBorder="1" applyAlignment="1">
      <alignment horizontal="center" vertical="center"/>
    </xf>
    <xf numFmtId="0" fontId="19" fillId="0" borderId="0" xfId="10"/>
    <xf numFmtId="0" fontId="36" fillId="11" borderId="15" xfId="10" applyFont="1" applyFill="1" applyBorder="1" applyAlignment="1">
      <alignment horizontal="center" vertical="center" wrapText="1"/>
    </xf>
    <xf numFmtId="2" fontId="38" fillId="12" borderId="15" xfId="11" applyNumberFormat="1" applyFont="1" applyFill="1" applyBorder="1" applyAlignment="1">
      <alignment horizontal="center" vertical="center" wrapText="1"/>
    </xf>
    <xf numFmtId="167" fontId="36" fillId="2" borderId="15" xfId="11" applyNumberFormat="1" applyFont="1" applyFill="1" applyBorder="1" applyAlignment="1">
      <alignment horizontal="center" vertical="center" wrapText="1"/>
    </xf>
    <xf numFmtId="167" fontId="36" fillId="12" borderId="15" xfId="11" applyNumberFormat="1" applyFont="1" applyFill="1" applyBorder="1" applyAlignment="1">
      <alignment horizontal="center" vertical="center" wrapText="1"/>
    </xf>
    <xf numFmtId="0" fontId="36" fillId="12" borderId="15" xfId="11" applyNumberFormat="1" applyFont="1" applyFill="1" applyBorder="1" applyAlignment="1">
      <alignment horizontal="center" vertical="center" wrapText="1"/>
    </xf>
    <xf numFmtId="0" fontId="39" fillId="0" borderId="16" xfId="10" applyFont="1" applyBorder="1" applyAlignment="1">
      <alignment horizontal="center"/>
    </xf>
    <xf numFmtId="2" fontId="19" fillId="0" borderId="15" xfId="10" applyNumberFormat="1" applyBorder="1"/>
    <xf numFmtId="9" fontId="40" fillId="2" borderId="15" xfId="12" applyFont="1" applyFill="1" applyBorder="1" applyAlignment="1">
      <alignment horizontal="center" vertical="center"/>
    </xf>
    <xf numFmtId="164" fontId="41" fillId="0" borderId="15" xfId="10" applyNumberFormat="1" applyFont="1" applyBorder="1" applyAlignment="1">
      <alignment horizontal="center"/>
    </xf>
    <xf numFmtId="0" fontId="42" fillId="13" borderId="15" xfId="12" applyNumberFormat="1" applyFont="1" applyFill="1" applyBorder="1" applyAlignment="1">
      <alignment horizontal="center" vertical="center"/>
    </xf>
    <xf numFmtId="164" fontId="39" fillId="0" borderId="15" xfId="10" applyNumberFormat="1" applyFont="1" applyBorder="1" applyAlignment="1">
      <alignment horizontal="center"/>
    </xf>
    <xf numFmtId="0" fontId="40" fillId="13" borderId="15" xfId="12" applyNumberFormat="1" applyFont="1" applyFill="1" applyBorder="1" applyAlignment="1">
      <alignment horizontal="center" vertical="center"/>
    </xf>
    <xf numFmtId="0" fontId="43" fillId="13" borderId="15" xfId="11" applyNumberFormat="1" applyFont="1" applyFill="1" applyBorder="1" applyAlignment="1">
      <alignment horizontal="center" vertical="center"/>
    </xf>
    <xf numFmtId="44" fontId="42" fillId="13" borderId="15" xfId="12" applyNumberFormat="1" applyFont="1" applyFill="1" applyBorder="1" applyAlignment="1">
      <alignment horizontal="center" vertical="center"/>
    </xf>
    <xf numFmtId="0" fontId="39" fillId="5" borderId="16" xfId="10" applyFont="1" applyFill="1" applyBorder="1" applyAlignment="1">
      <alignment horizontal="center"/>
    </xf>
    <xf numFmtId="2" fontId="19" fillId="5" borderId="15" xfId="10" applyNumberFormat="1" applyFill="1" applyBorder="1"/>
    <xf numFmtId="9" fontId="40" fillId="5" borderId="15" xfId="12" applyFont="1" applyFill="1" applyBorder="1" applyAlignment="1">
      <alignment horizontal="center" vertical="center"/>
    </xf>
    <xf numFmtId="164" fontId="41" fillId="5" borderId="15" xfId="10" applyNumberFormat="1" applyFont="1" applyFill="1" applyBorder="1" applyAlignment="1">
      <alignment horizontal="center"/>
    </xf>
    <xf numFmtId="0" fontId="42" fillId="5" borderId="15" xfId="12" applyNumberFormat="1" applyFont="1" applyFill="1" applyBorder="1" applyAlignment="1">
      <alignment horizontal="center" vertical="center"/>
    </xf>
    <xf numFmtId="164" fontId="39" fillId="5" borderId="15" xfId="10" applyNumberFormat="1" applyFont="1" applyFill="1" applyBorder="1" applyAlignment="1">
      <alignment horizontal="center"/>
    </xf>
    <xf numFmtId="0" fontId="40" fillId="5" borderId="15" xfId="12" applyNumberFormat="1" applyFont="1" applyFill="1" applyBorder="1" applyAlignment="1">
      <alignment horizontal="center" vertical="center"/>
    </xf>
    <xf numFmtId="167" fontId="43" fillId="2" borderId="15" xfId="11" applyNumberFormat="1" applyFont="1" applyFill="1" applyBorder="1" applyAlignment="1">
      <alignment horizontal="center" vertical="center"/>
    </xf>
    <xf numFmtId="0" fontId="42" fillId="13" borderId="15" xfId="11" applyNumberFormat="1" applyFont="1" applyFill="1" applyBorder="1" applyAlignment="1">
      <alignment horizontal="center" vertical="center"/>
    </xf>
    <xf numFmtId="0" fontId="40" fillId="13" borderId="15" xfId="11" applyNumberFormat="1" applyFont="1" applyFill="1" applyBorder="1" applyAlignment="1">
      <alignment horizontal="center" vertical="center"/>
    </xf>
    <xf numFmtId="167" fontId="43" fillId="2" borderId="15" xfId="11" applyNumberFormat="1" applyFont="1" applyFill="1" applyBorder="1" applyAlignment="1">
      <alignment horizontal="left" vertical="center"/>
    </xf>
    <xf numFmtId="164" fontId="39" fillId="13" borderId="15" xfId="10" applyNumberFormat="1" applyFont="1" applyFill="1" applyBorder="1" applyAlignment="1">
      <alignment horizontal="center"/>
    </xf>
    <xf numFmtId="167" fontId="40" fillId="2" borderId="15" xfId="11" applyNumberFormat="1" applyFont="1" applyFill="1" applyBorder="1" applyAlignment="1">
      <alignment horizontal="left" vertical="center"/>
    </xf>
    <xf numFmtId="0" fontId="44" fillId="13" borderId="15" xfId="11" applyNumberFormat="1" applyFont="1" applyFill="1" applyBorder="1" applyAlignment="1">
      <alignment horizontal="center" vertical="center"/>
    </xf>
    <xf numFmtId="2" fontId="19" fillId="0" borderId="0" xfId="10" applyNumberFormat="1"/>
    <xf numFmtId="0" fontId="19" fillId="0" borderId="0" xfId="10" applyAlignment="1">
      <alignment horizontal="center"/>
    </xf>
    <xf numFmtId="44" fontId="22" fillId="7" borderId="4" xfId="1" applyFont="1" applyFill="1" applyBorder="1"/>
    <xf numFmtId="0" fontId="45" fillId="0" borderId="0" xfId="0" applyFont="1"/>
    <xf numFmtId="0" fontId="22" fillId="0" borderId="0" xfId="0" applyFont="1" applyAlignment="1">
      <alignment horizontal="left"/>
    </xf>
    <xf numFmtId="0" fontId="24" fillId="0" borderId="0" xfId="0" applyFont="1"/>
    <xf numFmtId="9" fontId="24" fillId="0" borderId="0" xfId="13" applyFont="1" applyAlignment="1">
      <alignment horizontal="center"/>
    </xf>
    <xf numFmtId="0" fontId="22" fillId="3" borderId="0" xfId="0" applyFont="1" applyFill="1"/>
    <xf numFmtId="44" fontId="22" fillId="3" borderId="0" xfId="1" applyFont="1" applyFill="1" applyBorder="1" applyAlignment="1">
      <alignment horizontal="left"/>
    </xf>
    <xf numFmtId="0" fontId="23" fillId="3" borderId="0" xfId="0" applyFont="1" applyFill="1" applyAlignment="1">
      <alignment horizontal="right"/>
    </xf>
    <xf numFmtId="9" fontId="23" fillId="3" borderId="0" xfId="13" applyFont="1" applyFill="1" applyAlignment="1">
      <alignment horizontal="center"/>
    </xf>
    <xf numFmtId="44" fontId="23" fillId="3" borderId="0" xfId="0" applyNumberFormat="1" applyFont="1" applyFill="1"/>
    <xf numFmtId="0" fontId="24" fillId="15" borderId="0" xfId="0" applyFont="1" applyFill="1"/>
    <xf numFmtId="9" fontId="24" fillId="15" borderId="0" xfId="13" applyFont="1" applyFill="1" applyAlignment="1">
      <alignment horizontal="center"/>
    </xf>
    <xf numFmtId="44" fontId="23" fillId="4" borderId="0" xfId="0" applyNumberFormat="1" applyFont="1" applyFill="1"/>
    <xf numFmtId="0" fontId="23" fillId="2" borderId="10" xfId="2" applyFont="1" applyFill="1" applyBorder="1"/>
    <xf numFmtId="44" fontId="22" fillId="0" borderId="0" xfId="7" applyFont="1" applyBorder="1"/>
    <xf numFmtId="0" fontId="56" fillId="0" borderId="0" xfId="2" applyFont="1"/>
    <xf numFmtId="44" fontId="22" fillId="0" borderId="0" xfId="7" applyFont="1" applyAlignment="1">
      <alignment horizontal="center"/>
    </xf>
    <xf numFmtId="0" fontId="22" fillId="4" borderId="0" xfId="2" applyFont="1" applyFill="1" applyAlignment="1">
      <alignment horizontal="center"/>
    </xf>
    <xf numFmtId="44" fontId="22" fillId="4" borderId="0" xfId="7" applyFont="1" applyFill="1"/>
    <xf numFmtId="0" fontId="22" fillId="21" borderId="0" xfId="2" applyFont="1" applyFill="1"/>
    <xf numFmtId="2" fontId="22" fillId="0" borderId="0" xfId="2" applyNumberFormat="1" applyFont="1" applyAlignment="1">
      <alignment horizontal="center"/>
    </xf>
    <xf numFmtId="165" fontId="22" fillId="0" borderId="0" xfId="7" applyNumberFormat="1" applyFont="1" applyFill="1" applyBorder="1"/>
    <xf numFmtId="0" fontId="23" fillId="15" borderId="39" xfId="2" applyFont="1" applyFill="1" applyBorder="1" applyAlignment="1">
      <alignment horizontal="right"/>
    </xf>
    <xf numFmtId="0" fontId="22" fillId="15" borderId="40" xfId="2" applyFont="1" applyFill="1" applyBorder="1" applyAlignment="1">
      <alignment horizontal="center"/>
    </xf>
    <xf numFmtId="0" fontId="23" fillId="0" borderId="40" xfId="2" applyFont="1" applyBorder="1" applyAlignment="1">
      <alignment horizontal="center"/>
    </xf>
    <xf numFmtId="165" fontId="22" fillId="0" borderId="0" xfId="2" applyNumberFormat="1" applyFont="1" applyAlignment="1">
      <alignment horizontal="right"/>
    </xf>
    <xf numFmtId="0" fontId="22" fillId="0" borderId="41" xfId="2" applyFont="1" applyBorder="1"/>
    <xf numFmtId="0" fontId="22" fillId="4" borderId="0" xfId="2" applyFont="1" applyFill="1"/>
    <xf numFmtId="44" fontId="23" fillId="4" borderId="40" xfId="7" applyFont="1" applyFill="1" applyBorder="1" applyAlignment="1">
      <alignment horizontal="right"/>
    </xf>
    <xf numFmtId="44" fontId="23" fillId="4" borderId="0" xfId="7" applyFont="1" applyFill="1"/>
    <xf numFmtId="0" fontId="22" fillId="0" borderId="0" xfId="2" applyFont="1" applyAlignment="1">
      <alignment horizontal="left"/>
    </xf>
    <xf numFmtId="0" fontId="58" fillId="4" borderId="1" xfId="2" applyFont="1" applyFill="1" applyBorder="1"/>
    <xf numFmtId="0" fontId="23" fillId="0" borderId="2" xfId="2" applyFont="1" applyBorder="1" applyAlignment="1">
      <alignment horizontal="center"/>
    </xf>
    <xf numFmtId="0" fontId="23" fillId="0" borderId="3" xfId="2" applyFont="1" applyBorder="1"/>
    <xf numFmtId="0" fontId="23" fillId="0" borderId="4" xfId="2" applyFont="1" applyBorder="1" applyAlignment="1">
      <alignment horizontal="center"/>
    </xf>
    <xf numFmtId="0" fontId="23" fillId="0" borderId="3" xfId="2" applyFont="1" applyBorder="1" applyAlignment="1">
      <alignment horizontal="right"/>
    </xf>
    <xf numFmtId="2" fontId="23" fillId="0" borderId="4" xfId="2" applyNumberFormat="1" applyFont="1" applyBorder="1" applyAlignment="1">
      <alignment horizontal="center"/>
    </xf>
    <xf numFmtId="0" fontId="23" fillId="0" borderId="5" xfId="2" applyFont="1" applyBorder="1" applyAlignment="1">
      <alignment horizontal="right"/>
    </xf>
    <xf numFmtId="2" fontId="23" fillId="0" borderId="6" xfId="2" applyNumberFormat="1" applyFont="1" applyBorder="1" applyAlignment="1">
      <alignment horizontal="center"/>
    </xf>
    <xf numFmtId="0" fontId="23" fillId="3" borderId="12" xfId="2" applyFont="1" applyFill="1" applyBorder="1"/>
    <xf numFmtId="0" fontId="22" fillId="5" borderId="11" xfId="2" applyFont="1" applyFill="1" applyBorder="1" applyAlignment="1">
      <alignment horizontal="center"/>
    </xf>
    <xf numFmtId="44" fontId="22" fillId="5" borderId="2" xfId="7" applyFont="1" applyFill="1" applyBorder="1"/>
    <xf numFmtId="0" fontId="57" fillId="10" borderId="19" xfId="2" applyFont="1" applyFill="1" applyBorder="1"/>
    <xf numFmtId="0" fontId="22" fillId="5" borderId="3" xfId="2" applyFont="1" applyFill="1" applyBorder="1" applyAlignment="1">
      <alignment horizontal="center"/>
    </xf>
    <xf numFmtId="0" fontId="22" fillId="5" borderId="0" xfId="2" applyFont="1" applyFill="1" applyAlignment="1">
      <alignment horizontal="center"/>
    </xf>
    <xf numFmtId="44" fontId="23" fillId="5" borderId="0" xfId="7" applyFont="1" applyFill="1" applyBorder="1"/>
    <xf numFmtId="44" fontId="22" fillId="5" borderId="4" xfId="7" applyFont="1" applyFill="1" applyBorder="1"/>
    <xf numFmtId="0" fontId="23" fillId="0" borderId="18" xfId="2" applyFont="1" applyBorder="1"/>
    <xf numFmtId="0" fontId="22" fillId="5" borderId="9" xfId="2" applyFont="1" applyFill="1" applyBorder="1" applyAlignment="1">
      <alignment horizontal="center"/>
    </xf>
    <xf numFmtId="44" fontId="23" fillId="5" borderId="9" xfId="7" applyFont="1" applyFill="1" applyBorder="1"/>
    <xf numFmtId="0" fontId="22" fillId="0" borderId="11" xfId="2" applyFont="1" applyBorder="1" applyAlignment="1">
      <alignment horizontal="center"/>
    </xf>
    <xf numFmtId="44" fontId="23" fillId="0" borderId="0" xfId="7" applyFont="1" applyFill="1" applyBorder="1"/>
    <xf numFmtId="44" fontId="22" fillId="0" borderId="2" xfId="7" applyFont="1" applyFill="1" applyBorder="1"/>
    <xf numFmtId="0" fontId="22" fillId="7" borderId="9" xfId="2" applyFont="1" applyFill="1" applyBorder="1" applyAlignment="1">
      <alignment horizontal="center"/>
    </xf>
    <xf numFmtId="0" fontId="22" fillId="0" borderId="9" xfId="2" applyFont="1" applyBorder="1" applyAlignment="1">
      <alignment horizontal="center"/>
    </xf>
    <xf numFmtId="44" fontId="22" fillId="0" borderId="9" xfId="7" applyFont="1" applyFill="1" applyBorder="1"/>
    <xf numFmtId="44" fontId="22" fillId="0" borderId="6" xfId="7" applyFont="1" applyFill="1" applyBorder="1"/>
    <xf numFmtId="0" fontId="22" fillId="5" borderId="5" xfId="2" applyFont="1" applyFill="1" applyBorder="1" applyAlignment="1">
      <alignment horizontal="center"/>
    </xf>
    <xf numFmtId="0" fontId="23" fillId="23" borderId="0" xfId="2" applyFont="1" applyFill="1"/>
    <xf numFmtId="0" fontId="22" fillId="23" borderId="0" xfId="2" applyFont="1" applyFill="1" applyAlignment="1">
      <alignment horizontal="center"/>
    </xf>
    <xf numFmtId="44" fontId="23" fillId="23" borderId="0" xfId="7" applyFont="1" applyFill="1" applyBorder="1"/>
    <xf numFmtId="44" fontId="22" fillId="23" borderId="0" xfId="7" applyFont="1" applyFill="1" applyBorder="1"/>
    <xf numFmtId="0" fontId="23" fillId="0" borderId="11" xfId="2" applyFont="1" applyBorder="1" applyAlignment="1">
      <alignment horizontal="right"/>
    </xf>
    <xf numFmtId="44" fontId="22" fillId="0" borderId="11" xfId="7" applyFont="1" applyFill="1" applyBorder="1"/>
    <xf numFmtId="0" fontId="23" fillId="0" borderId="12" xfId="2" applyFont="1" applyBorder="1"/>
    <xf numFmtId="44" fontId="23" fillId="4" borderId="11" xfId="7" applyFont="1" applyFill="1" applyBorder="1"/>
    <xf numFmtId="44" fontId="23" fillId="14" borderId="11" xfId="7" applyFont="1" applyFill="1" applyBorder="1"/>
    <xf numFmtId="44" fontId="22" fillId="16" borderId="0" xfId="7" applyFont="1" applyFill="1"/>
    <xf numFmtId="165" fontId="22" fillId="0" borderId="0" xfId="1" applyNumberFormat="1" applyFont="1" applyBorder="1" applyAlignment="1">
      <alignment horizontal="center"/>
    </xf>
    <xf numFmtId="165" fontId="22" fillId="0" borderId="0" xfId="1" applyNumberFormat="1" applyFont="1" applyFill="1"/>
    <xf numFmtId="2" fontId="22" fillId="0" borderId="0" xfId="13" applyNumberFormat="1" applyFont="1" applyAlignment="1">
      <alignment horizontal="center"/>
    </xf>
    <xf numFmtId="44" fontId="22" fillId="0" borderId="0" xfId="1" applyFont="1" applyFill="1" applyBorder="1" applyAlignment="1">
      <alignment horizontal="left"/>
    </xf>
    <xf numFmtId="0" fontId="22" fillId="0" borderId="0" xfId="0" applyFont="1" applyAlignment="1">
      <alignment horizontal="center"/>
    </xf>
    <xf numFmtId="9" fontId="22" fillId="0" borderId="0" xfId="13" applyFont="1" applyFill="1" applyAlignment="1">
      <alignment horizontal="center"/>
    </xf>
    <xf numFmtId="9" fontId="22" fillId="0" borderId="0" xfId="13" applyFont="1" applyFill="1" applyBorder="1" applyAlignment="1">
      <alignment horizontal="center"/>
    </xf>
    <xf numFmtId="0" fontId="45" fillId="0" borderId="0" xfId="0" applyFont="1" applyAlignment="1">
      <alignment horizontal="left"/>
    </xf>
    <xf numFmtId="165" fontId="22" fillId="0" borderId="0" xfId="3" applyNumberFormat="1" applyFont="1"/>
    <xf numFmtId="10" fontId="22" fillId="0" borderId="0" xfId="13" applyNumberFormat="1" applyFont="1" applyFill="1"/>
    <xf numFmtId="165" fontId="22" fillId="0" borderId="0" xfId="0" applyNumberFormat="1" applyFont="1" applyAlignment="1">
      <alignment horizontal="left" indent="1"/>
    </xf>
    <xf numFmtId="165" fontId="22" fillId="0" borderId="0" xfId="0" applyNumberFormat="1" applyFont="1" applyAlignment="1">
      <alignment horizontal="right"/>
    </xf>
    <xf numFmtId="44" fontId="22" fillId="0" borderId="0" xfId="2" applyNumberFormat="1" applyFont="1" applyAlignment="1">
      <alignment horizontal="center"/>
    </xf>
    <xf numFmtId="164" fontId="41" fillId="4" borderId="15" xfId="10" applyNumberFormat="1" applyFont="1" applyFill="1" applyBorder="1" applyAlignment="1">
      <alignment horizontal="center"/>
    </xf>
    <xf numFmtId="44" fontId="22" fillId="7" borderId="0" xfId="7" applyFont="1" applyFill="1"/>
    <xf numFmtId="44" fontId="22" fillId="3" borderId="0" xfId="7" applyFont="1" applyFill="1"/>
    <xf numFmtId="44" fontId="22" fillId="24" borderId="0" xfId="7" applyFont="1" applyFill="1"/>
    <xf numFmtId="0" fontId="22" fillId="16" borderId="0" xfId="2" applyFont="1" applyFill="1" applyAlignment="1">
      <alignment horizontal="center"/>
    </xf>
    <xf numFmtId="165" fontId="29" fillId="0" borderId="0" xfId="0" applyNumberFormat="1" applyFont="1" applyAlignment="1">
      <alignment horizontal="right"/>
    </xf>
    <xf numFmtId="165" fontId="45" fillId="0" borderId="0" xfId="0" applyNumberFormat="1" applyFont="1" applyAlignment="1">
      <alignment horizontal="right"/>
    </xf>
    <xf numFmtId="0" fontId="23" fillId="0" borderId="0" xfId="0" applyFont="1" applyAlignment="1">
      <alignment horizontal="left"/>
    </xf>
    <xf numFmtId="10" fontId="23" fillId="0" borderId="0" xfId="13" applyNumberFormat="1" applyFont="1" applyFill="1" applyAlignment="1">
      <alignment horizontal="right"/>
    </xf>
    <xf numFmtId="165" fontId="45" fillId="0" borderId="0" xfId="0" applyNumberFormat="1" applyFont="1" applyAlignment="1">
      <alignment horizontal="center"/>
    </xf>
    <xf numFmtId="0" fontId="22" fillId="0" borderId="0" xfId="2" applyFont="1" applyAlignment="1">
      <alignment horizontal="right"/>
    </xf>
    <xf numFmtId="168" fontId="23" fillId="0" borderId="0" xfId="13" applyNumberFormat="1" applyFont="1" applyAlignment="1">
      <alignment horizontal="right"/>
    </xf>
    <xf numFmtId="44" fontId="23" fillId="0" borderId="0" xfId="7" applyFont="1" applyAlignment="1">
      <alignment horizontal="right"/>
    </xf>
    <xf numFmtId="44" fontId="22" fillId="0" borderId="0" xfId="2" applyNumberFormat="1" applyFont="1" applyAlignment="1">
      <alignment horizontal="right"/>
    </xf>
    <xf numFmtId="0" fontId="22" fillId="7" borderId="3" xfId="0" applyFont="1" applyFill="1" applyBorder="1"/>
    <xf numFmtId="44" fontId="22" fillId="7" borderId="4" xfId="1" applyFont="1" applyFill="1" applyBorder="1" applyAlignment="1">
      <alignment horizontal="left"/>
    </xf>
    <xf numFmtId="0" fontId="22" fillId="7" borderId="5" xfId="0" applyFont="1" applyFill="1" applyBorder="1"/>
    <xf numFmtId="44" fontId="22" fillId="7" borderId="6" xfId="1" applyFont="1" applyFill="1" applyBorder="1" applyAlignment="1">
      <alignment horizontal="left"/>
    </xf>
    <xf numFmtId="0" fontId="22" fillId="7" borderId="0" xfId="0" applyFont="1" applyFill="1"/>
    <xf numFmtId="44" fontId="22" fillId="7" borderId="0" xfId="1" applyFont="1" applyFill="1" applyBorder="1" applyAlignment="1">
      <alignment horizontal="left"/>
    </xf>
    <xf numFmtId="0" fontId="50" fillId="0" borderId="11" xfId="28" applyFont="1" applyBorder="1" applyAlignment="1">
      <alignment horizontal="center" vertical="center"/>
    </xf>
    <xf numFmtId="0" fontId="10" fillId="0" borderId="0" xfId="28"/>
    <xf numFmtId="0" fontId="50" fillId="0" borderId="0" xfId="28" applyFont="1" applyAlignment="1">
      <alignment horizontal="center" vertical="center"/>
    </xf>
    <xf numFmtId="0" fontId="10" fillId="0" borderId="22" xfId="28" applyBorder="1" applyAlignment="1">
      <alignment horizontal="center" vertical="center"/>
    </xf>
    <xf numFmtId="0" fontId="10" fillId="2" borderId="22" xfId="28" applyFill="1" applyBorder="1" applyAlignment="1">
      <alignment horizontal="center" vertical="center"/>
    </xf>
    <xf numFmtId="0" fontId="53" fillId="0" borderId="44" xfId="28" applyFont="1" applyBorder="1" applyAlignment="1">
      <alignment horizontal="center" vertical="center"/>
    </xf>
    <xf numFmtId="0" fontId="52" fillId="13" borderId="21" xfId="28" applyFont="1" applyFill="1" applyBorder="1" applyAlignment="1">
      <alignment horizontal="center" vertical="center"/>
    </xf>
    <xf numFmtId="0" fontId="51" fillId="0" borderId="0" xfId="28" applyFont="1"/>
    <xf numFmtId="0" fontId="32" fillId="0" borderId="1" xfId="28" applyFont="1" applyBorder="1"/>
    <xf numFmtId="0" fontId="55" fillId="0" borderId="24" xfId="28" applyFont="1" applyBorder="1"/>
    <xf numFmtId="0" fontId="55" fillId="0" borderId="45" xfId="28" applyFont="1" applyBorder="1" applyAlignment="1">
      <alignment horizontal="center" vertical="center"/>
    </xf>
    <xf numFmtId="0" fontId="10" fillId="0" borderId="25" xfId="28" applyBorder="1"/>
    <xf numFmtId="0" fontId="10" fillId="2" borderId="25" xfId="28" applyFill="1" applyBorder="1"/>
    <xf numFmtId="0" fontId="10" fillId="17" borderId="25" xfId="28" applyFill="1" applyBorder="1"/>
    <xf numFmtId="0" fontId="10" fillId="2" borderId="26" xfId="28" applyFill="1" applyBorder="1"/>
    <xf numFmtId="0" fontId="32" fillId="0" borderId="3" xfId="28" applyFont="1" applyBorder="1"/>
    <xf numFmtId="0" fontId="55" fillId="0" borderId="27" xfId="28" applyFont="1" applyBorder="1" applyAlignment="1">
      <alignment horizontal="left" vertical="top" wrapText="1"/>
    </xf>
    <xf numFmtId="0" fontId="55" fillId="0" borderId="46" xfId="28" applyFont="1" applyBorder="1" applyAlignment="1">
      <alignment horizontal="center" vertical="center" wrapText="1"/>
    </xf>
    <xf numFmtId="0" fontId="10" fillId="0" borderId="28" xfId="28" applyBorder="1"/>
    <xf numFmtId="0" fontId="10" fillId="2" borderId="28" xfId="28" applyFill="1" applyBorder="1"/>
    <xf numFmtId="0" fontId="10" fillId="17" borderId="28" xfId="28" applyFill="1" applyBorder="1"/>
    <xf numFmtId="0" fontId="10" fillId="2" borderId="30" xfId="28" applyFill="1" applyBorder="1"/>
    <xf numFmtId="0" fontId="10" fillId="0" borderId="5" xfId="28" applyBorder="1"/>
    <xf numFmtId="0" fontId="55" fillId="0" borderId="34" xfId="28" applyFont="1" applyBorder="1"/>
    <xf numFmtId="0" fontId="55" fillId="0" borderId="47" xfId="28" applyFont="1" applyBorder="1" applyAlignment="1">
      <alignment horizontal="center" vertical="center"/>
    </xf>
    <xf numFmtId="0" fontId="10" fillId="0" borderId="35" xfId="28" applyBorder="1"/>
    <xf numFmtId="0" fontId="10" fillId="2" borderId="35" xfId="28" applyFill="1" applyBorder="1"/>
    <xf numFmtId="0" fontId="10" fillId="17" borderId="29" xfId="28" applyFill="1" applyBorder="1"/>
    <xf numFmtId="0" fontId="10" fillId="2" borderId="36" xfId="28" applyFill="1" applyBorder="1"/>
    <xf numFmtId="0" fontId="55" fillId="0" borderId="48" xfId="28" applyFont="1" applyBorder="1" applyAlignment="1">
      <alignment horizontal="center" vertical="center"/>
    </xf>
    <xf numFmtId="0" fontId="54" fillId="0" borderId="31" xfId="28" applyFont="1" applyBorder="1"/>
    <xf numFmtId="0" fontId="55" fillId="0" borderId="33" xfId="28" applyFont="1" applyBorder="1"/>
    <xf numFmtId="0" fontId="55" fillId="0" borderId="49" xfId="28" applyFont="1" applyBorder="1" applyAlignment="1">
      <alignment horizontal="center" vertical="center"/>
    </xf>
    <xf numFmtId="0" fontId="10" fillId="0" borderId="3" xfId="28" applyBorder="1"/>
    <xf numFmtId="0" fontId="55" fillId="0" borderId="27" xfId="28" applyFont="1" applyBorder="1"/>
    <xf numFmtId="0" fontId="55" fillId="0" borderId="46" xfId="28" applyFont="1" applyBorder="1" applyAlignment="1">
      <alignment horizontal="center" vertical="center"/>
    </xf>
    <xf numFmtId="0" fontId="10" fillId="0" borderId="37" xfId="28" applyBorder="1"/>
    <xf numFmtId="0" fontId="10" fillId="2" borderId="37" xfId="28" applyFill="1" applyBorder="1"/>
    <xf numFmtId="0" fontId="10" fillId="2" borderId="38" xfId="28" applyFill="1" applyBorder="1"/>
    <xf numFmtId="0" fontId="32" fillId="8" borderId="1" xfId="28" applyFont="1" applyFill="1" applyBorder="1"/>
    <xf numFmtId="0" fontId="10" fillId="0" borderId="24" xfId="28" applyBorder="1"/>
    <xf numFmtId="0" fontId="10" fillId="0" borderId="45" xfId="28" applyBorder="1" applyAlignment="1">
      <alignment horizontal="center" vertical="center"/>
    </xf>
    <xf numFmtId="0" fontId="32" fillId="4" borderId="3" xfId="28" applyFont="1" applyFill="1" applyBorder="1"/>
    <xf numFmtId="0" fontId="47" fillId="0" borderId="33" xfId="28" applyFont="1" applyBorder="1" applyAlignment="1">
      <alignment horizontal="center"/>
    </xf>
    <xf numFmtId="0" fontId="47" fillId="0" borderId="49" xfId="28" applyFont="1" applyBorder="1" applyAlignment="1">
      <alignment horizontal="center" vertical="center"/>
    </xf>
    <xf numFmtId="0" fontId="32" fillId="0" borderId="3" xfId="28" applyFont="1" applyBorder="1" applyAlignment="1">
      <alignment horizontal="right"/>
    </xf>
    <xf numFmtId="0" fontId="10" fillId="0" borderId="33" xfId="28" applyBorder="1"/>
    <xf numFmtId="0" fontId="10" fillId="0" borderId="49" xfId="28" applyBorder="1" applyAlignment="1">
      <alignment horizontal="center" vertical="center"/>
    </xf>
    <xf numFmtId="0" fontId="10" fillId="17" borderId="32" xfId="28" applyFill="1" applyBorder="1"/>
    <xf numFmtId="0" fontId="10" fillId="0" borderId="34" xfId="28" applyBorder="1"/>
    <xf numFmtId="0" fontId="10" fillId="0" borderId="47" xfId="28" applyBorder="1" applyAlignment="1">
      <alignment horizontal="center" vertical="center"/>
    </xf>
    <xf numFmtId="0" fontId="10" fillId="17" borderId="35" xfId="28" applyFill="1" applyBorder="1"/>
    <xf numFmtId="0" fontId="10" fillId="0" borderId="0" xfId="28" applyAlignment="1">
      <alignment horizontal="center" vertical="center"/>
    </xf>
    <xf numFmtId="0" fontId="10" fillId="2" borderId="0" xfId="28" applyFill="1"/>
    <xf numFmtId="0" fontId="10" fillId="17" borderId="37" xfId="28" applyFill="1" applyBorder="1"/>
    <xf numFmtId="0" fontId="10" fillId="14" borderId="0" xfId="28" applyFill="1" applyAlignment="1">
      <alignment horizontal="center" vertical="center"/>
    </xf>
    <xf numFmtId="0" fontId="10" fillId="19" borderId="0" xfId="28" applyFill="1"/>
    <xf numFmtId="0" fontId="49" fillId="19" borderId="0" xfId="28" applyFont="1" applyFill="1" applyAlignment="1">
      <alignment horizontal="center"/>
    </xf>
    <xf numFmtId="0" fontId="10" fillId="18" borderId="0" xfId="28" applyFill="1"/>
    <xf numFmtId="0" fontId="10" fillId="13" borderId="0" xfId="28" applyFill="1"/>
    <xf numFmtId="0" fontId="10" fillId="13" borderId="0" xfId="28" applyFill="1" applyAlignment="1">
      <alignment horizontal="center" vertical="center"/>
    </xf>
    <xf numFmtId="0" fontId="49" fillId="18" borderId="0" xfId="28" applyFont="1" applyFill="1" applyAlignment="1">
      <alignment horizontal="center"/>
    </xf>
    <xf numFmtId="0" fontId="10" fillId="16" borderId="0" xfId="28" applyFill="1"/>
    <xf numFmtId="0" fontId="48" fillId="16" borderId="0" xfId="28" applyFont="1" applyFill="1" applyAlignment="1">
      <alignment horizontal="center"/>
    </xf>
    <xf numFmtId="0" fontId="10" fillId="20" borderId="0" xfId="28" applyFill="1"/>
    <xf numFmtId="0" fontId="10" fillId="20" borderId="0" xfId="28" applyFill="1" applyAlignment="1">
      <alignment horizontal="center"/>
    </xf>
    <xf numFmtId="0" fontId="10" fillId="4" borderId="0" xfId="28" applyFill="1"/>
    <xf numFmtId="0" fontId="10" fillId="4" borderId="0" xfId="28" applyFill="1" applyAlignment="1">
      <alignment horizontal="center"/>
    </xf>
    <xf numFmtId="0" fontId="10" fillId="9" borderId="0" xfId="28" applyFill="1"/>
    <xf numFmtId="0" fontId="10" fillId="9" borderId="0" xfId="28" applyFill="1" applyAlignment="1">
      <alignment horizontal="center"/>
    </xf>
    <xf numFmtId="0" fontId="10" fillId="13" borderId="0" xfId="28" applyFill="1" applyAlignment="1">
      <alignment horizontal="left"/>
    </xf>
    <xf numFmtId="0" fontId="10" fillId="2" borderId="0" xfId="28" applyFill="1" applyAlignment="1">
      <alignment horizontal="center"/>
    </xf>
    <xf numFmtId="0" fontId="10" fillId="0" borderId="0" xfId="28" applyAlignment="1">
      <alignment horizontal="center"/>
    </xf>
    <xf numFmtId="0" fontId="32" fillId="0" borderId="0" xfId="28" applyFont="1" applyAlignment="1">
      <alignment horizontal="right"/>
    </xf>
    <xf numFmtId="0" fontId="32" fillId="0" borderId="0" xfId="28" applyFont="1" applyAlignment="1">
      <alignment horizontal="center" vertical="center"/>
    </xf>
    <xf numFmtId="0" fontId="10" fillId="0" borderId="10" xfId="28" applyBorder="1" applyAlignment="1">
      <alignment horizontal="center"/>
    </xf>
    <xf numFmtId="0" fontId="60" fillId="19" borderId="0" xfId="28" applyFont="1" applyFill="1" applyAlignment="1">
      <alignment horizontal="right"/>
    </xf>
    <xf numFmtId="0" fontId="61" fillId="0" borderId="0" xfId="28" applyFont="1" applyAlignment="1">
      <alignment horizontal="center" vertical="center"/>
    </xf>
    <xf numFmtId="0" fontId="60" fillId="0" borderId="0" xfId="28" applyFont="1" applyAlignment="1">
      <alignment horizontal="center" vertical="center"/>
    </xf>
    <xf numFmtId="0" fontId="32" fillId="18" borderId="0" xfId="28" applyFont="1" applyFill="1" applyAlignment="1">
      <alignment horizontal="right"/>
    </xf>
    <xf numFmtId="0" fontId="32" fillId="16" borderId="0" xfId="28" applyFont="1" applyFill="1" applyAlignment="1">
      <alignment horizontal="right"/>
    </xf>
    <xf numFmtId="0" fontId="32" fillId="22" borderId="0" xfId="28" applyFont="1" applyFill="1" applyAlignment="1">
      <alignment horizontal="right"/>
    </xf>
    <xf numFmtId="0" fontId="32" fillId="4" borderId="0" xfId="28" applyFont="1" applyFill="1" applyAlignment="1">
      <alignment horizontal="right"/>
    </xf>
    <xf numFmtId="0" fontId="32" fillId="9" borderId="0" xfId="28" applyFont="1" applyFill="1" applyAlignment="1">
      <alignment horizontal="right"/>
    </xf>
    <xf numFmtId="0" fontId="32" fillId="0" borderId="0" xfId="28" quotePrefix="1" applyFont="1" applyAlignment="1">
      <alignment horizontal="right"/>
    </xf>
    <xf numFmtId="0" fontId="32" fillId="0" borderId="0" xfId="28" quotePrefix="1" applyFont="1" applyAlignment="1">
      <alignment horizontal="center" vertical="center"/>
    </xf>
    <xf numFmtId="165" fontId="23" fillId="0" borderId="0" xfId="3" applyNumberFormat="1" applyFont="1" applyAlignment="1">
      <alignment horizontal="center"/>
    </xf>
    <xf numFmtId="165" fontId="45" fillId="0" borderId="0" xfId="1" applyNumberFormat="1" applyFont="1" applyBorder="1" applyAlignment="1">
      <alignment horizontal="right"/>
    </xf>
    <xf numFmtId="0" fontId="19" fillId="0" borderId="0" xfId="9"/>
    <xf numFmtId="0" fontId="19" fillId="4" borderId="0" xfId="9" applyFill="1"/>
    <xf numFmtId="0" fontId="9" fillId="0" borderId="0" xfId="29"/>
    <xf numFmtId="0" fontId="9" fillId="0" borderId="0" xfId="29" applyAlignment="1">
      <alignment horizontal="center"/>
    </xf>
    <xf numFmtId="165" fontId="9" fillId="0" borderId="0" xfId="29" applyNumberFormat="1"/>
    <xf numFmtId="0" fontId="32" fillId="2" borderId="12" xfId="29" applyFont="1" applyFill="1" applyBorder="1"/>
    <xf numFmtId="0" fontId="9" fillId="2" borderId="13" xfId="29" applyFill="1" applyBorder="1" applyAlignment="1">
      <alignment horizontal="center"/>
    </xf>
    <xf numFmtId="0" fontId="9" fillId="2" borderId="14" xfId="29" applyFill="1" applyBorder="1" applyAlignment="1">
      <alignment horizontal="center"/>
    </xf>
    <xf numFmtId="0" fontId="35" fillId="4" borderId="0" xfId="29" applyFont="1" applyFill="1"/>
    <xf numFmtId="0" fontId="9" fillId="10" borderId="0" xfId="29" applyFill="1" applyAlignment="1">
      <alignment horizontal="center"/>
    </xf>
    <xf numFmtId="165" fontId="9" fillId="10" borderId="0" xfId="29" applyNumberFormat="1" applyFill="1" applyAlignment="1">
      <alignment horizontal="center"/>
    </xf>
    <xf numFmtId="0" fontId="35" fillId="10" borderId="0" xfId="29" applyFont="1" applyFill="1"/>
    <xf numFmtId="0" fontId="9" fillId="0" borderId="0" xfId="30"/>
    <xf numFmtId="0" fontId="32" fillId="0" borderId="0" xfId="29" applyFont="1" applyAlignment="1">
      <alignment horizontal="center"/>
    </xf>
    <xf numFmtId="165" fontId="9" fillId="22" borderId="0" xfId="29" applyNumberFormat="1" applyFill="1" applyAlignment="1">
      <alignment horizontal="right"/>
    </xf>
    <xf numFmtId="165" fontId="32" fillId="22" borderId="0" xfId="29" applyNumberFormat="1" applyFont="1" applyFill="1"/>
    <xf numFmtId="165" fontId="32" fillId="0" borderId="0" xfId="29" applyNumberFormat="1" applyFont="1"/>
    <xf numFmtId="44" fontId="9" fillId="0" borderId="0" xfId="29" applyNumberFormat="1"/>
    <xf numFmtId="0" fontId="9" fillId="2" borderId="0" xfId="29" applyFill="1"/>
    <xf numFmtId="0" fontId="32" fillId="4" borderId="12" xfId="30" applyFont="1" applyFill="1" applyBorder="1"/>
    <xf numFmtId="0" fontId="9" fillId="2" borderId="13" xfId="30" applyFill="1" applyBorder="1"/>
    <xf numFmtId="0" fontId="9" fillId="2" borderId="14" xfId="30" applyFill="1" applyBorder="1"/>
    <xf numFmtId="165" fontId="9" fillId="0" borderId="0" xfId="30" applyNumberFormat="1" applyAlignment="1">
      <alignment horizontal="center" vertical="center"/>
    </xf>
    <xf numFmtId="165" fontId="9" fillId="0" borderId="0" xfId="30" applyNumberFormat="1" applyAlignment="1">
      <alignment horizontal="center"/>
    </xf>
    <xf numFmtId="0" fontId="9" fillId="0" borderId="0" xfId="30" applyAlignment="1">
      <alignment horizontal="center"/>
    </xf>
    <xf numFmtId="0" fontId="32" fillId="0" borderId="0" xfId="30" applyFont="1" applyAlignment="1">
      <alignment horizontal="right"/>
    </xf>
    <xf numFmtId="0" fontId="32" fillId="0" borderId="0" xfId="30" applyFont="1" applyAlignment="1">
      <alignment horizontal="center"/>
    </xf>
    <xf numFmtId="165" fontId="32" fillId="0" borderId="0" xfId="30" applyNumberFormat="1" applyFont="1" applyAlignment="1">
      <alignment horizontal="center" vertical="center"/>
    </xf>
    <xf numFmtId="0" fontId="9" fillId="0" borderId="0" xfId="30" applyAlignment="1">
      <alignment horizontal="right"/>
    </xf>
    <xf numFmtId="0" fontId="9" fillId="14" borderId="0" xfId="30" applyFill="1" applyAlignment="1">
      <alignment horizontal="center"/>
    </xf>
    <xf numFmtId="0" fontId="9" fillId="4" borderId="0" xfId="30" applyFill="1" applyAlignment="1">
      <alignment horizontal="center"/>
    </xf>
    <xf numFmtId="0" fontId="32" fillId="0" borderId="0" xfId="30" applyFont="1" applyAlignment="1">
      <alignment horizontal="right" vertical="center"/>
    </xf>
    <xf numFmtId="0" fontId="9" fillId="0" borderId="0" xfId="30" applyAlignment="1">
      <alignment horizontal="center" vertical="center"/>
    </xf>
    <xf numFmtId="165" fontId="9" fillId="0" borderId="0" xfId="30" applyNumberFormat="1" applyAlignment="1">
      <alignment horizontal="center" vertical="center" wrapText="1"/>
    </xf>
    <xf numFmtId="0" fontId="9" fillId="0" borderId="0" xfId="30" applyAlignment="1">
      <alignment horizontal="center" vertical="center" wrapText="1"/>
    </xf>
    <xf numFmtId="165" fontId="32" fillId="0" borderId="0" xfId="30" applyNumberFormat="1" applyFont="1" applyAlignment="1">
      <alignment horizontal="center" vertical="center" wrapText="1"/>
    </xf>
    <xf numFmtId="0" fontId="32" fillId="0" borderId="0" xfId="30" applyFont="1" applyAlignment="1">
      <alignment horizontal="center" vertical="center" wrapText="1"/>
    </xf>
    <xf numFmtId="0" fontId="9" fillId="0" borderId="0" xfId="30" applyAlignment="1">
      <alignment vertical="center"/>
    </xf>
    <xf numFmtId="2" fontId="9" fillId="4" borderId="0" xfId="30" applyNumberFormat="1" applyFill="1" applyAlignment="1">
      <alignment horizontal="center"/>
    </xf>
    <xf numFmtId="2" fontId="9" fillId="14" borderId="0" xfId="30" applyNumberFormat="1" applyFill="1" applyAlignment="1">
      <alignment horizontal="center"/>
    </xf>
    <xf numFmtId="2" fontId="9" fillId="16" borderId="0" xfId="30" applyNumberFormat="1" applyFill="1" applyAlignment="1">
      <alignment horizontal="center"/>
    </xf>
    <xf numFmtId="2" fontId="32" fillId="0" borderId="0" xfId="30" applyNumberFormat="1" applyFont="1" applyAlignment="1">
      <alignment horizontal="center" vertical="center"/>
    </xf>
    <xf numFmtId="2" fontId="9" fillId="0" borderId="0" xfId="30" applyNumberFormat="1"/>
    <xf numFmtId="2" fontId="9" fillId="0" borderId="0" xfId="30" applyNumberFormat="1" applyAlignment="1">
      <alignment horizontal="center"/>
    </xf>
    <xf numFmtId="2" fontId="48" fillId="16" borderId="0" xfId="30" applyNumberFormat="1" applyFont="1" applyFill="1" applyAlignment="1">
      <alignment horizontal="center"/>
    </xf>
    <xf numFmtId="0" fontId="32" fillId="0" borderId="0" xfId="30" applyFont="1" applyAlignment="1">
      <alignment horizontal="center" vertical="center"/>
    </xf>
    <xf numFmtId="2" fontId="35" fillId="0" borderId="10" xfId="30" applyNumberFormat="1" applyFont="1" applyBorder="1" applyAlignment="1">
      <alignment horizontal="center"/>
    </xf>
    <xf numFmtId="2" fontId="62" fillId="0" borderId="10" xfId="30" applyNumberFormat="1" applyFont="1" applyBorder="1" applyAlignment="1">
      <alignment horizontal="center"/>
    </xf>
    <xf numFmtId="165" fontId="9" fillId="4" borderId="0" xfId="30" applyNumberFormat="1" applyFill="1" applyAlignment="1">
      <alignment horizontal="center"/>
    </xf>
    <xf numFmtId="165" fontId="32" fillId="0" borderId="0" xfId="30" applyNumberFormat="1" applyFont="1" applyAlignment="1">
      <alignment horizontal="right"/>
    </xf>
    <xf numFmtId="0" fontId="32" fillId="0" borderId="0" xfId="30" applyFont="1"/>
    <xf numFmtId="0" fontId="9" fillId="25" borderId="0" xfId="30" applyFill="1" applyAlignment="1">
      <alignment horizontal="right"/>
    </xf>
    <xf numFmtId="0" fontId="9" fillId="25" borderId="0" xfId="30" applyFill="1"/>
    <xf numFmtId="165" fontId="9" fillId="25" borderId="0" xfId="30" applyNumberFormat="1" applyFill="1" applyAlignment="1">
      <alignment horizontal="center" vertical="center"/>
    </xf>
    <xf numFmtId="165" fontId="9" fillId="25" borderId="0" xfId="30" applyNumberFormat="1" applyFill="1" applyAlignment="1">
      <alignment horizontal="center"/>
    </xf>
    <xf numFmtId="165" fontId="32" fillId="0" borderId="0" xfId="30" applyNumberFormat="1" applyFont="1" applyAlignment="1">
      <alignment horizontal="center"/>
    </xf>
    <xf numFmtId="2" fontId="9" fillId="0" borderId="0" xfId="30" applyNumberFormat="1" applyAlignment="1">
      <alignment horizontal="center" vertical="center"/>
    </xf>
    <xf numFmtId="165" fontId="9" fillId="0" borderId="0" xfId="30" applyNumberFormat="1"/>
    <xf numFmtId="0" fontId="35" fillId="10" borderId="0" xfId="30" applyFont="1" applyFill="1" applyAlignment="1">
      <alignment horizontal="center" vertical="center"/>
    </xf>
    <xf numFmtId="0" fontId="32" fillId="0" borderId="10" xfId="29" applyFont="1" applyBorder="1" applyAlignment="1">
      <alignment horizontal="center" vertical="center"/>
    </xf>
    <xf numFmtId="0" fontId="9" fillId="0" borderId="0" xfId="29" applyAlignment="1">
      <alignment horizontal="center" vertical="center" wrapText="1"/>
    </xf>
    <xf numFmtId="0" fontId="9" fillId="0" borderId="0" xfId="29" applyAlignment="1">
      <alignment horizontal="center" vertical="center"/>
    </xf>
    <xf numFmtId="0" fontId="9" fillId="10" borderId="0" xfId="30" applyFill="1" applyAlignment="1">
      <alignment horizontal="center"/>
    </xf>
    <xf numFmtId="165" fontId="9" fillId="10" borderId="0" xfId="30" applyNumberFormat="1" applyFill="1" applyAlignment="1">
      <alignment horizontal="center" vertical="center"/>
    </xf>
    <xf numFmtId="0" fontId="9" fillId="16" borderId="0" xfId="30" applyFill="1"/>
    <xf numFmtId="2" fontId="9" fillId="0" borderId="0" xfId="29" applyNumberFormat="1"/>
    <xf numFmtId="165" fontId="32" fillId="0" borderId="10" xfId="30" applyNumberFormat="1" applyFont="1" applyBorder="1"/>
    <xf numFmtId="0" fontId="9" fillId="0" borderId="18" xfId="30" applyBorder="1"/>
    <xf numFmtId="165" fontId="9" fillId="0" borderId="18" xfId="30" applyNumberFormat="1" applyBorder="1"/>
    <xf numFmtId="165" fontId="9" fillId="0" borderId="50" xfId="30" applyNumberFormat="1" applyBorder="1"/>
    <xf numFmtId="165" fontId="9" fillId="0" borderId="9" xfId="30" applyNumberFormat="1" applyBorder="1" applyAlignment="1">
      <alignment horizontal="center" vertical="center"/>
    </xf>
    <xf numFmtId="0" fontId="35" fillId="10" borderId="0" xfId="30" applyFont="1" applyFill="1"/>
    <xf numFmtId="0" fontId="9" fillId="10" borderId="0" xfId="30" applyFill="1"/>
    <xf numFmtId="0" fontId="9" fillId="10" borderId="4" xfId="30" applyFill="1" applyBorder="1"/>
    <xf numFmtId="165" fontId="9" fillId="10" borderId="18" xfId="30" applyNumberFormat="1" applyFill="1" applyBorder="1" applyAlignment="1">
      <alignment horizontal="center" vertical="center"/>
    </xf>
    <xf numFmtId="165" fontId="9" fillId="10" borderId="19" xfId="30" applyNumberFormat="1" applyFill="1" applyBorder="1" applyAlignment="1">
      <alignment horizontal="center" vertical="center"/>
    </xf>
    <xf numFmtId="0" fontId="35" fillId="10" borderId="9" xfId="30" applyFont="1" applyFill="1" applyBorder="1"/>
    <xf numFmtId="0" fontId="9" fillId="10" borderId="9" xfId="30" applyFill="1" applyBorder="1" applyAlignment="1">
      <alignment horizontal="center"/>
    </xf>
    <xf numFmtId="0" fontId="9" fillId="10" borderId="6" xfId="30" applyFill="1" applyBorder="1" applyAlignment="1">
      <alignment horizontal="center"/>
    </xf>
    <xf numFmtId="165" fontId="9" fillId="10" borderId="50" xfId="30" applyNumberFormat="1" applyFill="1" applyBorder="1" applyAlignment="1">
      <alignment horizontal="center" vertical="center"/>
    </xf>
    <xf numFmtId="165" fontId="9" fillId="0" borderId="3" xfId="30" applyNumberFormat="1" applyBorder="1" applyAlignment="1">
      <alignment horizontal="center"/>
    </xf>
    <xf numFmtId="0" fontId="9" fillId="0" borderId="4" xfId="30" applyBorder="1" applyAlignment="1">
      <alignment horizontal="center"/>
    </xf>
    <xf numFmtId="165" fontId="9" fillId="9" borderId="18" xfId="30" applyNumberFormat="1" applyFill="1" applyBorder="1" applyAlignment="1">
      <alignment horizontal="center" vertical="center"/>
    </xf>
    <xf numFmtId="165" fontId="9" fillId="0" borderId="2" xfId="30" applyNumberFormat="1" applyBorder="1" applyAlignment="1">
      <alignment horizontal="center" vertical="center"/>
    </xf>
    <xf numFmtId="165" fontId="9" fillId="0" borderId="4" xfId="30" applyNumberFormat="1" applyBorder="1" applyAlignment="1">
      <alignment horizontal="center" vertical="center"/>
    </xf>
    <xf numFmtId="165" fontId="9" fillId="0" borderId="18" xfId="30" applyNumberFormat="1" applyBorder="1" applyAlignment="1">
      <alignment horizontal="center" vertical="center"/>
    </xf>
    <xf numFmtId="165" fontId="9" fillId="4" borderId="18" xfId="30" applyNumberFormat="1" applyFill="1" applyBorder="1" applyAlignment="1">
      <alignment horizontal="center" vertical="center"/>
    </xf>
    <xf numFmtId="165" fontId="9" fillId="0" borderId="50" xfId="30" applyNumberFormat="1" applyBorder="1" applyAlignment="1">
      <alignment horizontal="center" vertical="center"/>
    </xf>
    <xf numFmtId="165" fontId="9" fillId="0" borderId="11" xfId="30" applyNumberFormat="1" applyBorder="1" applyAlignment="1">
      <alignment horizontal="center" vertical="center"/>
    </xf>
    <xf numFmtId="0" fontId="13" fillId="0" borderId="0" xfId="21"/>
    <xf numFmtId="0" fontId="26" fillId="0" borderId="0" xfId="2"/>
    <xf numFmtId="0" fontId="26" fillId="0" borderId="0" xfId="2" applyAlignment="1">
      <alignment horizontal="center"/>
    </xf>
    <xf numFmtId="165" fontId="13" fillId="0" borderId="0" xfId="21" applyNumberFormat="1"/>
    <xf numFmtId="0" fontId="13" fillId="0" borderId="0" xfId="21" applyAlignment="1">
      <alignment horizontal="center"/>
    </xf>
    <xf numFmtId="2" fontId="13" fillId="0" borderId="0" xfId="21" applyNumberFormat="1" applyAlignment="1">
      <alignment horizontal="center"/>
    </xf>
    <xf numFmtId="0" fontId="63" fillId="0" borderId="0" xfId="0" applyFont="1" applyAlignment="1">
      <alignment horizontal="center" vertical="center" wrapText="1"/>
    </xf>
    <xf numFmtId="167" fontId="65" fillId="12" borderId="55" xfId="1" applyNumberFormat="1" applyFont="1" applyFill="1" applyBorder="1" applyAlignment="1">
      <alignment horizontal="center" vertical="center" wrapText="1"/>
    </xf>
    <xf numFmtId="2" fontId="36" fillId="12" borderId="52" xfId="1" applyNumberFormat="1" applyFont="1" applyFill="1" applyBorder="1" applyAlignment="1">
      <alignment horizontal="center" vertical="center" wrapText="1"/>
    </xf>
    <xf numFmtId="167" fontId="36" fillId="12" borderId="53" xfId="1" applyNumberFormat="1" applyFont="1" applyFill="1" applyBorder="1" applyAlignment="1">
      <alignment horizontal="center" vertical="center" wrapText="1"/>
    </xf>
    <xf numFmtId="167" fontId="65" fillId="12" borderId="54" xfId="1" applyNumberFormat="1" applyFont="1" applyFill="1" applyBorder="1" applyAlignment="1">
      <alignment horizontal="left" vertical="center" wrapText="1" indent="1"/>
    </xf>
    <xf numFmtId="2" fontId="68" fillId="13" borderId="56" xfId="1" applyNumberFormat="1" applyFont="1" applyFill="1" applyBorder="1" applyAlignment="1">
      <alignment horizontal="center" vertical="center"/>
    </xf>
    <xf numFmtId="0" fontId="26" fillId="0" borderId="0" xfId="0" applyFont="1"/>
    <xf numFmtId="2" fontId="68" fillId="4" borderId="56" xfId="1" applyNumberFormat="1" applyFont="1" applyFill="1" applyBorder="1" applyAlignment="1">
      <alignment horizontal="center" vertical="center"/>
    </xf>
    <xf numFmtId="44" fontId="0" fillId="0" borderId="0" xfId="1" applyFont="1"/>
    <xf numFmtId="165" fontId="26" fillId="0" borderId="0" xfId="2" applyNumberFormat="1" applyAlignment="1">
      <alignment horizontal="center"/>
    </xf>
    <xf numFmtId="165" fontId="13" fillId="0" borderId="0" xfId="21" applyNumberFormat="1" applyAlignment="1">
      <alignment horizontal="center"/>
    </xf>
    <xf numFmtId="9" fontId="22" fillId="7" borderId="4" xfId="13" applyFont="1" applyFill="1" applyBorder="1"/>
    <xf numFmtId="16" fontId="0" fillId="0" borderId="0" xfId="0" applyNumberFormat="1"/>
    <xf numFmtId="165" fontId="9" fillId="0" borderId="0" xfId="29" applyNumberForma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/>
    <xf numFmtId="0" fontId="27" fillId="26" borderId="0" xfId="0" applyFont="1" applyFill="1"/>
    <xf numFmtId="0" fontId="0" fillId="0" borderId="0" xfId="0" applyAlignment="1">
      <alignment horizontal="center"/>
    </xf>
    <xf numFmtId="0" fontId="27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27" fillId="9" borderId="0" xfId="0" applyFont="1" applyFill="1"/>
    <xf numFmtId="0" fontId="72" fillId="0" borderId="0" xfId="0" applyFont="1" applyAlignment="1">
      <alignment horizontal="center"/>
    </xf>
    <xf numFmtId="0" fontId="6" fillId="2" borderId="0" xfId="34" applyFill="1"/>
    <xf numFmtId="0" fontId="35" fillId="0" borderId="0" xfId="34" applyFont="1" applyAlignment="1">
      <alignment horizontal="center"/>
    </xf>
    <xf numFmtId="0" fontId="6" fillId="0" borderId="0" xfId="34" applyAlignment="1">
      <alignment horizontal="center"/>
    </xf>
    <xf numFmtId="169" fontId="48" fillId="0" borderId="0" xfId="34" applyNumberFormat="1" applyFont="1" applyAlignment="1">
      <alignment horizontal="center"/>
    </xf>
    <xf numFmtId="169" fontId="6" fillId="0" borderId="0" xfId="34" applyNumberFormat="1" applyAlignment="1">
      <alignment horizontal="center"/>
    </xf>
    <xf numFmtId="2" fontId="6" fillId="0" borderId="0" xfId="34" applyNumberFormat="1" applyAlignment="1">
      <alignment horizontal="center"/>
    </xf>
    <xf numFmtId="2" fontId="48" fillId="0" borderId="0" xfId="34" applyNumberFormat="1" applyFont="1" applyAlignment="1">
      <alignment horizontal="center"/>
    </xf>
    <xf numFmtId="49" fontId="6" fillId="0" borderId="0" xfId="34" applyNumberFormat="1" applyAlignment="1">
      <alignment horizontal="center"/>
    </xf>
    <xf numFmtId="0" fontId="70" fillId="0" borderId="0" xfId="34" applyFont="1" applyAlignment="1">
      <alignment horizontal="center"/>
    </xf>
    <xf numFmtId="0" fontId="70" fillId="10" borderId="0" xfId="34" applyFont="1" applyFill="1" applyAlignment="1">
      <alignment horizontal="center"/>
    </xf>
    <xf numFmtId="169" fontId="0" fillId="0" borderId="0" xfId="0" applyNumberFormat="1"/>
    <xf numFmtId="0" fontId="6" fillId="0" borderId="0" xfId="34"/>
    <xf numFmtId="0" fontId="48" fillId="0" borderId="0" xfId="34" applyFont="1" applyAlignment="1">
      <alignment horizontal="center"/>
    </xf>
    <xf numFmtId="0" fontId="73" fillId="0" borderId="0" xfId="0" applyFont="1"/>
    <xf numFmtId="165" fontId="6" fillId="0" borderId="0" xfId="34" applyNumberFormat="1"/>
    <xf numFmtId="0" fontId="74" fillId="0" borderId="0" xfId="0" applyFont="1" applyAlignment="1">
      <alignment horizontal="center"/>
    </xf>
    <xf numFmtId="2" fontId="27" fillId="0" borderId="0" xfId="0" applyNumberFormat="1" applyFont="1" applyAlignment="1">
      <alignment horizontal="center"/>
    </xf>
    <xf numFmtId="1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 vertical="center"/>
    </xf>
    <xf numFmtId="169" fontId="26" fillId="0" borderId="0" xfId="0" applyNumberFormat="1" applyFont="1" applyAlignment="1">
      <alignment horizontal="center"/>
    </xf>
    <xf numFmtId="2" fontId="26" fillId="0" borderId="0" xfId="0" applyNumberFormat="1" applyFont="1" applyAlignment="1">
      <alignment horizontal="center"/>
    </xf>
    <xf numFmtId="2" fontId="0" fillId="0" borderId="0" xfId="0" applyNumberFormat="1"/>
    <xf numFmtId="1" fontId="27" fillId="0" borderId="0" xfId="0" applyNumberFormat="1" applyFont="1" applyAlignment="1">
      <alignment horizontal="center"/>
    </xf>
    <xf numFmtId="0" fontId="0" fillId="22" borderId="0" xfId="0" applyFill="1" applyAlignment="1">
      <alignment horizontal="center" vertical="center"/>
    </xf>
    <xf numFmtId="2" fontId="26" fillId="0" borderId="0" xfId="0" applyNumberFormat="1" applyFont="1"/>
    <xf numFmtId="0" fontId="0" fillId="2" borderId="0" xfId="0" applyFill="1"/>
    <xf numFmtId="0" fontId="26" fillId="16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6" fillId="4" borderId="0" xfId="0" applyFont="1" applyFill="1" applyAlignment="1">
      <alignment horizontal="center" vertical="center"/>
    </xf>
    <xf numFmtId="0" fontId="26" fillId="0" borderId="0" xfId="0" applyFont="1" applyAlignment="1">
      <alignment vertical="center"/>
    </xf>
    <xf numFmtId="0" fontId="75" fillId="0" borderId="0" xfId="0" applyFont="1"/>
    <xf numFmtId="2" fontId="76" fillId="0" borderId="0" xfId="0" applyNumberFormat="1" applyFont="1" applyAlignment="1">
      <alignment horizontal="center"/>
    </xf>
    <xf numFmtId="0" fontId="76" fillId="0" borderId="0" xfId="0" applyFont="1" applyAlignment="1">
      <alignment horizontal="center" vertical="center"/>
    </xf>
    <xf numFmtId="0" fontId="75" fillId="0" borderId="0" xfId="0" applyFont="1" applyAlignment="1">
      <alignment horizontal="center"/>
    </xf>
    <xf numFmtId="0" fontId="75" fillId="0" borderId="0" xfId="0" applyFont="1" applyAlignment="1">
      <alignment horizontal="left" vertical="center"/>
    </xf>
    <xf numFmtId="1" fontId="75" fillId="0" borderId="0" xfId="0" applyNumberFormat="1" applyFont="1" applyAlignment="1">
      <alignment horizontal="center"/>
    </xf>
    <xf numFmtId="0" fontId="75" fillId="2" borderId="0" xfId="0" applyFont="1" applyFill="1"/>
    <xf numFmtId="0" fontId="77" fillId="0" borderId="0" xfId="0" applyFont="1" applyAlignment="1">
      <alignment horizontal="center"/>
    </xf>
    <xf numFmtId="0" fontId="78" fillId="0" borderId="0" xfId="34" applyFont="1" applyAlignment="1">
      <alignment horizontal="center"/>
    </xf>
    <xf numFmtId="0" fontId="75" fillId="0" borderId="0" xfId="0" applyFont="1" applyAlignment="1">
      <alignment horizontal="center" vertical="center"/>
    </xf>
    <xf numFmtId="1" fontId="76" fillId="0" borderId="0" xfId="0" applyNumberFormat="1" applyFont="1" applyAlignment="1">
      <alignment horizontal="center"/>
    </xf>
    <xf numFmtId="1" fontId="79" fillId="0" borderId="0" xfId="0" applyNumberFormat="1" applyFont="1" applyAlignment="1">
      <alignment horizontal="center"/>
    </xf>
    <xf numFmtId="0" fontId="79" fillId="0" borderId="0" xfId="0" applyFont="1" applyAlignment="1">
      <alignment horizontal="center"/>
    </xf>
    <xf numFmtId="0" fontId="26" fillId="2" borderId="0" xfId="2" applyFill="1"/>
    <xf numFmtId="44" fontId="26" fillId="0" borderId="0" xfId="1" applyFont="1" applyFill="1" applyAlignment="1">
      <alignment horizontal="center"/>
    </xf>
    <xf numFmtId="44" fontId="0" fillId="0" borderId="0" xfId="1" applyFont="1" applyFill="1"/>
    <xf numFmtId="0" fontId="0" fillId="0" borderId="0" xfId="0" applyAlignment="1">
      <alignment horizontal="left"/>
    </xf>
    <xf numFmtId="0" fontId="0" fillId="0" borderId="57" xfId="0" applyBorder="1"/>
    <xf numFmtId="0" fontId="0" fillId="0" borderId="0" xfId="0" applyAlignment="1">
      <alignment horizontal="right"/>
    </xf>
    <xf numFmtId="0" fontId="83" fillId="0" borderId="58" xfId="0" applyFont="1" applyBorder="1" applyAlignment="1">
      <alignment vertical="center"/>
    </xf>
    <xf numFmtId="0" fontId="83" fillId="0" borderId="57" xfId="0" applyFont="1" applyBorder="1" applyAlignment="1">
      <alignment vertical="center"/>
    </xf>
    <xf numFmtId="0" fontId="83" fillId="0" borderId="0" xfId="0" applyFont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/>
    </xf>
    <xf numFmtId="0" fontId="0" fillId="16" borderId="0" xfId="0" applyFill="1"/>
    <xf numFmtId="0" fontId="35" fillId="16" borderId="0" xfId="0" applyFont="1" applyFill="1"/>
    <xf numFmtId="165" fontId="0" fillId="0" borderId="0" xfId="0" applyNumberFormat="1" applyAlignment="1">
      <alignment horizontal="center"/>
    </xf>
    <xf numFmtId="165" fontId="0" fillId="0" borderId="0" xfId="0" applyNumberFormat="1"/>
    <xf numFmtId="165" fontId="22" fillId="0" borderId="0" xfId="0" applyNumberFormat="1" applyFont="1" applyAlignment="1">
      <alignment horizontal="center" vertical="top"/>
    </xf>
    <xf numFmtId="14" fontId="23" fillId="0" borderId="0" xfId="0" applyNumberFormat="1" applyFont="1" applyAlignment="1">
      <alignment horizontal="right" vertical="center"/>
    </xf>
    <xf numFmtId="4" fontId="0" fillId="0" borderId="0" xfId="0" applyNumberFormat="1"/>
    <xf numFmtId="1" fontId="26" fillId="0" borderId="0" xfId="0" applyNumberFormat="1" applyFont="1"/>
    <xf numFmtId="2" fontId="0" fillId="0" borderId="0" xfId="0" applyNumberFormat="1" applyAlignment="1">
      <alignment horizontal="center"/>
    </xf>
    <xf numFmtId="2" fontId="9" fillId="0" borderId="0" xfId="29" applyNumberFormat="1" applyAlignment="1">
      <alignment horizontal="center"/>
    </xf>
    <xf numFmtId="0" fontId="0" fillId="22" borderId="0" xfId="0" applyFill="1"/>
    <xf numFmtId="0" fontId="0" fillId="22" borderId="0" xfId="0" applyFill="1" applyAlignment="1">
      <alignment horizontal="center"/>
    </xf>
    <xf numFmtId="0" fontId="26" fillId="0" borderId="0" xfId="0" applyFont="1" applyAlignment="1">
      <alignment horizontal="left"/>
    </xf>
    <xf numFmtId="2" fontId="68" fillId="13" borderId="60" xfId="1" applyNumberFormat="1" applyFont="1" applyFill="1" applyBorder="1" applyAlignment="1">
      <alignment horizontal="center" vertical="center"/>
    </xf>
    <xf numFmtId="0" fontId="65" fillId="11" borderId="61" xfId="0" applyFont="1" applyFill="1" applyBorder="1" applyAlignment="1">
      <alignment horizontal="center" vertical="center" wrapText="1"/>
    </xf>
    <xf numFmtId="2" fontId="66" fillId="12" borderId="62" xfId="1" applyNumberFormat="1" applyFont="1" applyFill="1" applyBorder="1" applyAlignment="1">
      <alignment horizontal="left" vertical="center" wrapText="1" indent="1"/>
    </xf>
    <xf numFmtId="0" fontId="65" fillId="12" borderId="63" xfId="1" applyNumberFormat="1" applyFont="1" applyFill="1" applyBorder="1" applyAlignment="1">
      <alignment horizontal="center" vertical="center" wrapText="1"/>
    </xf>
    <xf numFmtId="167" fontId="65" fillId="12" borderId="64" xfId="1" applyNumberFormat="1" applyFont="1" applyFill="1" applyBorder="1" applyAlignment="1">
      <alignment horizontal="center" vertical="center" wrapText="1"/>
    </xf>
    <xf numFmtId="167" fontId="65" fillId="12" borderId="65" xfId="1" applyNumberFormat="1" applyFont="1" applyFill="1" applyBorder="1" applyAlignment="1">
      <alignment horizontal="center" vertical="center" wrapText="1"/>
    </xf>
    <xf numFmtId="2" fontId="69" fillId="7" borderId="66" xfId="1" applyNumberFormat="1" applyFont="1" applyFill="1" applyBorder="1" applyAlignment="1">
      <alignment horizontal="center" vertical="center"/>
    </xf>
    <xf numFmtId="0" fontId="67" fillId="0" borderId="15" xfId="0" applyFont="1" applyBorder="1" applyAlignment="1">
      <alignment horizontal="left" vertical="center" wrapText="1" indent="1"/>
    </xf>
    <xf numFmtId="2" fontId="68" fillId="0" borderId="15" xfId="1" applyNumberFormat="1" applyFont="1" applyFill="1" applyBorder="1" applyAlignment="1">
      <alignment horizontal="center" vertical="center"/>
    </xf>
    <xf numFmtId="167" fontId="68" fillId="0" borderId="15" xfId="1" applyNumberFormat="1" applyFont="1" applyFill="1" applyBorder="1" applyAlignment="1">
      <alignment horizontal="center" vertical="center"/>
    </xf>
    <xf numFmtId="169" fontId="68" fillId="0" borderId="15" xfId="1" applyNumberFormat="1" applyFont="1" applyFill="1" applyBorder="1" applyAlignment="1">
      <alignment horizontal="center" vertical="center"/>
    </xf>
    <xf numFmtId="0" fontId="0" fillId="0" borderId="15" xfId="0" applyBorder="1"/>
    <xf numFmtId="49" fontId="32" fillId="0" borderId="15" xfId="31" applyNumberFormat="1" applyFont="1" applyBorder="1" applyAlignment="1">
      <alignment horizontal="center"/>
    </xf>
    <xf numFmtId="49" fontId="61" fillId="0" borderId="15" xfId="31" applyNumberFormat="1" applyFont="1" applyBorder="1" applyAlignment="1">
      <alignment horizontal="center"/>
    </xf>
    <xf numFmtId="167" fontId="68" fillId="0" borderId="67" xfId="1" applyNumberFormat="1" applyFont="1" applyFill="1" applyBorder="1" applyAlignment="1">
      <alignment horizontal="center" vertical="center"/>
    </xf>
    <xf numFmtId="44" fontId="29" fillId="0" borderId="0" xfId="1" applyFont="1" applyFill="1" applyBorder="1" applyAlignment="1">
      <alignment horizontal="right"/>
    </xf>
    <xf numFmtId="0" fontId="27" fillId="0" borderId="0" xfId="0" applyFont="1" applyAlignment="1">
      <alignment horizontal="center"/>
    </xf>
    <xf numFmtId="165" fontId="26" fillId="0" borderId="0" xfId="1" applyNumberFormat="1"/>
    <xf numFmtId="165" fontId="0" fillId="0" borderId="0" xfId="1" applyNumberFormat="1" applyFont="1"/>
    <xf numFmtId="165" fontId="26" fillId="0" borderId="0" xfId="1" applyNumberFormat="1" applyFont="1" applyFill="1" applyAlignment="1">
      <alignment horizontal="right"/>
    </xf>
    <xf numFmtId="165" fontId="0" fillId="0" borderId="0" xfId="1" applyNumberFormat="1" applyFont="1" applyFill="1" applyAlignment="1">
      <alignment horizontal="right"/>
    </xf>
    <xf numFmtId="165" fontId="0" fillId="0" borderId="0" xfId="1" applyNumberFormat="1" applyFont="1" applyAlignment="1">
      <alignment horizontal="right"/>
    </xf>
    <xf numFmtId="0" fontId="86" fillId="0" borderId="0" xfId="29" applyFont="1"/>
    <xf numFmtId="49" fontId="5" fillId="0" borderId="0" xfId="34" applyNumberFormat="1" applyFont="1" applyAlignment="1">
      <alignment horizontal="center"/>
    </xf>
    <xf numFmtId="0" fontId="5" fillId="0" borderId="0" xfId="34" applyFont="1" applyAlignment="1">
      <alignment horizontal="center"/>
    </xf>
    <xf numFmtId="0" fontId="5" fillId="0" borderId="0" xfId="29" applyFont="1" applyAlignment="1">
      <alignment horizontal="center"/>
    </xf>
    <xf numFmtId="165" fontId="5" fillId="0" borderId="0" xfId="29" applyNumberFormat="1" applyFont="1" applyAlignment="1">
      <alignment horizontal="center"/>
    </xf>
    <xf numFmtId="9" fontId="5" fillId="0" borderId="0" xfId="13" applyFont="1" applyFill="1"/>
    <xf numFmtId="0" fontId="5" fillId="0" borderId="0" xfId="29" applyFont="1"/>
    <xf numFmtId="44" fontId="5" fillId="0" borderId="0" xfId="1" applyFont="1"/>
    <xf numFmtId="9" fontId="5" fillId="0" borderId="0" xfId="8" applyFont="1"/>
    <xf numFmtId="165" fontId="5" fillId="0" borderId="0" xfId="1" applyNumberFormat="1" applyFont="1"/>
    <xf numFmtId="10" fontId="5" fillId="0" borderId="0" xfId="8" applyNumberFormat="1" applyFont="1"/>
    <xf numFmtId="9" fontId="5" fillId="0" borderId="0" xfId="8" applyFont="1" applyAlignment="1">
      <alignment horizontal="center"/>
    </xf>
    <xf numFmtId="2" fontId="5" fillId="4" borderId="0" xfId="8" applyNumberFormat="1" applyFont="1" applyFill="1" applyAlignment="1">
      <alignment horizontal="center" vertical="center"/>
    </xf>
    <xf numFmtId="2" fontId="5" fillId="0" borderId="0" xfId="8" applyNumberFormat="1" applyFont="1" applyAlignment="1">
      <alignment horizontal="center" vertical="center"/>
    </xf>
    <xf numFmtId="0" fontId="5" fillId="0" borderId="0" xfId="30" applyFont="1"/>
    <xf numFmtId="49" fontId="5" fillId="3" borderId="0" xfId="34" applyNumberFormat="1" applyFont="1" applyFill="1" applyAlignment="1">
      <alignment horizontal="center"/>
    </xf>
    <xf numFmtId="169" fontId="5" fillId="0" borderId="0" xfId="34" applyNumberFormat="1" applyFont="1" applyAlignment="1">
      <alignment horizontal="center"/>
    </xf>
    <xf numFmtId="2" fontId="5" fillId="0" borderId="0" xfId="34" applyNumberFormat="1" applyFont="1" applyAlignment="1">
      <alignment horizontal="center"/>
    </xf>
    <xf numFmtId="0" fontId="5" fillId="0" borderId="0" xfId="34" applyFont="1"/>
    <xf numFmtId="49" fontId="5" fillId="0" borderId="15" xfId="31" applyNumberFormat="1" applyFont="1" applyBorder="1" applyAlignment="1">
      <alignment horizontal="center"/>
    </xf>
    <xf numFmtId="0" fontId="18" fillId="0" borderId="0" xfId="14"/>
    <xf numFmtId="165" fontId="18" fillId="0" borderId="0" xfId="14" applyNumberFormat="1"/>
    <xf numFmtId="0" fontId="18" fillId="0" borderId="0" xfId="14" applyAlignment="1">
      <alignment horizontal="center"/>
    </xf>
    <xf numFmtId="0" fontId="4" fillId="0" borderId="0" xfId="14" applyFont="1"/>
    <xf numFmtId="44" fontId="26" fillId="0" borderId="0" xfId="1"/>
    <xf numFmtId="49" fontId="3" fillId="0" borderId="0" xfId="34" applyNumberFormat="1" applyFont="1" applyAlignment="1">
      <alignment horizontal="center"/>
    </xf>
    <xf numFmtId="0" fontId="3" fillId="0" borderId="0" xfId="34" applyFont="1" applyAlignment="1">
      <alignment horizontal="center"/>
    </xf>
    <xf numFmtId="165" fontId="0" fillId="0" borderId="0" xfId="1" applyNumberFormat="1" applyFont="1" applyFill="1"/>
    <xf numFmtId="49" fontId="2" fillId="0" borderId="0" xfId="34" applyNumberFormat="1" applyFont="1" applyAlignment="1">
      <alignment horizontal="center"/>
    </xf>
    <xf numFmtId="0" fontId="2" fillId="0" borderId="0" xfId="34" applyFont="1" applyAlignment="1">
      <alignment horizontal="center"/>
    </xf>
    <xf numFmtId="0" fontId="2" fillId="0" borderId="0" xfId="34" applyFont="1" applyAlignment="1">
      <alignment horizontal="center" vertical="center"/>
    </xf>
    <xf numFmtId="0" fontId="23" fillId="6" borderId="0" xfId="2" applyFont="1" applyFill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2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49" fontId="23" fillId="0" borderId="0" xfId="0" applyNumberFormat="1" applyFont="1" applyAlignment="1">
      <alignment horizontal="center"/>
    </xf>
    <xf numFmtId="0" fontId="23" fillId="0" borderId="0" xfId="2" applyFont="1" applyAlignment="1">
      <alignment vertical="top" wrapText="1"/>
    </xf>
    <xf numFmtId="0" fontId="25" fillId="0" borderId="3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165" fontId="23" fillId="0" borderId="0" xfId="0" applyNumberFormat="1" applyFont="1" applyAlignment="1">
      <alignment horizontal="center"/>
    </xf>
    <xf numFmtId="0" fontId="23" fillId="0" borderId="0" xfId="0" quotePrefix="1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4" fillId="2" borderId="0" xfId="0" applyFont="1" applyFill="1" applyAlignment="1">
      <alignment horizontal="center"/>
    </xf>
    <xf numFmtId="0" fontId="25" fillId="7" borderId="1" xfId="0" applyFont="1" applyFill="1" applyBorder="1" applyAlignment="1">
      <alignment horizontal="center"/>
    </xf>
    <xf numFmtId="0" fontId="25" fillId="7" borderId="2" xfId="0" applyFont="1" applyFill="1" applyBorder="1" applyAlignment="1">
      <alignment horizontal="center"/>
    </xf>
    <xf numFmtId="0" fontId="27" fillId="8" borderId="12" xfId="2" applyFont="1" applyFill="1" applyBorder="1" applyAlignment="1">
      <alignment horizontal="left"/>
    </xf>
    <xf numFmtId="0" fontId="27" fillId="8" borderId="13" xfId="2" applyFont="1" applyFill="1" applyBorder="1" applyAlignment="1">
      <alignment horizontal="left"/>
    </xf>
    <xf numFmtId="0" fontId="27" fillId="8" borderId="14" xfId="2" applyFont="1" applyFill="1" applyBorder="1" applyAlignment="1">
      <alignment horizontal="left"/>
    </xf>
    <xf numFmtId="0" fontId="9" fillId="16" borderId="0" xfId="29" applyFill="1" applyAlignment="1">
      <alignment horizontal="right" vertical="center"/>
    </xf>
    <xf numFmtId="0" fontId="75" fillId="27" borderId="0" xfId="0" applyFont="1" applyFill="1" applyAlignment="1">
      <alignment horizontal="center" vertical="center"/>
    </xf>
    <xf numFmtId="0" fontId="72" fillId="0" borderId="57" xfId="0" applyFont="1" applyBorder="1" applyAlignment="1">
      <alignment horizontal="center"/>
    </xf>
    <xf numFmtId="0" fontId="6" fillId="0" borderId="0" xfId="34" applyAlignment="1">
      <alignment horizontal="center"/>
    </xf>
    <xf numFmtId="0" fontId="0" fillId="22" borderId="0" xfId="0" applyFill="1" applyAlignment="1">
      <alignment horizontal="center" vertical="center"/>
    </xf>
    <xf numFmtId="0" fontId="26" fillId="16" borderId="0" xfId="0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0" fontId="75" fillId="22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14" fontId="71" fillId="9" borderId="0" xfId="0" applyNumberFormat="1" applyFont="1" applyFill="1" applyAlignment="1">
      <alignment horizontal="center" vertical="center"/>
    </xf>
    <xf numFmtId="44" fontId="64" fillId="4" borderId="51" xfId="1" applyFont="1" applyFill="1" applyBorder="1" applyAlignment="1">
      <alignment horizontal="center" vertical="center"/>
    </xf>
    <xf numFmtId="44" fontId="36" fillId="13" borderId="51" xfId="1" applyFont="1" applyFill="1" applyBorder="1" applyAlignment="1">
      <alignment horizontal="center" vertical="center"/>
    </xf>
    <xf numFmtId="0" fontId="10" fillId="0" borderId="42" xfId="28" applyBorder="1" applyAlignment="1">
      <alignment horizontal="center"/>
    </xf>
    <xf numFmtId="0" fontId="10" fillId="0" borderId="43" xfId="28" applyBorder="1" applyAlignment="1">
      <alignment horizontal="center"/>
    </xf>
    <xf numFmtId="0" fontId="53" fillId="0" borderId="12" xfId="28" applyFont="1" applyBorder="1" applyAlignment="1">
      <alignment horizontal="center" vertical="center"/>
    </xf>
    <xf numFmtId="0" fontId="53" fillId="0" borderId="23" xfId="28" applyFont="1" applyBorder="1" applyAlignment="1">
      <alignment horizontal="center" vertical="center"/>
    </xf>
    <xf numFmtId="0" fontId="10" fillId="14" borderId="0" xfId="28" applyFill="1" applyAlignment="1">
      <alignment horizontal="center"/>
    </xf>
    <xf numFmtId="0" fontId="5" fillId="0" borderId="15" xfId="28" applyFont="1" applyBorder="1" applyAlignment="1">
      <alignment horizontal="center"/>
    </xf>
    <xf numFmtId="0" fontId="10" fillId="0" borderId="15" xfId="28" applyBorder="1" applyAlignment="1">
      <alignment horizontal="center"/>
    </xf>
    <xf numFmtId="0" fontId="50" fillId="0" borderId="1" xfId="28" applyFont="1" applyBorder="1" applyAlignment="1">
      <alignment horizontal="center" vertical="center"/>
    </xf>
    <xf numFmtId="0" fontId="50" fillId="0" borderId="2" xfId="28" applyFont="1" applyBorder="1" applyAlignment="1">
      <alignment horizontal="center" vertical="center"/>
    </xf>
    <xf numFmtId="0" fontId="50" fillId="0" borderId="3" xfId="28" applyFont="1" applyBorder="1" applyAlignment="1">
      <alignment horizontal="center" vertical="center"/>
    </xf>
    <xf numFmtId="0" fontId="50" fillId="0" borderId="4" xfId="28" applyFont="1" applyBorder="1" applyAlignment="1">
      <alignment horizontal="center" vertical="center"/>
    </xf>
    <xf numFmtId="0" fontId="50" fillId="0" borderId="5" xfId="28" applyFont="1" applyBorder="1" applyAlignment="1">
      <alignment horizontal="center" vertical="center"/>
    </xf>
    <xf numFmtId="0" fontId="50" fillId="0" borderId="6" xfId="28" applyFont="1" applyBorder="1" applyAlignment="1">
      <alignment horizontal="center" vertical="center"/>
    </xf>
    <xf numFmtId="0" fontId="10" fillId="0" borderId="20" xfId="28" applyBorder="1" applyAlignment="1">
      <alignment horizontal="center"/>
    </xf>
    <xf numFmtId="0" fontId="59" fillId="8" borderId="12" xfId="2" applyFont="1" applyFill="1" applyBorder="1" applyAlignment="1">
      <alignment horizontal="left"/>
    </xf>
    <xf numFmtId="0" fontId="59" fillId="8" borderId="13" xfId="2" applyFont="1" applyFill="1" applyBorder="1" applyAlignment="1">
      <alignment horizontal="left"/>
    </xf>
    <xf numFmtId="0" fontId="59" fillId="8" borderId="14" xfId="2" applyFont="1" applyFill="1" applyBorder="1" applyAlignment="1">
      <alignment horizontal="left"/>
    </xf>
    <xf numFmtId="164" fontId="37" fillId="3" borderId="16" xfId="11" applyFont="1" applyFill="1" applyBorder="1" applyAlignment="1">
      <alignment horizontal="center" vertical="center"/>
    </xf>
    <xf numFmtId="164" fontId="37" fillId="3" borderId="17" xfId="11" applyFont="1" applyFill="1" applyBorder="1" applyAlignment="1">
      <alignment horizontal="center" vertical="center"/>
    </xf>
    <xf numFmtId="164" fontId="37" fillId="3" borderId="15" xfId="1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lef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17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58" xfId="0" applyBorder="1" applyAlignment="1">
      <alignment horizontal="left" vertical="center"/>
    </xf>
    <xf numFmtId="0" fontId="0" fillId="0" borderId="57" xfId="0" applyBorder="1" applyAlignment="1">
      <alignment horizontal="left" vertical="center"/>
    </xf>
    <xf numFmtId="0" fontId="32" fillId="0" borderId="0" xfId="0" applyFont="1" applyAlignment="1">
      <alignment horizontal="center"/>
    </xf>
    <xf numFmtId="0" fontId="0" fillId="0" borderId="57" xfId="0" applyBorder="1" applyAlignment="1">
      <alignment horizontal="left"/>
    </xf>
    <xf numFmtId="0" fontId="80" fillId="0" borderId="0" xfId="0" applyFont="1" applyAlignment="1">
      <alignment horizontal="center"/>
    </xf>
    <xf numFmtId="0" fontId="81" fillId="0" borderId="0" xfId="0" applyFont="1" applyAlignment="1">
      <alignment horizontal="center"/>
    </xf>
    <xf numFmtId="165" fontId="0" fillId="0" borderId="57" xfId="0" applyNumberFormat="1" applyBorder="1" applyAlignment="1">
      <alignment horizontal="center"/>
    </xf>
    <xf numFmtId="0" fontId="32" fillId="0" borderId="0" xfId="0" applyFont="1" applyAlignment="1">
      <alignment horizontal="left"/>
    </xf>
    <xf numFmtId="165" fontId="3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82" fillId="16" borderId="0" xfId="0" applyFont="1" applyFill="1" applyAlignment="1">
      <alignment horizontal="left"/>
    </xf>
    <xf numFmtId="0" fontId="32" fillId="16" borderId="0" xfId="0" applyFont="1" applyFill="1" applyAlignment="1">
      <alignment horizontal="center"/>
    </xf>
    <xf numFmtId="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3" fontId="0" fillId="0" borderId="58" xfId="0" applyNumberFormat="1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left" wrapText="1"/>
    </xf>
    <xf numFmtId="170" fontId="0" fillId="9" borderId="0" xfId="0" applyNumberFormat="1" applyFill="1" applyAlignment="1">
      <alignment horizontal="center"/>
    </xf>
    <xf numFmtId="0" fontId="0" fillId="0" borderId="57" xfId="0" applyBorder="1" applyAlignment="1">
      <alignment horizontal="center"/>
    </xf>
    <xf numFmtId="1" fontId="32" fillId="0" borderId="59" xfId="0" applyNumberFormat="1" applyFont="1" applyBorder="1" applyAlignment="1">
      <alignment horizontal="center"/>
    </xf>
    <xf numFmtId="0" fontId="32" fillId="0" borderId="59" xfId="0" applyFont="1" applyBorder="1" applyAlignment="1">
      <alignment horizontal="center"/>
    </xf>
    <xf numFmtId="0" fontId="0" fillId="16" borderId="0" xfId="0" applyFill="1" applyAlignment="1">
      <alignment horizontal="center"/>
    </xf>
    <xf numFmtId="2" fontId="0" fillId="9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2" fontId="0" fillId="0" borderId="59" xfId="0" applyNumberFormat="1" applyBorder="1" applyAlignment="1">
      <alignment horizontal="center"/>
    </xf>
    <xf numFmtId="0" fontId="35" fillId="16" borderId="0" xfId="0" applyFont="1" applyFill="1" applyAlignment="1">
      <alignment horizontal="center"/>
    </xf>
    <xf numFmtId="0" fontId="0" fillId="22" borderId="0" xfId="0" applyFill="1" applyAlignment="1">
      <alignment horizontal="center"/>
    </xf>
    <xf numFmtId="0" fontId="26" fillId="22" borderId="0" xfId="0" applyFont="1" applyFill="1" applyAlignment="1">
      <alignment horizontal="left"/>
    </xf>
    <xf numFmtId="0" fontId="0" fillId="22" borderId="0" xfId="0" applyFill="1" applyAlignment="1">
      <alignment horizontal="left"/>
    </xf>
    <xf numFmtId="4" fontId="0" fillId="22" borderId="0" xfId="0" applyNumberFormat="1" applyFill="1" applyAlignment="1">
      <alignment horizontal="center"/>
    </xf>
    <xf numFmtId="0" fontId="35" fillId="0" borderId="0" xfId="0" applyFont="1" applyAlignment="1">
      <alignment horizontal="center"/>
    </xf>
    <xf numFmtId="0" fontId="0" fillId="0" borderId="59" xfId="0" applyBorder="1" applyAlignment="1">
      <alignment horizontal="center"/>
    </xf>
    <xf numFmtId="0" fontId="26" fillId="22" borderId="0" xfId="0" applyFont="1" applyFill="1" applyAlignment="1">
      <alignment horizontal="center"/>
    </xf>
    <xf numFmtId="4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/>
    <xf numFmtId="0" fontId="84" fillId="0" borderId="0" xfId="0" applyFont="1" applyAlignment="1">
      <alignment horizontal="left"/>
    </xf>
    <xf numFmtId="0" fontId="1" fillId="0" borderId="0" xfId="29" applyFont="1"/>
    <xf numFmtId="0" fontId="1" fillId="0" borderId="0" xfId="29" applyFont="1" applyAlignment="1">
      <alignment horizontal="center"/>
    </xf>
    <xf numFmtId="0" fontId="26" fillId="18" borderId="0" xfId="2" applyFill="1"/>
    <xf numFmtId="0" fontId="26" fillId="18" borderId="0" xfId="2" applyFill="1" applyAlignment="1">
      <alignment horizontal="center"/>
    </xf>
    <xf numFmtId="0" fontId="1" fillId="0" borderId="0" xfId="14" applyFont="1"/>
    <xf numFmtId="0" fontId="1" fillId="0" borderId="0" xfId="14" applyFont="1" applyAlignment="1">
      <alignment horizontal="center"/>
    </xf>
    <xf numFmtId="0" fontId="1" fillId="0" borderId="0" xfId="35"/>
    <xf numFmtId="0" fontId="1" fillId="18" borderId="0" xfId="14" applyFont="1" applyFill="1"/>
    <xf numFmtId="0" fontId="18" fillId="18" borderId="0" xfId="14" applyFill="1" applyAlignment="1">
      <alignment horizontal="center"/>
    </xf>
    <xf numFmtId="0" fontId="1" fillId="18" borderId="0" xfId="14" applyFont="1" applyFill="1" applyAlignment="1">
      <alignment horizontal="center"/>
    </xf>
    <xf numFmtId="44" fontId="26" fillId="18" borderId="0" xfId="1" applyFill="1"/>
    <xf numFmtId="165" fontId="18" fillId="18" borderId="0" xfId="14" applyNumberFormat="1" applyFill="1"/>
  </cellXfs>
  <cellStyles count="37">
    <cellStyle name="Currency" xfId="1" builtinId="4"/>
    <cellStyle name="Currency 2" xfId="11" xr:uid="{0F36E1A5-CB5D-4992-954A-997EEF2C4DE9}"/>
    <cellStyle name="Currency 2 2" xfId="7" xr:uid="{2B9E41DE-C7A5-4C91-AEE7-6F12FF94B021}"/>
    <cellStyle name="Currency 3" xfId="19" xr:uid="{4F0E7E2F-B6EA-4272-A67B-2DDB7D52BE3E}"/>
    <cellStyle name="Currency 4" xfId="24" xr:uid="{3CAD2907-F4E2-423B-9F6B-B03CA53F40F0}"/>
    <cellStyle name="Currency 5" xfId="33" xr:uid="{569C8DAD-2426-4BF9-9589-67E0CC3E900C}"/>
    <cellStyle name="Currency 6" xfId="36" xr:uid="{84E39882-020F-4786-9378-7538545607DD}"/>
    <cellStyle name="Followed Hyperlink" xfId="3" builtinId="9"/>
    <cellStyle name="Normal" xfId="0" builtinId="0"/>
    <cellStyle name="Normal 2" xfId="14" xr:uid="{DEDA53BE-A214-4E85-B2FA-69CFB0522529}"/>
    <cellStyle name="Normal 2 2" xfId="21" xr:uid="{75629364-26C7-4564-9BED-8472A2C11563}"/>
    <cellStyle name="Normal 2 3" xfId="23" xr:uid="{E75120C2-9BC7-4AF6-BC4E-7C996BD5BE4E}"/>
    <cellStyle name="Normal 2 3 2" xfId="26" xr:uid="{A28A399D-24EC-4D4E-932B-BFD04A661E20}"/>
    <cellStyle name="Normal 2 4" xfId="29" xr:uid="{97DC3876-7D85-4512-956B-F6D807FE5FC3}"/>
    <cellStyle name="Normal 2 5" xfId="31" xr:uid="{6F7B53F7-54FE-4284-A43F-B28A3E665BB4}"/>
    <cellStyle name="Normal 2 6" xfId="34" xr:uid="{989FAF31-CCB6-417B-B9B8-FD76B63F6EE8}"/>
    <cellStyle name="Normal 3" xfId="2" xr:uid="{9DB87A04-4662-4A03-AD06-A57FE4DF5D45}"/>
    <cellStyle name="Normal 3 3" xfId="5" xr:uid="{7A08F4E8-F3A9-4598-AFB3-1455902BB986}"/>
    <cellStyle name="Normal 4" xfId="9" xr:uid="{0200D17B-5120-4D40-9452-487279D71696}"/>
    <cellStyle name="Normal 4 2" xfId="15" xr:uid="{6E5A5E9F-2F89-4EDA-940C-8CA300B43DF1}"/>
    <cellStyle name="Normal 4 2 2" xfId="25" xr:uid="{3755B561-7432-450A-BB1C-632DDF2BF7E7}"/>
    <cellStyle name="Normal 4 2 2 2" xfId="27" xr:uid="{15842591-BCAF-408A-8010-DC3FE8328931}"/>
    <cellStyle name="Normal 4 2 3" xfId="30" xr:uid="{603BDD31-C682-45FD-9386-8D5013131F67}"/>
    <cellStyle name="Normal 4 3" xfId="22" xr:uid="{8AB2D021-6C6B-4A0F-8BD8-7E006F386A8A}"/>
    <cellStyle name="Normal 5" xfId="10" xr:uid="{4267C145-1C1C-4F66-BE13-E064C6D154BB}"/>
    <cellStyle name="Normal 6" xfId="16" xr:uid="{953BDF38-8A29-4A99-A7F9-83C9AE81CF6A}"/>
    <cellStyle name="Normal 6 2" xfId="28" xr:uid="{AB19DAAF-9A11-4F01-ADF2-A83FECC59273}"/>
    <cellStyle name="Normal 7" xfId="18" xr:uid="{880BE257-2902-4E63-A69E-CF1B81F0EEDF}"/>
    <cellStyle name="Normal 8" xfId="32" xr:uid="{A037A296-6B1C-4CBE-B632-B25C4AE102C6}"/>
    <cellStyle name="Normal 9" xfId="35" xr:uid="{8B3AD9F4-38B3-4455-A4A4-2DF215229D77}"/>
    <cellStyle name="Percent" xfId="13" builtinId="5"/>
    <cellStyle name="Percent 2" xfId="4" xr:uid="{F8A25D66-9B73-47BF-ABB2-2AF10B657DC7}"/>
    <cellStyle name="Percent 2 3" xfId="6" xr:uid="{0F378FFB-25DC-4A03-84CE-30630D7AF09A}"/>
    <cellStyle name="Percent 2 3 2" xfId="17" xr:uid="{558D3A72-A4CF-4ADA-B0DD-078ADB353E2F}"/>
    <cellStyle name="Percent 2 3 2 2" xfId="20" xr:uid="{6ABF7C33-7B93-497C-978B-94D677A1BAB8}"/>
    <cellStyle name="Percent 3" xfId="8" xr:uid="{10315948-B944-451E-8C9D-0BC9D260E69F}"/>
    <cellStyle name="Percent 4" xfId="12" xr:uid="{F4CBC213-B47F-4BEE-B90B-DF9CC4130F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491755</xdr:colOff>
      <xdr:row>0</xdr:row>
      <xdr:rowOff>58973</xdr:rowOff>
    </xdr:from>
    <xdr:to>
      <xdr:col>8</xdr:col>
      <xdr:colOff>1611895</xdr:colOff>
      <xdr:row>4</xdr:row>
      <xdr:rowOff>127553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9856D3-DE76-468D-80AC-78E0C6917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2433" y="58973"/>
          <a:ext cx="1120140" cy="1122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ERVER\Users\tony.rieck\My%20Documents\60%20Richards%20St%20Loganlea%20Costings%20V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stings V1"/>
      <sheetName val="Preliminaries"/>
      <sheetName val="Earthworks &amp; Roadworks Dave T"/>
      <sheetName val="Earthworks &amp; Roadworks"/>
      <sheetName val="Stormwater Costing"/>
      <sheetName val="Stormwater Drainage"/>
      <sheetName val="Water Costing"/>
      <sheetName val="Water"/>
      <sheetName val="Sewer Costing  "/>
      <sheetName val="Sewer"/>
      <sheetName val="Prelim inaries"/>
      <sheetName val="Prelim N6inaries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enis Zhong - TCS" id="{D238A438-1EFA-47D5-A4BC-8B8D66E64E46}" userId="S::denis.z@tricorecivil.com.au::b883df4c-e0af-41bc-98f9-8d2828406900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4" dT="2025-04-07T01:20:07.83" personId="{D238A438-1EFA-47D5-A4BC-8B8D66E64E46}" id="{99B5E81F-1162-47B0-98B1-F6CA3CBD435B}">
    <text>Allow for Class 4</text>
  </threadedComment>
  <threadedComment ref="E15" dT="2025-04-07T01:20:12.08" personId="{D238A438-1EFA-47D5-A4BC-8B8D66E64E46}" id="{0683597D-E000-4086-8C1D-6235612DEEC4}">
    <text>Allow for Class 4</text>
  </threadedComment>
  <threadedComment ref="C191" dT="2026-06-11T08:48:12.99" personId="{D238A438-1EFA-47D5-A4BC-8B8D66E64E46}" id="{27361731-BAF0-4D95-ACF2-11C3AD5C4062}">
    <text xml:space="preserve">Concrete head wall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210" dT="2024-07-09T02:40:03.66" personId="{D238A438-1EFA-47D5-A4BC-8B8D66E64E46}" id="{7687B65D-6F2E-4B9E-B6DE-844709B7528E}">
    <text xml:space="preserve">Is it too high for retaining wall as .82 height max )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1712A-2F34-4F01-9E64-AB4D2F6AA59F}">
  <sheetPr>
    <tabColor rgb="FFFFFF00"/>
    <pageSetUpPr fitToPage="1"/>
  </sheetPr>
  <dimension ref="B1:AD76"/>
  <sheetViews>
    <sheetView showGridLines="0" topLeftCell="A3" zoomScale="115" zoomScaleNormal="115" workbookViewId="0">
      <selection activeCell="S13" sqref="S13"/>
    </sheetView>
  </sheetViews>
  <sheetFormatPr defaultColWidth="9.28515625" defaultRowHeight="11.25" x14ac:dyDescent="0.2"/>
  <cols>
    <col min="1" max="1" width="9.28515625" style="1"/>
    <col min="2" max="2" width="6.7109375" style="1" customWidth="1"/>
    <col min="3" max="3" width="1.42578125" style="1" customWidth="1"/>
    <col min="4" max="4" width="2.28515625" style="1" customWidth="1"/>
    <col min="5" max="5" width="1.28515625" style="1" customWidth="1"/>
    <col min="6" max="6" width="3.28515625" style="1" customWidth="1"/>
    <col min="7" max="7" width="4.140625" style="1" customWidth="1"/>
    <col min="8" max="8" width="9.28515625" style="1"/>
    <col min="9" max="9" width="30.28515625" style="1" customWidth="1"/>
    <col min="10" max="10" width="13.7109375" style="2" customWidth="1"/>
    <col min="11" max="11" width="15" style="1" bestFit="1" customWidth="1"/>
    <col min="12" max="12" width="11.85546875" style="1" customWidth="1"/>
    <col min="13" max="13" width="9.7109375" style="1" customWidth="1"/>
    <col min="14" max="14" width="10.85546875" style="1" bestFit="1" customWidth="1"/>
    <col min="15" max="15" width="12.5703125" style="111" customWidth="1"/>
    <col min="16" max="16" width="9.42578125" style="1" customWidth="1"/>
    <col min="17" max="17" width="10.28515625" style="181" customWidth="1"/>
    <col min="18" max="18" width="12.7109375" style="1" bestFit="1" customWidth="1"/>
    <col min="19" max="19" width="12.42578125" style="1" customWidth="1"/>
    <col min="20" max="20" width="9.7109375" style="1" customWidth="1"/>
    <col min="21" max="21" width="12.5703125" style="1" customWidth="1"/>
    <col min="22" max="22" width="13.28515625" style="1" customWidth="1"/>
    <col min="23" max="23" width="9.7109375" style="1" bestFit="1" customWidth="1"/>
    <col min="24" max="24" width="9.28515625" style="1"/>
    <col min="25" max="25" width="11.28515625" style="1" customWidth="1"/>
    <col min="26" max="26" width="10.5703125" style="1" customWidth="1"/>
    <col min="27" max="27" width="9.5703125" style="1" bestFit="1" customWidth="1"/>
    <col min="28" max="28" width="11.7109375" style="1" customWidth="1"/>
    <col min="29" max="29" width="9.5703125" style="1" bestFit="1" customWidth="1"/>
    <col min="30" max="16384" width="9.28515625" style="1"/>
  </cols>
  <sheetData>
    <row r="1" spans="2:30" ht="11.25" customHeight="1" x14ac:dyDescent="0.2">
      <c r="K1" s="3"/>
    </row>
    <row r="2" spans="2:30" ht="24" customHeight="1" x14ac:dyDescent="0.2">
      <c r="K2" s="4"/>
    </row>
    <row r="3" spans="2:30" ht="38.25" customHeight="1" x14ac:dyDescent="0.2">
      <c r="B3" s="5"/>
      <c r="C3" s="6"/>
      <c r="D3" s="6"/>
      <c r="E3" s="6"/>
      <c r="F3" s="6"/>
      <c r="G3" s="7" t="s">
        <v>0</v>
      </c>
      <c r="H3" s="8"/>
      <c r="I3" s="9"/>
    </row>
    <row r="4" spans="2:30" x14ac:dyDescent="0.2">
      <c r="B4" s="6"/>
      <c r="C4" s="6"/>
      <c r="D4" s="6"/>
      <c r="E4" s="6"/>
      <c r="F4" s="6"/>
      <c r="G4" s="6"/>
      <c r="H4" s="8"/>
      <c r="I4" s="9"/>
    </row>
    <row r="5" spans="2:30" ht="12" thickBot="1" x14ac:dyDescent="0.25"/>
    <row r="6" spans="2:30" x14ac:dyDescent="0.2">
      <c r="B6" s="549" t="s">
        <v>1</v>
      </c>
      <c r="C6" s="549"/>
      <c r="D6" s="549"/>
      <c r="E6" s="549"/>
      <c r="F6" s="549"/>
      <c r="G6" s="549"/>
      <c r="H6" s="549"/>
      <c r="I6" s="549"/>
      <c r="J6" s="549"/>
      <c r="K6" s="549"/>
      <c r="O6" s="1"/>
      <c r="P6" s="181"/>
      <c r="V6" s="550"/>
      <c r="W6" s="551"/>
      <c r="X6" s="184"/>
      <c r="Y6" s="550"/>
      <c r="Z6" s="551"/>
      <c r="AB6" s="538"/>
      <c r="AC6" s="539"/>
    </row>
    <row r="7" spans="2:30" x14ac:dyDescent="0.2">
      <c r="B7" s="10"/>
      <c r="C7" s="10"/>
      <c r="D7" s="10"/>
      <c r="E7" s="10"/>
      <c r="F7" s="10"/>
      <c r="G7" s="10"/>
      <c r="H7" s="10"/>
      <c r="I7" s="10"/>
      <c r="J7" s="10"/>
      <c r="K7" s="10"/>
      <c r="L7" s="181"/>
      <c r="M7" s="181"/>
      <c r="N7" s="181"/>
      <c r="P7" s="181"/>
      <c r="V7" s="204" t="s">
        <v>2</v>
      </c>
      <c r="W7" s="109">
        <v>0</v>
      </c>
      <c r="X7" s="184"/>
      <c r="Y7" s="204" t="s">
        <v>2</v>
      </c>
      <c r="Z7" s="109">
        <v>0</v>
      </c>
      <c r="AA7" s="110"/>
      <c r="AB7" s="11"/>
      <c r="AC7" s="41"/>
      <c r="AD7" s="110"/>
    </row>
    <row r="8" spans="2:30" ht="12.75" customHeight="1" x14ac:dyDescent="0.2">
      <c r="B8" s="5" t="s">
        <v>3</v>
      </c>
      <c r="C8" s="6"/>
      <c r="D8" s="6"/>
      <c r="E8" s="6"/>
      <c r="F8" s="6"/>
      <c r="G8" s="547"/>
      <c r="H8" s="548"/>
      <c r="I8" s="548"/>
      <c r="J8" s="548"/>
      <c r="K8" s="476">
        <v>46156</v>
      </c>
      <c r="L8" s="181"/>
      <c r="M8" s="181"/>
      <c r="N8" s="181"/>
      <c r="P8" s="181"/>
      <c r="V8" s="204" t="s">
        <v>4</v>
      </c>
      <c r="W8" s="404">
        <v>0.1</v>
      </c>
      <c r="Y8" s="204" t="s">
        <v>4</v>
      </c>
      <c r="Z8" s="404">
        <v>0.1</v>
      </c>
      <c r="AB8" s="11"/>
      <c r="AC8" s="12"/>
    </row>
    <row r="9" spans="2:30" ht="11.25" customHeight="1" x14ac:dyDescent="0.2">
      <c r="B9" s="5" t="s">
        <v>5</v>
      </c>
      <c r="C9" s="6"/>
      <c r="D9" s="6"/>
      <c r="E9" s="6"/>
      <c r="F9" s="6"/>
      <c r="G9" s="542"/>
      <c r="H9" s="542"/>
      <c r="I9" s="542"/>
      <c r="J9" s="475"/>
      <c r="K9" s="36" t="s">
        <v>1252</v>
      </c>
      <c r="L9" s="181"/>
      <c r="M9" s="181"/>
      <c r="N9" s="181"/>
      <c r="P9" s="181"/>
      <c r="V9" s="204" t="s">
        <v>6</v>
      </c>
      <c r="W9" s="205">
        <f>W7+(W7*W8)</f>
        <v>0</v>
      </c>
      <c r="Y9" s="204" t="s">
        <v>6</v>
      </c>
      <c r="Z9" s="205">
        <f>Z7+(Z7*Z8)</f>
        <v>0</v>
      </c>
      <c r="AB9" s="11"/>
      <c r="AC9" s="14"/>
    </row>
    <row r="10" spans="2:30" ht="12" thickBot="1" x14ac:dyDescent="0.25">
      <c r="K10" s="15"/>
      <c r="R10" s="16" t="s">
        <v>2</v>
      </c>
      <c r="S10" s="543" t="s">
        <v>7</v>
      </c>
      <c r="T10" s="544"/>
      <c r="V10" s="206"/>
      <c r="W10" s="207"/>
      <c r="Y10" s="17"/>
      <c r="Z10" s="18"/>
      <c r="AB10" s="17"/>
      <c r="AC10" s="18"/>
    </row>
    <row r="11" spans="2:30" x14ac:dyDescent="0.2">
      <c r="B11" s="19"/>
      <c r="C11" s="19"/>
      <c r="D11" s="19"/>
      <c r="E11" s="19"/>
      <c r="F11" s="19"/>
      <c r="G11" s="19"/>
      <c r="H11" s="19"/>
      <c r="I11" s="19"/>
      <c r="J11" s="20"/>
      <c r="K11" s="21" t="s">
        <v>8</v>
      </c>
      <c r="P11" s="188"/>
      <c r="R11" s="22"/>
      <c r="V11" s="204"/>
      <c r="W11" s="205"/>
      <c r="Y11" s="11"/>
      <c r="Z11" s="14"/>
      <c r="AB11" s="11"/>
      <c r="AC11" s="14"/>
    </row>
    <row r="12" spans="2:30" x14ac:dyDescent="0.2">
      <c r="B12" s="13"/>
      <c r="K12" s="15"/>
      <c r="M12" s="45"/>
      <c r="N12" s="296"/>
      <c r="O12" s="42"/>
      <c r="P12" s="13"/>
      <c r="R12" s="22"/>
      <c r="V12" s="208"/>
      <c r="W12" s="209"/>
      <c r="Y12" s="114"/>
      <c r="Z12" s="115"/>
      <c r="AB12" s="114"/>
      <c r="AC12" s="115"/>
    </row>
    <row r="13" spans="2:30" ht="12.75" x14ac:dyDescent="0.2">
      <c r="B13" s="36" t="s">
        <v>9</v>
      </c>
      <c r="C13" s="34"/>
      <c r="D13" s="34"/>
      <c r="E13" s="34"/>
      <c r="F13" s="34" t="s">
        <v>1253</v>
      </c>
      <c r="G13" s="34"/>
      <c r="H13" s="34"/>
      <c r="I13" s="42"/>
      <c r="J13" s="43"/>
      <c r="K13" s="35">
        <f>S13</f>
        <v>17860.397863000002</v>
      </c>
      <c r="L13" s="24"/>
      <c r="M13" s="2"/>
      <c r="N13" s="185"/>
      <c r="O13" s="2"/>
      <c r="P13" s="297"/>
      <c r="Q13" s="177"/>
      <c r="R13" s="109">
        <f>'SW Zone Sumry'!F70</f>
        <v>13644.307000000001</v>
      </c>
      <c r="S13" s="25">
        <f>((R13/$R$17)*($R$27-$R$17))+R13</f>
        <v>17860.397863000002</v>
      </c>
      <c r="V13" s="204"/>
      <c r="W13" s="205"/>
      <c r="Y13" s="11"/>
      <c r="Z13" s="14"/>
    </row>
    <row r="14" spans="2:30" ht="7.15" customHeight="1" x14ac:dyDescent="0.2">
      <c r="B14" s="36"/>
      <c r="C14" s="34"/>
      <c r="D14" s="34"/>
      <c r="E14" s="34"/>
      <c r="F14" s="34"/>
      <c r="G14" s="34"/>
      <c r="H14" s="34"/>
      <c r="I14" s="42"/>
      <c r="J14" s="43"/>
      <c r="K14" s="35"/>
      <c r="L14" s="24"/>
      <c r="M14" s="2"/>
      <c r="N14" s="185"/>
      <c r="O14" s="2"/>
      <c r="P14" s="297"/>
      <c r="Q14" s="177"/>
      <c r="R14" s="109"/>
      <c r="V14" s="204"/>
      <c r="W14" s="205"/>
      <c r="Y14" s="11"/>
      <c r="Z14" s="14"/>
    </row>
    <row r="15" spans="2:30" ht="12.75" x14ac:dyDescent="0.2">
      <c r="B15" s="36"/>
      <c r="C15" s="34"/>
      <c r="D15" s="34"/>
      <c r="E15" s="34"/>
      <c r="F15" s="34"/>
      <c r="G15" s="34"/>
      <c r="H15" s="34"/>
      <c r="I15" s="42"/>
      <c r="J15" s="43"/>
      <c r="K15" s="30"/>
      <c r="L15" s="24"/>
      <c r="M15" s="24"/>
      <c r="N15" s="24"/>
      <c r="P15" s="177"/>
      <c r="Q15" s="177"/>
      <c r="R15" s="44"/>
      <c r="V15" s="204"/>
      <c r="W15" s="205"/>
      <c r="Y15" s="11"/>
      <c r="Z15" s="14"/>
    </row>
    <row r="16" spans="2:30" x14ac:dyDescent="0.2">
      <c r="B16" s="13"/>
      <c r="K16" s="26"/>
      <c r="P16" s="181"/>
      <c r="R16" s="44"/>
      <c r="V16" s="204"/>
      <c r="W16" s="205"/>
      <c r="Y16" s="11"/>
      <c r="Z16" s="14"/>
    </row>
    <row r="17" spans="2:30" ht="12" thickBot="1" x14ac:dyDescent="0.25">
      <c r="B17" s="36"/>
      <c r="C17" s="34"/>
      <c r="D17" s="34"/>
      <c r="E17" s="34"/>
      <c r="F17" s="34"/>
      <c r="G17" s="34"/>
      <c r="H17" s="34"/>
      <c r="I17" s="42"/>
      <c r="J17" s="43"/>
      <c r="K17" s="30"/>
      <c r="O17" s="30"/>
      <c r="P17" s="181"/>
      <c r="R17" s="31">
        <f>SUM(R13:R15)</f>
        <v>13644.307000000001</v>
      </c>
      <c r="S17" s="32">
        <f>SUM(S13:S15)</f>
        <v>17860.397863000002</v>
      </c>
      <c r="V17" s="204"/>
      <c r="W17" s="205"/>
      <c r="Y17" s="11"/>
      <c r="Z17" s="14"/>
    </row>
    <row r="18" spans="2:30" ht="12" thickTop="1" x14ac:dyDescent="0.2">
      <c r="B18" s="13"/>
      <c r="K18" s="26"/>
      <c r="O18" s="30"/>
      <c r="P18" s="181"/>
      <c r="R18" s="23"/>
      <c r="V18" s="204"/>
      <c r="W18" s="205"/>
      <c r="Y18" s="11"/>
      <c r="Z18" s="14"/>
    </row>
    <row r="19" spans="2:30" ht="8.4499999999999993" customHeight="1" x14ac:dyDescent="0.2">
      <c r="B19" s="13"/>
      <c r="K19" s="26"/>
      <c r="M19" s="181"/>
      <c r="N19" s="181"/>
      <c r="O19" s="30"/>
      <c r="P19" s="181"/>
      <c r="T19" s="1" t="s">
        <v>11</v>
      </c>
      <c r="V19" s="204"/>
      <c r="W19" s="205"/>
      <c r="Y19" s="11"/>
      <c r="Z19" s="14"/>
    </row>
    <row r="20" spans="2:30" ht="12" thickBot="1" x14ac:dyDescent="0.25">
      <c r="D20" s="28"/>
      <c r="E20" s="28"/>
      <c r="F20" s="28"/>
      <c r="H20" s="28"/>
      <c r="J20" s="37" t="s">
        <v>10</v>
      </c>
      <c r="K20" s="29">
        <f>SUM(K13:K17)</f>
        <v>17860.397863000002</v>
      </c>
      <c r="L20" s="181"/>
      <c r="M20" s="546"/>
      <c r="N20" s="546"/>
      <c r="P20" s="33" t="s">
        <v>12</v>
      </c>
      <c r="Q20" s="179">
        <v>3.5000000000000003E-2</v>
      </c>
      <c r="R20" s="25">
        <f>R17*Q20</f>
        <v>477.55074500000006</v>
      </c>
      <c r="S20" s="25" t="s">
        <v>13</v>
      </c>
      <c r="T20" s="25">
        <f>'Prelim_OH-Check'!F42</f>
        <v>0</v>
      </c>
      <c r="V20" s="204"/>
      <c r="W20" s="205"/>
      <c r="Y20" s="11"/>
      <c r="Z20" s="14"/>
    </row>
    <row r="21" spans="2:30" ht="12" thickTop="1" x14ac:dyDescent="0.2">
      <c r="J21" s="37"/>
      <c r="K21" s="195"/>
      <c r="L21" s="196"/>
      <c r="M21" s="2"/>
      <c r="N21" s="198"/>
      <c r="P21" s="30" t="s">
        <v>14</v>
      </c>
      <c r="Q21" s="179">
        <v>0.155</v>
      </c>
      <c r="R21" s="25">
        <f>R17*Q21</f>
        <v>2114.867585</v>
      </c>
      <c r="S21" s="25" t="s">
        <v>13</v>
      </c>
      <c r="T21" s="25">
        <f>'Prelim_OH-Check'!F47</f>
        <v>0</v>
      </c>
      <c r="V21" s="204"/>
      <c r="W21" s="205"/>
      <c r="Y21" s="11"/>
      <c r="Z21" s="14"/>
    </row>
    <row r="22" spans="2:30" x14ac:dyDescent="0.2">
      <c r="J22" s="37"/>
      <c r="K22" s="499"/>
      <c r="L22" s="178"/>
      <c r="M22" s="2"/>
      <c r="N22" s="198"/>
      <c r="P22" s="36"/>
      <c r="Q22" s="46"/>
      <c r="R22" s="25"/>
      <c r="S22" s="25"/>
      <c r="V22" s="204"/>
      <c r="W22" s="205"/>
      <c r="Y22" s="11"/>
      <c r="Z22" s="14"/>
    </row>
    <row r="23" spans="2:30" ht="12.75" x14ac:dyDescent="0.2">
      <c r="I23" s="545"/>
      <c r="J23" s="545"/>
      <c r="K23" s="545"/>
      <c r="L23" s="178"/>
      <c r="M23" s="2"/>
      <c r="N23" s="198"/>
      <c r="P23" s="38" t="s">
        <v>15</v>
      </c>
      <c r="Q23" s="47"/>
      <c r="R23" s="39">
        <f>SUM(R17:R22)</f>
        <v>16236.725330000001</v>
      </c>
      <c r="S23" s="25" t="s">
        <v>16</v>
      </c>
      <c r="V23" s="204"/>
      <c r="W23" s="205"/>
      <c r="Y23" s="11"/>
      <c r="Z23" s="14"/>
    </row>
    <row r="24" spans="2:30" x14ac:dyDescent="0.2">
      <c r="J24" s="1"/>
      <c r="K24" s="196"/>
      <c r="L24" s="178"/>
      <c r="M24" s="2"/>
      <c r="N24" s="198"/>
      <c r="P24" s="38"/>
      <c r="Q24" s="47"/>
      <c r="R24" s="39"/>
      <c r="S24" s="25"/>
      <c r="V24" s="204"/>
      <c r="W24" s="205"/>
      <c r="Y24" s="11"/>
      <c r="Z24" s="14"/>
    </row>
    <row r="25" spans="2:30" ht="12" thickBot="1" x14ac:dyDescent="0.25">
      <c r="F25" s="34"/>
      <c r="G25" s="34"/>
      <c r="H25" s="34"/>
      <c r="I25" s="197"/>
      <c r="J25" s="188"/>
      <c r="K25" s="188"/>
      <c r="L25" s="178"/>
      <c r="M25" s="2"/>
      <c r="N25" s="198"/>
      <c r="P25" s="36"/>
      <c r="Q25" s="47"/>
      <c r="R25" s="39"/>
      <c r="S25" s="25"/>
      <c r="V25" s="206"/>
      <c r="W25" s="207"/>
      <c r="Y25" s="17"/>
      <c r="Z25" s="18"/>
    </row>
    <row r="26" spans="2:30" x14ac:dyDescent="0.2">
      <c r="I26" s="197"/>
      <c r="J26" s="188"/>
      <c r="K26" s="188"/>
      <c r="L26" s="178"/>
      <c r="M26" s="2"/>
      <c r="N26" s="198"/>
      <c r="P26" s="116" t="s">
        <v>17</v>
      </c>
      <c r="Q26" s="117">
        <v>0.1</v>
      </c>
      <c r="R26" s="118">
        <f>R23*Q26</f>
        <v>1623.6725330000002</v>
      </c>
      <c r="S26" s="25" t="s">
        <v>18</v>
      </c>
      <c r="V26" s="204"/>
      <c r="W26" s="205"/>
      <c r="Y26" s="11"/>
      <c r="Z26" s="14"/>
    </row>
    <row r="27" spans="2:30" ht="13.5" x14ac:dyDescent="0.35">
      <c r="I27" s="34"/>
      <c r="J27" s="13"/>
      <c r="K27" s="188"/>
      <c r="L27" s="178"/>
      <c r="M27" s="2"/>
      <c r="N27" s="198"/>
      <c r="P27" s="36" t="s">
        <v>19</v>
      </c>
      <c r="Q27" s="48"/>
      <c r="R27" s="40">
        <f>SUM(R23:R26)</f>
        <v>17860.397863000002</v>
      </c>
      <c r="V27" s="208"/>
      <c r="W27" s="209"/>
      <c r="Y27" s="114"/>
      <c r="Z27" s="115"/>
    </row>
    <row r="28" spans="2:30" x14ac:dyDescent="0.2">
      <c r="I28" s="34"/>
      <c r="J28" s="13"/>
      <c r="K28" s="188"/>
      <c r="L28" s="178"/>
      <c r="M28" s="2"/>
      <c r="N28" s="198"/>
      <c r="V28" s="208"/>
      <c r="W28" s="209"/>
      <c r="Y28" s="114"/>
      <c r="Z28" s="115"/>
    </row>
    <row r="29" spans="2:30" x14ac:dyDescent="0.2">
      <c r="I29" s="34"/>
      <c r="J29" s="13"/>
      <c r="K29" s="188"/>
      <c r="L29" s="178"/>
      <c r="M29" s="2"/>
      <c r="N29" s="198"/>
      <c r="P29" s="112" t="s">
        <v>20</v>
      </c>
      <c r="Q29" s="113">
        <f>SUM(Q20:Q28)</f>
        <v>0.29000000000000004</v>
      </c>
      <c r="V29" s="208"/>
      <c r="W29" s="209"/>
      <c r="Y29" s="114"/>
      <c r="Z29" s="115"/>
    </row>
    <row r="30" spans="2:30" x14ac:dyDescent="0.2">
      <c r="I30" s="34"/>
      <c r="J30" s="13"/>
      <c r="K30" s="188"/>
      <c r="L30" s="178"/>
      <c r="P30" s="112"/>
      <c r="Q30" s="113"/>
      <c r="Z30" s="180"/>
    </row>
    <row r="31" spans="2:30" x14ac:dyDescent="0.2">
      <c r="I31" s="34"/>
      <c r="J31" s="13"/>
      <c r="K31" s="188"/>
      <c r="M31" s="178"/>
      <c r="N31" s="198"/>
      <c r="P31" s="119" t="s">
        <v>21</v>
      </c>
      <c r="Q31" s="120"/>
      <c r="R31" s="121">
        <f>R26</f>
        <v>1623.6725330000002</v>
      </c>
      <c r="V31" s="27"/>
      <c r="W31" s="25"/>
      <c r="AA31" s="180"/>
      <c r="AD31" s="180"/>
    </row>
    <row r="32" spans="2:30" x14ac:dyDescent="0.2">
      <c r="I32" s="34"/>
      <c r="J32" s="13"/>
      <c r="K32" s="188"/>
      <c r="L32" s="178"/>
      <c r="V32" s="27"/>
      <c r="W32" s="25"/>
      <c r="AA32" s="180"/>
      <c r="AD32" s="180"/>
    </row>
    <row r="33" spans="9:30" x14ac:dyDescent="0.2">
      <c r="I33" s="34"/>
      <c r="J33" s="13"/>
      <c r="K33" s="188"/>
      <c r="V33" s="27"/>
      <c r="W33" s="25"/>
      <c r="AA33" s="180"/>
      <c r="AD33" s="180"/>
    </row>
    <row r="34" spans="9:30" x14ac:dyDescent="0.2">
      <c r="I34" s="541"/>
      <c r="J34" s="541"/>
      <c r="K34" s="188"/>
      <c r="V34" s="27"/>
      <c r="W34" s="25"/>
      <c r="AA34" s="180"/>
      <c r="AD34" s="180"/>
    </row>
    <row r="35" spans="9:30" x14ac:dyDescent="0.2">
      <c r="K35" s="2"/>
      <c r="V35" s="27"/>
      <c r="W35" s="25"/>
      <c r="AA35" s="180"/>
      <c r="AD35" s="180"/>
    </row>
    <row r="36" spans="9:30" x14ac:dyDescent="0.2">
      <c r="K36" s="199"/>
      <c r="V36" s="27"/>
      <c r="W36" s="25"/>
      <c r="AA36" s="180"/>
      <c r="AD36" s="180"/>
    </row>
    <row r="37" spans="9:30" x14ac:dyDescent="0.2">
      <c r="K37" s="2"/>
      <c r="V37" s="27"/>
      <c r="W37" s="25"/>
      <c r="AA37" s="180"/>
      <c r="AD37" s="180"/>
    </row>
    <row r="38" spans="9:30" x14ac:dyDescent="0.2">
      <c r="J38" s="187"/>
      <c r="K38" s="2"/>
      <c r="V38" s="27"/>
      <c r="W38" s="25"/>
      <c r="AA38" s="180"/>
      <c r="AD38" s="180"/>
    </row>
    <row r="39" spans="9:30" x14ac:dyDescent="0.2">
      <c r="J39" s="187"/>
      <c r="K39" s="186"/>
      <c r="V39" s="27"/>
      <c r="W39" s="25"/>
      <c r="AA39" s="180"/>
      <c r="AD39" s="180"/>
    </row>
    <row r="40" spans="9:30" ht="16.149999999999999" customHeight="1" x14ac:dyDescent="0.2">
      <c r="K40" s="2"/>
      <c r="W40" s="180"/>
    </row>
    <row r="41" spans="9:30" x14ac:dyDescent="0.2">
      <c r="K41" s="2"/>
      <c r="AC41" s="180"/>
    </row>
    <row r="42" spans="9:30" x14ac:dyDescent="0.2">
      <c r="K42" s="2"/>
      <c r="V42" s="540"/>
      <c r="W42" s="540"/>
    </row>
    <row r="43" spans="9:30" ht="10.15" customHeight="1" x14ac:dyDescent="0.2">
      <c r="K43" s="2"/>
      <c r="W43" s="27"/>
      <c r="AA43" s="181"/>
      <c r="AB43" s="181"/>
      <c r="AC43" s="181"/>
      <c r="AD43" s="181"/>
    </row>
    <row r="44" spans="9:30" x14ac:dyDescent="0.2">
      <c r="K44" s="2"/>
      <c r="AA44" s="181"/>
      <c r="AB44" s="181"/>
      <c r="AC44" s="181"/>
      <c r="AD44" s="181"/>
    </row>
    <row r="45" spans="9:30" x14ac:dyDescent="0.2">
      <c r="K45" s="2"/>
      <c r="W45" s="180"/>
    </row>
    <row r="46" spans="9:30" x14ac:dyDescent="0.2">
      <c r="K46" s="2"/>
      <c r="W46" s="180"/>
    </row>
    <row r="47" spans="9:30" x14ac:dyDescent="0.2">
      <c r="K47" s="2"/>
      <c r="W47" s="180"/>
      <c r="Z47" s="180"/>
    </row>
    <row r="48" spans="9:30" x14ac:dyDescent="0.2">
      <c r="K48" s="2"/>
      <c r="W48" s="180"/>
      <c r="Z48" s="180"/>
    </row>
    <row r="49" spans="11:30" x14ac:dyDescent="0.2">
      <c r="K49" s="2"/>
      <c r="W49" s="180"/>
      <c r="Z49" s="180"/>
    </row>
    <row r="50" spans="11:30" x14ac:dyDescent="0.2">
      <c r="Z50" s="180"/>
    </row>
    <row r="51" spans="11:30" x14ac:dyDescent="0.2">
      <c r="V51" s="540"/>
      <c r="W51" s="540"/>
      <c r="X51" s="110"/>
      <c r="Z51" s="180"/>
    </row>
    <row r="52" spans="11:30" x14ac:dyDescent="0.2">
      <c r="W52" s="27"/>
      <c r="Z52" s="180"/>
    </row>
    <row r="53" spans="11:30" x14ac:dyDescent="0.2">
      <c r="W53" s="180"/>
      <c r="Y53" s="540"/>
      <c r="Z53" s="540"/>
      <c r="AA53" s="181"/>
      <c r="AB53" s="181"/>
      <c r="AC53" s="181"/>
      <c r="AD53" s="181"/>
    </row>
    <row r="54" spans="11:30" x14ac:dyDescent="0.2">
      <c r="W54" s="180"/>
      <c r="Z54" s="180"/>
    </row>
    <row r="55" spans="11:30" x14ac:dyDescent="0.2">
      <c r="W55" s="180"/>
      <c r="Z55" s="180"/>
    </row>
    <row r="56" spans="11:30" x14ac:dyDescent="0.2">
      <c r="W56" s="180"/>
      <c r="Z56" s="180"/>
    </row>
    <row r="57" spans="11:30" x14ac:dyDescent="0.2">
      <c r="W57" s="180"/>
      <c r="Z57" s="180"/>
    </row>
    <row r="58" spans="11:30" x14ac:dyDescent="0.2">
      <c r="W58" s="180"/>
      <c r="Z58" s="180"/>
    </row>
    <row r="59" spans="11:30" x14ac:dyDescent="0.2">
      <c r="W59" s="180"/>
      <c r="Z59" s="180"/>
    </row>
    <row r="60" spans="11:30" x14ac:dyDescent="0.2">
      <c r="W60" s="180"/>
      <c r="Z60" s="180"/>
    </row>
    <row r="61" spans="11:30" x14ac:dyDescent="0.2">
      <c r="W61" s="180"/>
      <c r="Z61" s="180"/>
    </row>
    <row r="62" spans="11:30" x14ac:dyDescent="0.2">
      <c r="W62" s="180"/>
      <c r="Z62" s="180"/>
    </row>
    <row r="63" spans="11:30" x14ac:dyDescent="0.2">
      <c r="W63" s="180"/>
      <c r="Z63" s="180"/>
    </row>
    <row r="64" spans="11:30" x14ac:dyDescent="0.2">
      <c r="W64" s="180"/>
      <c r="Z64" s="180"/>
    </row>
    <row r="65" spans="23:30" x14ac:dyDescent="0.2">
      <c r="W65" s="180"/>
      <c r="Z65" s="180"/>
    </row>
    <row r="66" spans="23:30" x14ac:dyDescent="0.2">
      <c r="W66" s="180"/>
      <c r="Z66" s="180"/>
    </row>
    <row r="67" spans="23:30" x14ac:dyDescent="0.2">
      <c r="W67" s="180"/>
      <c r="Z67" s="180"/>
    </row>
    <row r="68" spans="23:30" x14ac:dyDescent="0.2">
      <c r="W68" s="180"/>
      <c r="Z68" s="180"/>
    </row>
    <row r="69" spans="23:30" ht="10.15" customHeight="1" x14ac:dyDescent="0.2">
      <c r="Z69" s="180"/>
    </row>
    <row r="70" spans="23:30" ht="11.65" customHeight="1" x14ac:dyDescent="0.2">
      <c r="W70" s="180"/>
      <c r="Z70" s="26"/>
      <c r="AA70" s="183"/>
      <c r="AB70" s="182"/>
      <c r="AC70" s="182"/>
      <c r="AD70" s="182"/>
    </row>
    <row r="71" spans="23:30" x14ac:dyDescent="0.2">
      <c r="W71" s="180"/>
    </row>
    <row r="72" spans="23:30" ht="10.9" customHeight="1" x14ac:dyDescent="0.2">
      <c r="W72" s="180"/>
      <c r="Z72" s="180"/>
    </row>
    <row r="73" spans="23:30" x14ac:dyDescent="0.2">
      <c r="W73" s="180"/>
      <c r="Z73" s="180"/>
    </row>
    <row r="74" spans="23:30" x14ac:dyDescent="0.2">
      <c r="W74" s="180"/>
      <c r="Z74" s="180"/>
    </row>
    <row r="75" spans="23:30" x14ac:dyDescent="0.2">
      <c r="W75" s="180"/>
      <c r="Z75" s="180"/>
    </row>
    <row r="76" spans="23:30" x14ac:dyDescent="0.2">
      <c r="Z76" s="180"/>
    </row>
  </sheetData>
  <mergeCells count="13">
    <mergeCell ref="AB6:AC6"/>
    <mergeCell ref="V51:W51"/>
    <mergeCell ref="Y53:Z53"/>
    <mergeCell ref="I34:J34"/>
    <mergeCell ref="G9:I9"/>
    <mergeCell ref="S10:T10"/>
    <mergeCell ref="V42:W42"/>
    <mergeCell ref="I23:K23"/>
    <mergeCell ref="M20:N20"/>
    <mergeCell ref="G8:J8"/>
    <mergeCell ref="B6:K6"/>
    <mergeCell ref="V6:W6"/>
    <mergeCell ref="Y6:Z6"/>
  </mergeCells>
  <phoneticPr fontId="85" type="noConversion"/>
  <pageMargins left="0.7" right="0.7" top="0.75" bottom="0.75" header="0.3" footer="0.3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7E41E-38E6-4CE9-BD46-CAEC16407C33}">
  <sheetPr>
    <tabColor rgb="FFFFFF00"/>
  </sheetPr>
  <dimension ref="A1:L58"/>
  <sheetViews>
    <sheetView zoomScaleNormal="100" workbookViewId="0">
      <selection activeCell="F42" sqref="F42"/>
    </sheetView>
  </sheetViews>
  <sheetFormatPr defaultColWidth="9.140625" defaultRowHeight="11.25" x14ac:dyDescent="0.2"/>
  <cols>
    <col min="1" max="1" width="8.140625" style="49" customWidth="1"/>
    <col min="2" max="2" width="79" style="49" customWidth="1"/>
    <col min="3" max="3" width="11.42578125" style="51" customWidth="1"/>
    <col min="4" max="4" width="10.42578125" style="51" customWidth="1"/>
    <col min="5" max="5" width="13.140625" style="52" customWidth="1"/>
    <col min="6" max="6" width="14.140625" style="52" customWidth="1"/>
    <col min="7" max="7" width="12.28515625" style="49" customWidth="1"/>
    <col min="8" max="8" width="18.28515625" style="51" customWidth="1"/>
    <col min="9" max="9" width="20.5703125" style="49" customWidth="1"/>
    <col min="10" max="10" width="14.7109375" style="49" customWidth="1"/>
    <col min="11" max="11" width="12.7109375" style="49" customWidth="1"/>
    <col min="12" max="256" width="9.140625" style="49"/>
    <col min="257" max="257" width="8.140625" style="49" customWidth="1"/>
    <col min="258" max="258" width="70.42578125" style="49" bestFit="1" customWidth="1"/>
    <col min="259" max="259" width="11.42578125" style="49" customWidth="1"/>
    <col min="260" max="260" width="10.42578125" style="49" customWidth="1"/>
    <col min="261" max="261" width="13.140625" style="49" customWidth="1"/>
    <col min="262" max="262" width="14.140625" style="49" customWidth="1"/>
    <col min="263" max="263" width="12.28515625" style="49" customWidth="1"/>
    <col min="264" max="512" width="9.140625" style="49"/>
    <col min="513" max="513" width="8.140625" style="49" customWidth="1"/>
    <col min="514" max="514" width="70.42578125" style="49" bestFit="1" customWidth="1"/>
    <col min="515" max="515" width="11.42578125" style="49" customWidth="1"/>
    <col min="516" max="516" width="10.42578125" style="49" customWidth="1"/>
    <col min="517" max="517" width="13.140625" style="49" customWidth="1"/>
    <col min="518" max="518" width="14.140625" style="49" customWidth="1"/>
    <col min="519" max="519" width="12.28515625" style="49" customWidth="1"/>
    <col min="520" max="768" width="9.140625" style="49"/>
    <col min="769" max="769" width="8.140625" style="49" customWidth="1"/>
    <col min="770" max="770" width="70.42578125" style="49" bestFit="1" customWidth="1"/>
    <col min="771" max="771" width="11.42578125" style="49" customWidth="1"/>
    <col min="772" max="772" width="10.42578125" style="49" customWidth="1"/>
    <col min="773" max="773" width="13.140625" style="49" customWidth="1"/>
    <col min="774" max="774" width="14.140625" style="49" customWidth="1"/>
    <col min="775" max="775" width="12.28515625" style="49" customWidth="1"/>
    <col min="776" max="1024" width="9.140625" style="49"/>
    <col min="1025" max="1025" width="8.140625" style="49" customWidth="1"/>
    <col min="1026" max="1026" width="70.42578125" style="49" bestFit="1" customWidth="1"/>
    <col min="1027" max="1027" width="11.42578125" style="49" customWidth="1"/>
    <col min="1028" max="1028" width="10.42578125" style="49" customWidth="1"/>
    <col min="1029" max="1029" width="13.140625" style="49" customWidth="1"/>
    <col min="1030" max="1030" width="14.140625" style="49" customWidth="1"/>
    <col min="1031" max="1031" width="12.28515625" style="49" customWidth="1"/>
    <col min="1032" max="1280" width="9.140625" style="49"/>
    <col min="1281" max="1281" width="8.140625" style="49" customWidth="1"/>
    <col min="1282" max="1282" width="70.42578125" style="49" bestFit="1" customWidth="1"/>
    <col min="1283" max="1283" width="11.42578125" style="49" customWidth="1"/>
    <col min="1284" max="1284" width="10.42578125" style="49" customWidth="1"/>
    <col min="1285" max="1285" width="13.140625" style="49" customWidth="1"/>
    <col min="1286" max="1286" width="14.140625" style="49" customWidth="1"/>
    <col min="1287" max="1287" width="12.28515625" style="49" customWidth="1"/>
    <col min="1288" max="1536" width="9.140625" style="49"/>
    <col min="1537" max="1537" width="8.140625" style="49" customWidth="1"/>
    <col min="1538" max="1538" width="70.42578125" style="49" bestFit="1" customWidth="1"/>
    <col min="1539" max="1539" width="11.42578125" style="49" customWidth="1"/>
    <col min="1540" max="1540" width="10.42578125" style="49" customWidth="1"/>
    <col min="1541" max="1541" width="13.140625" style="49" customWidth="1"/>
    <col min="1542" max="1542" width="14.140625" style="49" customWidth="1"/>
    <col min="1543" max="1543" width="12.28515625" style="49" customWidth="1"/>
    <col min="1544" max="1792" width="9.140625" style="49"/>
    <col min="1793" max="1793" width="8.140625" style="49" customWidth="1"/>
    <col min="1794" max="1794" width="70.42578125" style="49" bestFit="1" customWidth="1"/>
    <col min="1795" max="1795" width="11.42578125" style="49" customWidth="1"/>
    <col min="1796" max="1796" width="10.42578125" style="49" customWidth="1"/>
    <col min="1797" max="1797" width="13.140625" style="49" customWidth="1"/>
    <col min="1798" max="1798" width="14.140625" style="49" customWidth="1"/>
    <col min="1799" max="1799" width="12.28515625" style="49" customWidth="1"/>
    <col min="1800" max="2048" width="9.140625" style="49"/>
    <col min="2049" max="2049" width="8.140625" style="49" customWidth="1"/>
    <col min="2050" max="2050" width="70.42578125" style="49" bestFit="1" customWidth="1"/>
    <col min="2051" max="2051" width="11.42578125" style="49" customWidth="1"/>
    <col min="2052" max="2052" width="10.42578125" style="49" customWidth="1"/>
    <col min="2053" max="2053" width="13.140625" style="49" customWidth="1"/>
    <col min="2054" max="2054" width="14.140625" style="49" customWidth="1"/>
    <col min="2055" max="2055" width="12.28515625" style="49" customWidth="1"/>
    <col min="2056" max="2304" width="9.140625" style="49"/>
    <col min="2305" max="2305" width="8.140625" style="49" customWidth="1"/>
    <col min="2306" max="2306" width="70.42578125" style="49" bestFit="1" customWidth="1"/>
    <col min="2307" max="2307" width="11.42578125" style="49" customWidth="1"/>
    <col min="2308" max="2308" width="10.42578125" style="49" customWidth="1"/>
    <col min="2309" max="2309" width="13.140625" style="49" customWidth="1"/>
    <col min="2310" max="2310" width="14.140625" style="49" customWidth="1"/>
    <col min="2311" max="2311" width="12.28515625" style="49" customWidth="1"/>
    <col min="2312" max="2560" width="9.140625" style="49"/>
    <col min="2561" max="2561" width="8.140625" style="49" customWidth="1"/>
    <col min="2562" max="2562" width="70.42578125" style="49" bestFit="1" customWidth="1"/>
    <col min="2563" max="2563" width="11.42578125" style="49" customWidth="1"/>
    <col min="2564" max="2564" width="10.42578125" style="49" customWidth="1"/>
    <col min="2565" max="2565" width="13.140625" style="49" customWidth="1"/>
    <col min="2566" max="2566" width="14.140625" style="49" customWidth="1"/>
    <col min="2567" max="2567" width="12.28515625" style="49" customWidth="1"/>
    <col min="2568" max="2816" width="9.140625" style="49"/>
    <col min="2817" max="2817" width="8.140625" style="49" customWidth="1"/>
    <col min="2818" max="2818" width="70.42578125" style="49" bestFit="1" customWidth="1"/>
    <col min="2819" max="2819" width="11.42578125" style="49" customWidth="1"/>
    <col min="2820" max="2820" width="10.42578125" style="49" customWidth="1"/>
    <col min="2821" max="2821" width="13.140625" style="49" customWidth="1"/>
    <col min="2822" max="2822" width="14.140625" style="49" customWidth="1"/>
    <col min="2823" max="2823" width="12.28515625" style="49" customWidth="1"/>
    <col min="2824" max="3072" width="9.140625" style="49"/>
    <col min="3073" max="3073" width="8.140625" style="49" customWidth="1"/>
    <col min="3074" max="3074" width="70.42578125" style="49" bestFit="1" customWidth="1"/>
    <col min="3075" max="3075" width="11.42578125" style="49" customWidth="1"/>
    <col min="3076" max="3076" width="10.42578125" style="49" customWidth="1"/>
    <col min="3077" max="3077" width="13.140625" style="49" customWidth="1"/>
    <col min="3078" max="3078" width="14.140625" style="49" customWidth="1"/>
    <col min="3079" max="3079" width="12.28515625" style="49" customWidth="1"/>
    <col min="3080" max="3328" width="9.140625" style="49"/>
    <col min="3329" max="3329" width="8.140625" style="49" customWidth="1"/>
    <col min="3330" max="3330" width="70.42578125" style="49" bestFit="1" customWidth="1"/>
    <col min="3331" max="3331" width="11.42578125" style="49" customWidth="1"/>
    <col min="3332" max="3332" width="10.42578125" style="49" customWidth="1"/>
    <col min="3333" max="3333" width="13.140625" style="49" customWidth="1"/>
    <col min="3334" max="3334" width="14.140625" style="49" customWidth="1"/>
    <col min="3335" max="3335" width="12.28515625" style="49" customWidth="1"/>
    <col min="3336" max="3584" width="9.140625" style="49"/>
    <col min="3585" max="3585" width="8.140625" style="49" customWidth="1"/>
    <col min="3586" max="3586" width="70.42578125" style="49" bestFit="1" customWidth="1"/>
    <col min="3587" max="3587" width="11.42578125" style="49" customWidth="1"/>
    <col min="3588" max="3588" width="10.42578125" style="49" customWidth="1"/>
    <col min="3589" max="3589" width="13.140625" style="49" customWidth="1"/>
    <col min="3590" max="3590" width="14.140625" style="49" customWidth="1"/>
    <col min="3591" max="3591" width="12.28515625" style="49" customWidth="1"/>
    <col min="3592" max="3840" width="9.140625" style="49"/>
    <col min="3841" max="3841" width="8.140625" style="49" customWidth="1"/>
    <col min="3842" max="3842" width="70.42578125" style="49" bestFit="1" customWidth="1"/>
    <col min="3843" max="3843" width="11.42578125" style="49" customWidth="1"/>
    <col min="3844" max="3844" width="10.42578125" style="49" customWidth="1"/>
    <col min="3845" max="3845" width="13.140625" style="49" customWidth="1"/>
    <col min="3846" max="3846" width="14.140625" style="49" customWidth="1"/>
    <col min="3847" max="3847" width="12.28515625" style="49" customWidth="1"/>
    <col min="3848" max="4096" width="9.140625" style="49"/>
    <col min="4097" max="4097" width="8.140625" style="49" customWidth="1"/>
    <col min="4098" max="4098" width="70.42578125" style="49" bestFit="1" customWidth="1"/>
    <col min="4099" max="4099" width="11.42578125" style="49" customWidth="1"/>
    <col min="4100" max="4100" width="10.42578125" style="49" customWidth="1"/>
    <col min="4101" max="4101" width="13.140625" style="49" customWidth="1"/>
    <col min="4102" max="4102" width="14.140625" style="49" customWidth="1"/>
    <col min="4103" max="4103" width="12.28515625" style="49" customWidth="1"/>
    <col min="4104" max="4352" width="9.140625" style="49"/>
    <col min="4353" max="4353" width="8.140625" style="49" customWidth="1"/>
    <col min="4354" max="4354" width="70.42578125" style="49" bestFit="1" customWidth="1"/>
    <col min="4355" max="4355" width="11.42578125" style="49" customWidth="1"/>
    <col min="4356" max="4356" width="10.42578125" style="49" customWidth="1"/>
    <col min="4357" max="4357" width="13.140625" style="49" customWidth="1"/>
    <col min="4358" max="4358" width="14.140625" style="49" customWidth="1"/>
    <col min="4359" max="4359" width="12.28515625" style="49" customWidth="1"/>
    <col min="4360" max="4608" width="9.140625" style="49"/>
    <col min="4609" max="4609" width="8.140625" style="49" customWidth="1"/>
    <col min="4610" max="4610" width="70.42578125" style="49" bestFit="1" customWidth="1"/>
    <col min="4611" max="4611" width="11.42578125" style="49" customWidth="1"/>
    <col min="4612" max="4612" width="10.42578125" style="49" customWidth="1"/>
    <col min="4613" max="4613" width="13.140625" style="49" customWidth="1"/>
    <col min="4614" max="4614" width="14.140625" style="49" customWidth="1"/>
    <col min="4615" max="4615" width="12.28515625" style="49" customWidth="1"/>
    <col min="4616" max="4864" width="9.140625" style="49"/>
    <col min="4865" max="4865" width="8.140625" style="49" customWidth="1"/>
    <col min="4866" max="4866" width="70.42578125" style="49" bestFit="1" customWidth="1"/>
    <col min="4867" max="4867" width="11.42578125" style="49" customWidth="1"/>
    <col min="4868" max="4868" width="10.42578125" style="49" customWidth="1"/>
    <col min="4869" max="4869" width="13.140625" style="49" customWidth="1"/>
    <col min="4870" max="4870" width="14.140625" style="49" customWidth="1"/>
    <col min="4871" max="4871" width="12.28515625" style="49" customWidth="1"/>
    <col min="4872" max="5120" width="9.140625" style="49"/>
    <col min="5121" max="5121" width="8.140625" style="49" customWidth="1"/>
    <col min="5122" max="5122" width="70.42578125" style="49" bestFit="1" customWidth="1"/>
    <col min="5123" max="5123" width="11.42578125" style="49" customWidth="1"/>
    <col min="5124" max="5124" width="10.42578125" style="49" customWidth="1"/>
    <col min="5125" max="5125" width="13.140625" style="49" customWidth="1"/>
    <col min="5126" max="5126" width="14.140625" style="49" customWidth="1"/>
    <col min="5127" max="5127" width="12.28515625" style="49" customWidth="1"/>
    <col min="5128" max="5376" width="9.140625" style="49"/>
    <col min="5377" max="5377" width="8.140625" style="49" customWidth="1"/>
    <col min="5378" max="5378" width="70.42578125" style="49" bestFit="1" customWidth="1"/>
    <col min="5379" max="5379" width="11.42578125" style="49" customWidth="1"/>
    <col min="5380" max="5380" width="10.42578125" style="49" customWidth="1"/>
    <col min="5381" max="5381" width="13.140625" style="49" customWidth="1"/>
    <col min="5382" max="5382" width="14.140625" style="49" customWidth="1"/>
    <col min="5383" max="5383" width="12.28515625" style="49" customWidth="1"/>
    <col min="5384" max="5632" width="9.140625" style="49"/>
    <col min="5633" max="5633" width="8.140625" style="49" customWidth="1"/>
    <col min="5634" max="5634" width="70.42578125" style="49" bestFit="1" customWidth="1"/>
    <col min="5635" max="5635" width="11.42578125" style="49" customWidth="1"/>
    <col min="5636" max="5636" width="10.42578125" style="49" customWidth="1"/>
    <col min="5637" max="5637" width="13.140625" style="49" customWidth="1"/>
    <col min="5638" max="5638" width="14.140625" style="49" customWidth="1"/>
    <col min="5639" max="5639" width="12.28515625" style="49" customWidth="1"/>
    <col min="5640" max="5888" width="9.140625" style="49"/>
    <col min="5889" max="5889" width="8.140625" style="49" customWidth="1"/>
    <col min="5890" max="5890" width="70.42578125" style="49" bestFit="1" customWidth="1"/>
    <col min="5891" max="5891" width="11.42578125" style="49" customWidth="1"/>
    <col min="5892" max="5892" width="10.42578125" style="49" customWidth="1"/>
    <col min="5893" max="5893" width="13.140625" style="49" customWidth="1"/>
    <col min="5894" max="5894" width="14.140625" style="49" customWidth="1"/>
    <col min="5895" max="5895" width="12.28515625" style="49" customWidth="1"/>
    <col min="5896" max="6144" width="9.140625" style="49"/>
    <col min="6145" max="6145" width="8.140625" style="49" customWidth="1"/>
    <col min="6146" max="6146" width="70.42578125" style="49" bestFit="1" customWidth="1"/>
    <col min="6147" max="6147" width="11.42578125" style="49" customWidth="1"/>
    <col min="6148" max="6148" width="10.42578125" style="49" customWidth="1"/>
    <col min="6149" max="6149" width="13.140625" style="49" customWidth="1"/>
    <col min="6150" max="6150" width="14.140625" style="49" customWidth="1"/>
    <col min="6151" max="6151" width="12.28515625" style="49" customWidth="1"/>
    <col min="6152" max="6400" width="9.140625" style="49"/>
    <col min="6401" max="6401" width="8.140625" style="49" customWidth="1"/>
    <col min="6402" max="6402" width="70.42578125" style="49" bestFit="1" customWidth="1"/>
    <col min="6403" max="6403" width="11.42578125" style="49" customWidth="1"/>
    <col min="6404" max="6404" width="10.42578125" style="49" customWidth="1"/>
    <col min="6405" max="6405" width="13.140625" style="49" customWidth="1"/>
    <col min="6406" max="6406" width="14.140625" style="49" customWidth="1"/>
    <col min="6407" max="6407" width="12.28515625" style="49" customWidth="1"/>
    <col min="6408" max="6656" width="9.140625" style="49"/>
    <col min="6657" max="6657" width="8.140625" style="49" customWidth="1"/>
    <col min="6658" max="6658" width="70.42578125" style="49" bestFit="1" customWidth="1"/>
    <col min="6659" max="6659" width="11.42578125" style="49" customWidth="1"/>
    <col min="6660" max="6660" width="10.42578125" style="49" customWidth="1"/>
    <col min="6661" max="6661" width="13.140625" style="49" customWidth="1"/>
    <col min="6662" max="6662" width="14.140625" style="49" customWidth="1"/>
    <col min="6663" max="6663" width="12.28515625" style="49" customWidth="1"/>
    <col min="6664" max="6912" width="9.140625" style="49"/>
    <col min="6913" max="6913" width="8.140625" style="49" customWidth="1"/>
    <col min="6914" max="6914" width="70.42578125" style="49" bestFit="1" customWidth="1"/>
    <col min="6915" max="6915" width="11.42578125" style="49" customWidth="1"/>
    <col min="6916" max="6916" width="10.42578125" style="49" customWidth="1"/>
    <col min="6917" max="6917" width="13.140625" style="49" customWidth="1"/>
    <col min="6918" max="6918" width="14.140625" style="49" customWidth="1"/>
    <col min="6919" max="6919" width="12.28515625" style="49" customWidth="1"/>
    <col min="6920" max="7168" width="9.140625" style="49"/>
    <col min="7169" max="7169" width="8.140625" style="49" customWidth="1"/>
    <col min="7170" max="7170" width="70.42578125" style="49" bestFit="1" customWidth="1"/>
    <col min="7171" max="7171" width="11.42578125" style="49" customWidth="1"/>
    <col min="7172" max="7172" width="10.42578125" style="49" customWidth="1"/>
    <col min="7173" max="7173" width="13.140625" style="49" customWidth="1"/>
    <col min="7174" max="7174" width="14.140625" style="49" customWidth="1"/>
    <col min="7175" max="7175" width="12.28515625" style="49" customWidth="1"/>
    <col min="7176" max="7424" width="9.140625" style="49"/>
    <col min="7425" max="7425" width="8.140625" style="49" customWidth="1"/>
    <col min="7426" max="7426" width="70.42578125" style="49" bestFit="1" customWidth="1"/>
    <col min="7427" max="7427" width="11.42578125" style="49" customWidth="1"/>
    <col min="7428" max="7428" width="10.42578125" style="49" customWidth="1"/>
    <col min="7429" max="7429" width="13.140625" style="49" customWidth="1"/>
    <col min="7430" max="7430" width="14.140625" style="49" customWidth="1"/>
    <col min="7431" max="7431" width="12.28515625" style="49" customWidth="1"/>
    <col min="7432" max="7680" width="9.140625" style="49"/>
    <col min="7681" max="7681" width="8.140625" style="49" customWidth="1"/>
    <col min="7682" max="7682" width="70.42578125" style="49" bestFit="1" customWidth="1"/>
    <col min="7683" max="7683" width="11.42578125" style="49" customWidth="1"/>
    <col min="7684" max="7684" width="10.42578125" style="49" customWidth="1"/>
    <col min="7685" max="7685" width="13.140625" style="49" customWidth="1"/>
    <col min="7686" max="7686" width="14.140625" style="49" customWidth="1"/>
    <col min="7687" max="7687" width="12.28515625" style="49" customWidth="1"/>
    <col min="7688" max="7936" width="9.140625" style="49"/>
    <col min="7937" max="7937" width="8.140625" style="49" customWidth="1"/>
    <col min="7938" max="7938" width="70.42578125" style="49" bestFit="1" customWidth="1"/>
    <col min="7939" max="7939" width="11.42578125" style="49" customWidth="1"/>
    <col min="7940" max="7940" width="10.42578125" style="49" customWidth="1"/>
    <col min="7941" max="7941" width="13.140625" style="49" customWidth="1"/>
    <col min="7942" max="7942" width="14.140625" style="49" customWidth="1"/>
    <col min="7943" max="7943" width="12.28515625" style="49" customWidth="1"/>
    <col min="7944" max="8192" width="9.140625" style="49"/>
    <col min="8193" max="8193" width="8.140625" style="49" customWidth="1"/>
    <col min="8194" max="8194" width="70.42578125" style="49" bestFit="1" customWidth="1"/>
    <col min="8195" max="8195" width="11.42578125" style="49" customWidth="1"/>
    <col min="8196" max="8196" width="10.42578125" style="49" customWidth="1"/>
    <col min="8197" max="8197" width="13.140625" style="49" customWidth="1"/>
    <col min="8198" max="8198" width="14.140625" style="49" customWidth="1"/>
    <col min="8199" max="8199" width="12.28515625" style="49" customWidth="1"/>
    <col min="8200" max="8448" width="9.140625" style="49"/>
    <col min="8449" max="8449" width="8.140625" style="49" customWidth="1"/>
    <col min="8450" max="8450" width="70.42578125" style="49" bestFit="1" customWidth="1"/>
    <col min="8451" max="8451" width="11.42578125" style="49" customWidth="1"/>
    <col min="8452" max="8452" width="10.42578125" style="49" customWidth="1"/>
    <col min="8453" max="8453" width="13.140625" style="49" customWidth="1"/>
    <col min="8454" max="8454" width="14.140625" style="49" customWidth="1"/>
    <col min="8455" max="8455" width="12.28515625" style="49" customWidth="1"/>
    <col min="8456" max="8704" width="9.140625" style="49"/>
    <col min="8705" max="8705" width="8.140625" style="49" customWidth="1"/>
    <col min="8706" max="8706" width="70.42578125" style="49" bestFit="1" customWidth="1"/>
    <col min="8707" max="8707" width="11.42578125" style="49" customWidth="1"/>
    <col min="8708" max="8708" width="10.42578125" style="49" customWidth="1"/>
    <col min="8709" max="8709" width="13.140625" style="49" customWidth="1"/>
    <col min="8710" max="8710" width="14.140625" style="49" customWidth="1"/>
    <col min="8711" max="8711" width="12.28515625" style="49" customWidth="1"/>
    <col min="8712" max="8960" width="9.140625" style="49"/>
    <col min="8961" max="8961" width="8.140625" style="49" customWidth="1"/>
    <col min="8962" max="8962" width="70.42578125" style="49" bestFit="1" customWidth="1"/>
    <col min="8963" max="8963" width="11.42578125" style="49" customWidth="1"/>
    <col min="8964" max="8964" width="10.42578125" style="49" customWidth="1"/>
    <col min="8965" max="8965" width="13.140625" style="49" customWidth="1"/>
    <col min="8966" max="8966" width="14.140625" style="49" customWidth="1"/>
    <col min="8967" max="8967" width="12.28515625" style="49" customWidth="1"/>
    <col min="8968" max="9216" width="9.140625" style="49"/>
    <col min="9217" max="9217" width="8.140625" style="49" customWidth="1"/>
    <col min="9218" max="9218" width="70.42578125" style="49" bestFit="1" customWidth="1"/>
    <col min="9219" max="9219" width="11.42578125" style="49" customWidth="1"/>
    <col min="9220" max="9220" width="10.42578125" style="49" customWidth="1"/>
    <col min="9221" max="9221" width="13.140625" style="49" customWidth="1"/>
    <col min="9222" max="9222" width="14.140625" style="49" customWidth="1"/>
    <col min="9223" max="9223" width="12.28515625" style="49" customWidth="1"/>
    <col min="9224" max="9472" width="9.140625" style="49"/>
    <col min="9473" max="9473" width="8.140625" style="49" customWidth="1"/>
    <col min="9474" max="9474" width="70.42578125" style="49" bestFit="1" customWidth="1"/>
    <col min="9475" max="9475" width="11.42578125" style="49" customWidth="1"/>
    <col min="9476" max="9476" width="10.42578125" style="49" customWidth="1"/>
    <col min="9477" max="9477" width="13.140625" style="49" customWidth="1"/>
    <col min="9478" max="9478" width="14.140625" style="49" customWidth="1"/>
    <col min="9479" max="9479" width="12.28515625" style="49" customWidth="1"/>
    <col min="9480" max="9728" width="9.140625" style="49"/>
    <col min="9729" max="9729" width="8.140625" style="49" customWidth="1"/>
    <col min="9730" max="9730" width="70.42578125" style="49" bestFit="1" customWidth="1"/>
    <col min="9731" max="9731" width="11.42578125" style="49" customWidth="1"/>
    <col min="9732" max="9732" width="10.42578125" style="49" customWidth="1"/>
    <col min="9733" max="9733" width="13.140625" style="49" customWidth="1"/>
    <col min="9734" max="9734" width="14.140625" style="49" customWidth="1"/>
    <col min="9735" max="9735" width="12.28515625" style="49" customWidth="1"/>
    <col min="9736" max="9984" width="9.140625" style="49"/>
    <col min="9985" max="9985" width="8.140625" style="49" customWidth="1"/>
    <col min="9986" max="9986" width="70.42578125" style="49" bestFit="1" customWidth="1"/>
    <col min="9987" max="9987" width="11.42578125" style="49" customWidth="1"/>
    <col min="9988" max="9988" width="10.42578125" style="49" customWidth="1"/>
    <col min="9989" max="9989" width="13.140625" style="49" customWidth="1"/>
    <col min="9990" max="9990" width="14.140625" style="49" customWidth="1"/>
    <col min="9991" max="9991" width="12.28515625" style="49" customWidth="1"/>
    <col min="9992" max="10240" width="9.140625" style="49"/>
    <col min="10241" max="10241" width="8.140625" style="49" customWidth="1"/>
    <col min="10242" max="10242" width="70.42578125" style="49" bestFit="1" customWidth="1"/>
    <col min="10243" max="10243" width="11.42578125" style="49" customWidth="1"/>
    <col min="10244" max="10244" width="10.42578125" style="49" customWidth="1"/>
    <col min="10245" max="10245" width="13.140625" style="49" customWidth="1"/>
    <col min="10246" max="10246" width="14.140625" style="49" customWidth="1"/>
    <col min="10247" max="10247" width="12.28515625" style="49" customWidth="1"/>
    <col min="10248" max="10496" width="9.140625" style="49"/>
    <col min="10497" max="10497" width="8.140625" style="49" customWidth="1"/>
    <col min="10498" max="10498" width="70.42578125" style="49" bestFit="1" customWidth="1"/>
    <col min="10499" max="10499" width="11.42578125" style="49" customWidth="1"/>
    <col min="10500" max="10500" width="10.42578125" style="49" customWidth="1"/>
    <col min="10501" max="10501" width="13.140625" style="49" customWidth="1"/>
    <col min="10502" max="10502" width="14.140625" style="49" customWidth="1"/>
    <col min="10503" max="10503" width="12.28515625" style="49" customWidth="1"/>
    <col min="10504" max="10752" width="9.140625" style="49"/>
    <col min="10753" max="10753" width="8.140625" style="49" customWidth="1"/>
    <col min="10754" max="10754" width="70.42578125" style="49" bestFit="1" customWidth="1"/>
    <col min="10755" max="10755" width="11.42578125" style="49" customWidth="1"/>
    <col min="10756" max="10756" width="10.42578125" style="49" customWidth="1"/>
    <col min="10757" max="10757" width="13.140625" style="49" customWidth="1"/>
    <col min="10758" max="10758" width="14.140625" style="49" customWidth="1"/>
    <col min="10759" max="10759" width="12.28515625" style="49" customWidth="1"/>
    <col min="10760" max="11008" width="9.140625" style="49"/>
    <col min="11009" max="11009" width="8.140625" style="49" customWidth="1"/>
    <col min="11010" max="11010" width="70.42578125" style="49" bestFit="1" customWidth="1"/>
    <col min="11011" max="11011" width="11.42578125" style="49" customWidth="1"/>
    <col min="11012" max="11012" width="10.42578125" style="49" customWidth="1"/>
    <col min="11013" max="11013" width="13.140625" style="49" customWidth="1"/>
    <col min="11014" max="11014" width="14.140625" style="49" customWidth="1"/>
    <col min="11015" max="11015" width="12.28515625" style="49" customWidth="1"/>
    <col min="11016" max="11264" width="9.140625" style="49"/>
    <col min="11265" max="11265" width="8.140625" style="49" customWidth="1"/>
    <col min="11266" max="11266" width="70.42578125" style="49" bestFit="1" customWidth="1"/>
    <col min="11267" max="11267" width="11.42578125" style="49" customWidth="1"/>
    <col min="11268" max="11268" width="10.42578125" style="49" customWidth="1"/>
    <col min="11269" max="11269" width="13.140625" style="49" customWidth="1"/>
    <col min="11270" max="11270" width="14.140625" style="49" customWidth="1"/>
    <col min="11271" max="11271" width="12.28515625" style="49" customWidth="1"/>
    <col min="11272" max="11520" width="9.140625" style="49"/>
    <col min="11521" max="11521" width="8.140625" style="49" customWidth="1"/>
    <col min="11522" max="11522" width="70.42578125" style="49" bestFit="1" customWidth="1"/>
    <col min="11523" max="11523" width="11.42578125" style="49" customWidth="1"/>
    <col min="11524" max="11524" width="10.42578125" style="49" customWidth="1"/>
    <col min="11525" max="11525" width="13.140625" style="49" customWidth="1"/>
    <col min="11526" max="11526" width="14.140625" style="49" customWidth="1"/>
    <col min="11527" max="11527" width="12.28515625" style="49" customWidth="1"/>
    <col min="11528" max="11776" width="9.140625" style="49"/>
    <col min="11777" max="11777" width="8.140625" style="49" customWidth="1"/>
    <col min="11778" max="11778" width="70.42578125" style="49" bestFit="1" customWidth="1"/>
    <col min="11779" max="11779" width="11.42578125" style="49" customWidth="1"/>
    <col min="11780" max="11780" width="10.42578125" style="49" customWidth="1"/>
    <col min="11781" max="11781" width="13.140625" style="49" customWidth="1"/>
    <col min="11782" max="11782" width="14.140625" style="49" customWidth="1"/>
    <col min="11783" max="11783" width="12.28515625" style="49" customWidth="1"/>
    <col min="11784" max="12032" width="9.140625" style="49"/>
    <col min="12033" max="12033" width="8.140625" style="49" customWidth="1"/>
    <col min="12034" max="12034" width="70.42578125" style="49" bestFit="1" customWidth="1"/>
    <col min="12035" max="12035" width="11.42578125" style="49" customWidth="1"/>
    <col min="12036" max="12036" width="10.42578125" style="49" customWidth="1"/>
    <col min="12037" max="12037" width="13.140625" style="49" customWidth="1"/>
    <col min="12038" max="12038" width="14.140625" style="49" customWidth="1"/>
    <col min="12039" max="12039" width="12.28515625" style="49" customWidth="1"/>
    <col min="12040" max="12288" width="9.140625" style="49"/>
    <col min="12289" max="12289" width="8.140625" style="49" customWidth="1"/>
    <col min="12290" max="12290" width="70.42578125" style="49" bestFit="1" customWidth="1"/>
    <col min="12291" max="12291" width="11.42578125" style="49" customWidth="1"/>
    <col min="12292" max="12292" width="10.42578125" style="49" customWidth="1"/>
    <col min="12293" max="12293" width="13.140625" style="49" customWidth="1"/>
    <col min="12294" max="12294" width="14.140625" style="49" customWidth="1"/>
    <col min="12295" max="12295" width="12.28515625" style="49" customWidth="1"/>
    <col min="12296" max="12544" width="9.140625" style="49"/>
    <col min="12545" max="12545" width="8.140625" style="49" customWidth="1"/>
    <col min="12546" max="12546" width="70.42578125" style="49" bestFit="1" customWidth="1"/>
    <col min="12547" max="12547" width="11.42578125" style="49" customWidth="1"/>
    <col min="12548" max="12548" width="10.42578125" style="49" customWidth="1"/>
    <col min="12549" max="12549" width="13.140625" style="49" customWidth="1"/>
    <col min="12550" max="12550" width="14.140625" style="49" customWidth="1"/>
    <col min="12551" max="12551" width="12.28515625" style="49" customWidth="1"/>
    <col min="12552" max="12800" width="9.140625" style="49"/>
    <col min="12801" max="12801" width="8.140625" style="49" customWidth="1"/>
    <col min="12802" max="12802" width="70.42578125" style="49" bestFit="1" customWidth="1"/>
    <col min="12803" max="12803" width="11.42578125" style="49" customWidth="1"/>
    <col min="12804" max="12804" width="10.42578125" style="49" customWidth="1"/>
    <col min="12805" max="12805" width="13.140625" style="49" customWidth="1"/>
    <col min="12806" max="12806" width="14.140625" style="49" customWidth="1"/>
    <col min="12807" max="12807" width="12.28515625" style="49" customWidth="1"/>
    <col min="12808" max="13056" width="9.140625" style="49"/>
    <col min="13057" max="13057" width="8.140625" style="49" customWidth="1"/>
    <col min="13058" max="13058" width="70.42578125" style="49" bestFit="1" customWidth="1"/>
    <col min="13059" max="13059" width="11.42578125" style="49" customWidth="1"/>
    <col min="13060" max="13060" width="10.42578125" style="49" customWidth="1"/>
    <col min="13061" max="13061" width="13.140625" style="49" customWidth="1"/>
    <col min="13062" max="13062" width="14.140625" style="49" customWidth="1"/>
    <col min="13063" max="13063" width="12.28515625" style="49" customWidth="1"/>
    <col min="13064" max="13312" width="9.140625" style="49"/>
    <col min="13313" max="13313" width="8.140625" style="49" customWidth="1"/>
    <col min="13314" max="13314" width="70.42578125" style="49" bestFit="1" customWidth="1"/>
    <col min="13315" max="13315" width="11.42578125" style="49" customWidth="1"/>
    <col min="13316" max="13316" width="10.42578125" style="49" customWidth="1"/>
    <col min="13317" max="13317" width="13.140625" style="49" customWidth="1"/>
    <col min="13318" max="13318" width="14.140625" style="49" customWidth="1"/>
    <col min="13319" max="13319" width="12.28515625" style="49" customWidth="1"/>
    <col min="13320" max="13568" width="9.140625" style="49"/>
    <col min="13569" max="13569" width="8.140625" style="49" customWidth="1"/>
    <col min="13570" max="13570" width="70.42578125" style="49" bestFit="1" customWidth="1"/>
    <col min="13571" max="13571" width="11.42578125" style="49" customWidth="1"/>
    <col min="13572" max="13572" width="10.42578125" style="49" customWidth="1"/>
    <col min="13573" max="13573" width="13.140625" style="49" customWidth="1"/>
    <col min="13574" max="13574" width="14.140625" style="49" customWidth="1"/>
    <col min="13575" max="13575" width="12.28515625" style="49" customWidth="1"/>
    <col min="13576" max="13824" width="9.140625" style="49"/>
    <col min="13825" max="13825" width="8.140625" style="49" customWidth="1"/>
    <col min="13826" max="13826" width="70.42578125" style="49" bestFit="1" customWidth="1"/>
    <col min="13827" max="13827" width="11.42578125" style="49" customWidth="1"/>
    <col min="13828" max="13828" width="10.42578125" style="49" customWidth="1"/>
    <col min="13829" max="13829" width="13.140625" style="49" customWidth="1"/>
    <col min="13830" max="13830" width="14.140625" style="49" customWidth="1"/>
    <col min="13831" max="13831" width="12.28515625" style="49" customWidth="1"/>
    <col min="13832" max="14080" width="9.140625" style="49"/>
    <col min="14081" max="14081" width="8.140625" style="49" customWidth="1"/>
    <col min="14082" max="14082" width="70.42578125" style="49" bestFit="1" customWidth="1"/>
    <col min="14083" max="14083" width="11.42578125" style="49" customWidth="1"/>
    <col min="14084" max="14084" width="10.42578125" style="49" customWidth="1"/>
    <col min="14085" max="14085" width="13.140625" style="49" customWidth="1"/>
    <col min="14086" max="14086" width="14.140625" style="49" customWidth="1"/>
    <col min="14087" max="14087" width="12.28515625" style="49" customWidth="1"/>
    <col min="14088" max="14336" width="9.140625" style="49"/>
    <col min="14337" max="14337" width="8.140625" style="49" customWidth="1"/>
    <col min="14338" max="14338" width="70.42578125" style="49" bestFit="1" customWidth="1"/>
    <col min="14339" max="14339" width="11.42578125" style="49" customWidth="1"/>
    <col min="14340" max="14340" width="10.42578125" style="49" customWidth="1"/>
    <col min="14341" max="14341" width="13.140625" style="49" customWidth="1"/>
    <col min="14342" max="14342" width="14.140625" style="49" customWidth="1"/>
    <col min="14343" max="14343" width="12.28515625" style="49" customWidth="1"/>
    <col min="14344" max="14592" width="9.140625" style="49"/>
    <col min="14593" max="14593" width="8.140625" style="49" customWidth="1"/>
    <col min="14594" max="14594" width="70.42578125" style="49" bestFit="1" customWidth="1"/>
    <col min="14595" max="14595" width="11.42578125" style="49" customWidth="1"/>
    <col min="14596" max="14596" width="10.42578125" style="49" customWidth="1"/>
    <col min="14597" max="14597" width="13.140625" style="49" customWidth="1"/>
    <col min="14598" max="14598" width="14.140625" style="49" customWidth="1"/>
    <col min="14599" max="14599" width="12.28515625" style="49" customWidth="1"/>
    <col min="14600" max="14848" width="9.140625" style="49"/>
    <col min="14849" max="14849" width="8.140625" style="49" customWidth="1"/>
    <col min="14850" max="14850" width="70.42578125" style="49" bestFit="1" customWidth="1"/>
    <col min="14851" max="14851" width="11.42578125" style="49" customWidth="1"/>
    <col min="14852" max="14852" width="10.42578125" style="49" customWidth="1"/>
    <col min="14853" max="14853" width="13.140625" style="49" customWidth="1"/>
    <col min="14854" max="14854" width="14.140625" style="49" customWidth="1"/>
    <col min="14855" max="14855" width="12.28515625" style="49" customWidth="1"/>
    <col min="14856" max="15104" width="9.140625" style="49"/>
    <col min="15105" max="15105" width="8.140625" style="49" customWidth="1"/>
    <col min="15106" max="15106" width="70.42578125" style="49" bestFit="1" customWidth="1"/>
    <col min="15107" max="15107" width="11.42578125" style="49" customWidth="1"/>
    <col min="15108" max="15108" width="10.42578125" style="49" customWidth="1"/>
    <col min="15109" max="15109" width="13.140625" style="49" customWidth="1"/>
    <col min="15110" max="15110" width="14.140625" style="49" customWidth="1"/>
    <col min="15111" max="15111" width="12.28515625" style="49" customWidth="1"/>
    <col min="15112" max="15360" width="9.140625" style="49"/>
    <col min="15361" max="15361" width="8.140625" style="49" customWidth="1"/>
    <col min="15362" max="15362" width="70.42578125" style="49" bestFit="1" customWidth="1"/>
    <col min="15363" max="15363" width="11.42578125" style="49" customWidth="1"/>
    <col min="15364" max="15364" width="10.42578125" style="49" customWidth="1"/>
    <col min="15365" max="15365" width="13.140625" style="49" customWidth="1"/>
    <col min="15366" max="15366" width="14.140625" style="49" customWidth="1"/>
    <col min="15367" max="15367" width="12.28515625" style="49" customWidth="1"/>
    <col min="15368" max="15616" width="9.140625" style="49"/>
    <col min="15617" max="15617" width="8.140625" style="49" customWidth="1"/>
    <col min="15618" max="15618" width="70.42578125" style="49" bestFit="1" customWidth="1"/>
    <col min="15619" max="15619" width="11.42578125" style="49" customWidth="1"/>
    <col min="15620" max="15620" width="10.42578125" style="49" customWidth="1"/>
    <col min="15621" max="15621" width="13.140625" style="49" customWidth="1"/>
    <col min="15622" max="15622" width="14.140625" style="49" customWidth="1"/>
    <col min="15623" max="15623" width="12.28515625" style="49" customWidth="1"/>
    <col min="15624" max="15872" width="9.140625" style="49"/>
    <col min="15873" max="15873" width="8.140625" style="49" customWidth="1"/>
    <col min="15874" max="15874" width="70.42578125" style="49" bestFit="1" customWidth="1"/>
    <col min="15875" max="15875" width="11.42578125" style="49" customWidth="1"/>
    <col min="15876" max="15876" width="10.42578125" style="49" customWidth="1"/>
    <col min="15877" max="15877" width="13.140625" style="49" customWidth="1"/>
    <col min="15878" max="15878" width="14.140625" style="49" customWidth="1"/>
    <col min="15879" max="15879" width="12.28515625" style="49" customWidth="1"/>
    <col min="15880" max="16128" width="9.140625" style="49"/>
    <col min="16129" max="16129" width="8.140625" style="49" customWidth="1"/>
    <col min="16130" max="16130" width="70.42578125" style="49" bestFit="1" customWidth="1"/>
    <col min="16131" max="16131" width="11.42578125" style="49" customWidth="1"/>
    <col min="16132" max="16132" width="10.42578125" style="49" customWidth="1"/>
    <col min="16133" max="16133" width="13.140625" style="49" customWidth="1"/>
    <col min="16134" max="16134" width="14.140625" style="49" customWidth="1"/>
    <col min="16135" max="16135" width="12.28515625" style="49" customWidth="1"/>
    <col min="16136" max="16384" width="9.140625" style="49"/>
  </cols>
  <sheetData>
    <row r="1" spans="1:12" x14ac:dyDescent="0.2">
      <c r="B1" s="50" t="s">
        <v>22</v>
      </c>
    </row>
    <row r="2" spans="1:12" x14ac:dyDescent="0.2">
      <c r="B2" s="50" t="s">
        <v>23</v>
      </c>
    </row>
    <row r="3" spans="1:12" x14ac:dyDescent="0.2">
      <c r="B3" s="49" t="s">
        <v>24</v>
      </c>
    </row>
    <row r="4" spans="1:12" ht="15" x14ac:dyDescent="0.25">
      <c r="A4" s="53" t="s">
        <v>25</v>
      </c>
      <c r="B4" s="54"/>
    </row>
    <row r="5" spans="1:12" ht="12" thickBot="1" x14ac:dyDescent="0.25">
      <c r="A5" s="53"/>
      <c r="B5" s="55"/>
      <c r="E5" s="56"/>
      <c r="F5" s="56"/>
      <c r="I5" s="56"/>
    </row>
    <row r="6" spans="1:12" ht="6" customHeight="1" thickBot="1" x14ac:dyDescent="0.25">
      <c r="A6" s="537"/>
      <c r="B6" s="537"/>
      <c r="C6" s="537"/>
      <c r="D6" s="537"/>
      <c r="E6" s="537"/>
      <c r="F6" s="537"/>
    </row>
    <row r="7" spans="1:12" ht="16.5" thickBot="1" x14ac:dyDescent="0.3">
      <c r="A7" s="53" t="s">
        <v>26</v>
      </c>
      <c r="B7" s="57" t="s">
        <v>27</v>
      </c>
    </row>
    <row r="8" spans="1:12" ht="16.5" thickBot="1" x14ac:dyDescent="0.3">
      <c r="A8" s="53"/>
      <c r="B8" s="58"/>
      <c r="C8" s="53" t="s">
        <v>28</v>
      </c>
      <c r="D8" s="53" t="s">
        <v>29</v>
      </c>
      <c r="E8" s="59" t="s">
        <v>30</v>
      </c>
      <c r="F8" s="59" t="s">
        <v>31</v>
      </c>
    </row>
    <row r="9" spans="1:12" ht="13.9" customHeight="1" thickBot="1" x14ac:dyDescent="0.25">
      <c r="A9" s="53"/>
      <c r="B9" s="552" t="s">
        <v>32</v>
      </c>
      <c r="C9" s="553"/>
      <c r="D9" s="553"/>
      <c r="E9" s="553"/>
      <c r="F9" s="554"/>
      <c r="H9" s="49"/>
    </row>
    <row r="10" spans="1:12" ht="15.75" x14ac:dyDescent="0.25">
      <c r="A10" s="53"/>
      <c r="B10" s="60"/>
      <c r="F10" s="52">
        <v>0</v>
      </c>
    </row>
    <row r="11" spans="1:12" x14ac:dyDescent="0.2">
      <c r="A11" s="53"/>
      <c r="B11" s="64" t="s">
        <v>33</v>
      </c>
    </row>
    <row r="12" spans="1:12" ht="7.15" customHeight="1" x14ac:dyDescent="0.25">
      <c r="A12" s="53"/>
      <c r="B12" s="60"/>
    </row>
    <row r="13" spans="1:12" s="51" customFormat="1" x14ac:dyDescent="0.2">
      <c r="A13" s="49"/>
      <c r="B13" s="49" t="s">
        <v>34</v>
      </c>
      <c r="C13" s="51" t="s">
        <v>35</v>
      </c>
      <c r="D13" s="51">
        <v>0</v>
      </c>
      <c r="E13" s="176">
        <f>'Staff Rates'!E17</f>
        <v>822.5</v>
      </c>
      <c r="F13" s="65">
        <f>D13*E13</f>
        <v>0</v>
      </c>
      <c r="I13" s="49"/>
      <c r="J13" s="49"/>
      <c r="K13" s="49"/>
      <c r="L13" s="49"/>
    </row>
    <row r="14" spans="1:12" s="51" customFormat="1" ht="11.45" customHeight="1" x14ac:dyDescent="0.2">
      <c r="A14" s="49"/>
      <c r="B14" s="49" t="s">
        <v>36</v>
      </c>
      <c r="C14" s="51" t="s">
        <v>35</v>
      </c>
      <c r="D14" s="51">
        <v>0</v>
      </c>
      <c r="E14" s="52">
        <v>400</v>
      </c>
      <c r="F14" s="65">
        <f t="shared" ref="F14:F16" si="0">D14*E14</f>
        <v>0</v>
      </c>
      <c r="G14" s="66"/>
      <c r="I14" s="49"/>
      <c r="J14" s="49"/>
      <c r="K14" s="49"/>
      <c r="L14" s="49"/>
    </row>
    <row r="15" spans="1:12" s="51" customFormat="1" ht="11.45" customHeight="1" x14ac:dyDescent="0.2">
      <c r="A15" s="53"/>
      <c r="B15" s="49" t="s">
        <v>37</v>
      </c>
      <c r="C15" s="51" t="s">
        <v>35</v>
      </c>
      <c r="D15" s="51">
        <v>0</v>
      </c>
      <c r="E15" s="52">
        <v>597.62761904761908</v>
      </c>
      <c r="F15" s="65">
        <f t="shared" si="0"/>
        <v>0</v>
      </c>
      <c r="G15" s="49"/>
      <c r="I15" s="49"/>
      <c r="J15" s="49"/>
      <c r="K15" s="49"/>
      <c r="L15" s="49"/>
    </row>
    <row r="16" spans="1:12" s="51" customFormat="1" ht="11.45" customHeight="1" x14ac:dyDescent="0.2">
      <c r="A16" s="53"/>
      <c r="B16" s="49" t="s">
        <v>38</v>
      </c>
      <c r="C16" s="51" t="s">
        <v>35</v>
      </c>
      <c r="D16" s="51">
        <v>0</v>
      </c>
      <c r="E16" s="52">
        <v>1895.3002005012531</v>
      </c>
      <c r="F16" s="65">
        <f t="shared" si="0"/>
        <v>0</v>
      </c>
      <c r="G16" s="49"/>
      <c r="I16" s="49"/>
      <c r="J16" s="49"/>
      <c r="K16" s="49"/>
      <c r="L16" s="49"/>
    </row>
    <row r="17" spans="1:12" s="51" customFormat="1" x14ac:dyDescent="0.2">
      <c r="A17" s="53"/>
      <c r="B17" s="49" t="s">
        <v>39</v>
      </c>
      <c r="C17" s="51" t="s">
        <v>35</v>
      </c>
      <c r="D17" s="51">
        <v>0</v>
      </c>
      <c r="E17" s="52">
        <v>1511.9133333333334</v>
      </c>
      <c r="F17" s="65">
        <v>0</v>
      </c>
      <c r="G17" s="49"/>
      <c r="I17" s="49"/>
      <c r="J17" s="49"/>
      <c r="K17" s="49"/>
      <c r="L17" s="49"/>
    </row>
    <row r="18" spans="1:12" ht="16.5" thickBot="1" x14ac:dyDescent="0.3">
      <c r="A18" s="53"/>
      <c r="B18" s="67"/>
    </row>
    <row r="19" spans="1:12" ht="13.9" customHeight="1" thickBot="1" x14ac:dyDescent="0.25">
      <c r="A19" s="53"/>
      <c r="B19" s="552" t="s">
        <v>40</v>
      </c>
      <c r="C19" s="553"/>
      <c r="D19" s="553"/>
      <c r="E19" s="553"/>
      <c r="F19" s="554"/>
      <c r="H19" s="49"/>
    </row>
    <row r="20" spans="1:12" x14ac:dyDescent="0.2">
      <c r="A20" s="53"/>
      <c r="C20" s="53"/>
      <c r="D20" s="53"/>
      <c r="E20" s="59"/>
      <c r="F20" s="49"/>
    </row>
    <row r="21" spans="1:12" s="51" customFormat="1" x14ac:dyDescent="0.2">
      <c r="A21" s="49"/>
      <c r="B21" s="49" t="s">
        <v>41</v>
      </c>
      <c r="C21" s="51" t="s">
        <v>42</v>
      </c>
      <c r="D21" s="51">
        <v>0</v>
      </c>
      <c r="E21" s="61">
        <v>0</v>
      </c>
      <c r="F21" s="65">
        <f>D21*E21</f>
        <v>0</v>
      </c>
      <c r="I21" s="49"/>
      <c r="J21" s="49"/>
      <c r="K21" s="49"/>
      <c r="L21" s="49"/>
    </row>
    <row r="22" spans="1:12" s="51" customFormat="1" x14ac:dyDescent="0.2">
      <c r="A22" s="49"/>
      <c r="B22" s="49" t="s">
        <v>43</v>
      </c>
      <c r="C22" s="51" t="s">
        <v>42</v>
      </c>
      <c r="D22" s="51">
        <v>0</v>
      </c>
      <c r="E22" s="61">
        <v>0</v>
      </c>
      <c r="F22" s="65">
        <f t="shared" ref="F22:F25" si="1">D22*E22</f>
        <v>0</v>
      </c>
      <c r="I22" s="49"/>
      <c r="J22" s="49"/>
      <c r="K22" s="49"/>
      <c r="L22" s="49"/>
    </row>
    <row r="23" spans="1:12" s="51" customFormat="1" x14ac:dyDescent="0.2">
      <c r="A23" s="49"/>
      <c r="B23" s="49" t="s">
        <v>44</v>
      </c>
      <c r="C23" s="51" t="s">
        <v>42</v>
      </c>
      <c r="D23" s="51">
        <v>0</v>
      </c>
      <c r="E23" s="61">
        <v>0</v>
      </c>
      <c r="F23" s="65">
        <f t="shared" si="1"/>
        <v>0</v>
      </c>
      <c r="I23" s="49"/>
      <c r="J23" s="49"/>
      <c r="K23" s="49"/>
      <c r="L23" s="49"/>
    </row>
    <row r="24" spans="1:12" s="51" customFormat="1" x14ac:dyDescent="0.2">
      <c r="A24" s="49"/>
      <c r="B24" s="49" t="s">
        <v>45</v>
      </c>
      <c r="C24" s="51" t="s">
        <v>42</v>
      </c>
      <c r="D24" s="51">
        <v>0</v>
      </c>
      <c r="E24" s="61">
        <v>0</v>
      </c>
      <c r="F24" s="65">
        <f t="shared" si="1"/>
        <v>0</v>
      </c>
      <c r="I24" s="49"/>
      <c r="J24" s="49"/>
      <c r="K24" s="49"/>
      <c r="L24" s="49"/>
    </row>
    <row r="25" spans="1:12" s="51" customFormat="1" x14ac:dyDescent="0.2">
      <c r="A25" s="49"/>
      <c r="B25" s="49"/>
      <c r="C25" s="51" t="s">
        <v>42</v>
      </c>
      <c r="D25" s="51">
        <v>0</v>
      </c>
      <c r="E25" s="61">
        <v>0</v>
      </c>
      <c r="F25" s="65">
        <f t="shared" si="1"/>
        <v>0</v>
      </c>
      <c r="I25" s="49"/>
      <c r="J25" s="49"/>
      <c r="K25" s="49"/>
      <c r="L25" s="49"/>
    </row>
    <row r="26" spans="1:12" s="51" customFormat="1" ht="12" thickBot="1" x14ac:dyDescent="0.25">
      <c r="A26" s="49"/>
      <c r="B26" s="68"/>
      <c r="E26" s="65"/>
      <c r="F26" s="66"/>
      <c r="I26" s="49"/>
      <c r="J26" s="49"/>
      <c r="K26" s="49"/>
      <c r="L26" s="49"/>
    </row>
    <row r="27" spans="1:12" ht="13.9" customHeight="1" thickBot="1" x14ac:dyDescent="0.25">
      <c r="A27" s="53"/>
      <c r="B27" s="552" t="s">
        <v>46</v>
      </c>
      <c r="C27" s="553"/>
      <c r="D27" s="553"/>
      <c r="E27" s="553"/>
      <c r="F27" s="554"/>
      <c r="H27" s="49"/>
    </row>
    <row r="28" spans="1:12" x14ac:dyDescent="0.2">
      <c r="A28" s="53"/>
      <c r="C28" s="53"/>
      <c r="D28" s="53"/>
      <c r="E28" s="59"/>
      <c r="F28" s="65"/>
    </row>
    <row r="29" spans="1:12" s="51" customFormat="1" x14ac:dyDescent="0.2">
      <c r="A29" s="49"/>
      <c r="B29" s="49" t="s">
        <v>47</v>
      </c>
      <c r="C29" s="51" t="s">
        <v>42</v>
      </c>
      <c r="D29" s="51">
        <v>0</v>
      </c>
      <c r="E29" s="61">
        <v>1600</v>
      </c>
      <c r="F29" s="65">
        <f t="shared" ref="F29:F39" si="2">D29*E29</f>
        <v>0</v>
      </c>
      <c r="I29" s="49"/>
      <c r="J29" s="49"/>
      <c r="K29" s="49"/>
      <c r="L29" s="49"/>
    </row>
    <row r="30" spans="1:12" s="51" customFormat="1" x14ac:dyDescent="0.2">
      <c r="A30" s="49"/>
      <c r="B30" s="49" t="s">
        <v>48</v>
      </c>
      <c r="C30" s="51" t="s">
        <v>42</v>
      </c>
      <c r="D30" s="51">
        <v>0</v>
      </c>
      <c r="E30" s="61">
        <v>400</v>
      </c>
      <c r="F30" s="65">
        <f t="shared" si="2"/>
        <v>0</v>
      </c>
      <c r="I30" s="49"/>
      <c r="J30" s="49"/>
      <c r="K30" s="49"/>
      <c r="L30" s="49"/>
    </row>
    <row r="31" spans="1:12" s="51" customFormat="1" x14ac:dyDescent="0.2">
      <c r="A31" s="49"/>
      <c r="B31" s="49" t="s">
        <v>49</v>
      </c>
      <c r="C31" s="51" t="s">
        <v>42</v>
      </c>
      <c r="D31" s="51">
        <v>0</v>
      </c>
      <c r="E31" s="61">
        <v>180</v>
      </c>
      <c r="F31" s="65">
        <f t="shared" si="2"/>
        <v>0</v>
      </c>
      <c r="I31" s="49"/>
      <c r="J31" s="49"/>
      <c r="K31" s="49"/>
      <c r="L31" s="49"/>
    </row>
    <row r="32" spans="1:12" s="51" customFormat="1" x14ac:dyDescent="0.2">
      <c r="A32" s="49"/>
      <c r="B32" s="49" t="s">
        <v>50</v>
      </c>
      <c r="C32" s="51" t="s">
        <v>42</v>
      </c>
      <c r="D32" s="51">
        <v>0</v>
      </c>
      <c r="E32" s="138">
        <v>400</v>
      </c>
      <c r="F32" s="65">
        <f t="shared" si="2"/>
        <v>0</v>
      </c>
      <c r="I32" s="49"/>
      <c r="J32" s="49"/>
      <c r="K32" s="49"/>
      <c r="L32" s="49"/>
    </row>
    <row r="33" spans="1:12" s="51" customFormat="1" x14ac:dyDescent="0.2">
      <c r="A33" s="49"/>
      <c r="B33" s="49" t="s">
        <v>51</v>
      </c>
      <c r="C33" s="51" t="s">
        <v>42</v>
      </c>
      <c r="D33" s="51">
        <v>0</v>
      </c>
      <c r="E33" s="61">
        <v>50</v>
      </c>
      <c r="F33" s="65">
        <f t="shared" si="2"/>
        <v>0</v>
      </c>
      <c r="I33" s="49"/>
      <c r="J33" s="49"/>
      <c r="K33" s="49"/>
      <c r="L33" s="49"/>
    </row>
    <row r="34" spans="1:12" s="51" customFormat="1" x14ac:dyDescent="0.2">
      <c r="A34" s="49"/>
      <c r="B34" s="49" t="s">
        <v>52</v>
      </c>
      <c r="C34" s="51" t="s">
        <v>42</v>
      </c>
      <c r="D34" s="51">
        <v>0</v>
      </c>
      <c r="E34" s="61">
        <v>50</v>
      </c>
      <c r="F34" s="65">
        <f t="shared" si="2"/>
        <v>0</v>
      </c>
      <c r="I34" s="49"/>
      <c r="J34" s="49"/>
      <c r="K34" s="49"/>
      <c r="L34" s="49"/>
    </row>
    <row r="35" spans="1:12" s="51" customFormat="1" x14ac:dyDescent="0.2">
      <c r="A35" s="49"/>
      <c r="B35" s="49" t="s">
        <v>53</v>
      </c>
      <c r="C35" s="51" t="s">
        <v>42</v>
      </c>
      <c r="D35" s="51">
        <v>0</v>
      </c>
      <c r="E35" s="61">
        <v>320</v>
      </c>
      <c r="F35" s="65">
        <f t="shared" si="2"/>
        <v>0</v>
      </c>
      <c r="I35" s="49"/>
      <c r="J35" s="49"/>
      <c r="K35" s="49"/>
      <c r="L35" s="49"/>
    </row>
    <row r="36" spans="1:12" s="51" customFormat="1" x14ac:dyDescent="0.2">
      <c r="A36" s="49"/>
      <c r="B36" s="49" t="s">
        <v>54</v>
      </c>
      <c r="C36" s="51" t="s">
        <v>42</v>
      </c>
      <c r="D36" s="51">
        <v>0</v>
      </c>
      <c r="E36" s="61">
        <v>320</v>
      </c>
      <c r="F36" s="65">
        <f t="shared" si="2"/>
        <v>0</v>
      </c>
      <c r="I36" s="49"/>
      <c r="J36" s="49"/>
      <c r="K36" s="49"/>
      <c r="L36" s="49"/>
    </row>
    <row r="37" spans="1:12" s="51" customFormat="1" x14ac:dyDescent="0.2">
      <c r="A37" s="49"/>
      <c r="B37" s="49" t="s">
        <v>55</v>
      </c>
      <c r="C37" s="51" t="s">
        <v>42</v>
      </c>
      <c r="D37" s="51">
        <v>0</v>
      </c>
      <c r="E37" s="61">
        <v>580</v>
      </c>
      <c r="F37" s="65">
        <f t="shared" si="2"/>
        <v>0</v>
      </c>
      <c r="I37" s="49"/>
      <c r="J37" s="49"/>
      <c r="K37" s="49"/>
      <c r="L37" s="49"/>
    </row>
    <row r="38" spans="1:12" s="51" customFormat="1" x14ac:dyDescent="0.2">
      <c r="A38" s="49"/>
      <c r="B38" s="49" t="s">
        <v>56</v>
      </c>
      <c r="C38" s="51" t="s">
        <v>42</v>
      </c>
      <c r="D38" s="51">
        <v>0</v>
      </c>
      <c r="E38" s="69">
        <v>0</v>
      </c>
      <c r="F38" s="65">
        <f t="shared" si="2"/>
        <v>0</v>
      </c>
      <c r="I38" s="49"/>
      <c r="J38" s="49"/>
      <c r="K38" s="49"/>
      <c r="L38" s="49"/>
    </row>
    <row r="39" spans="1:12" s="51" customFormat="1" x14ac:dyDescent="0.2">
      <c r="A39" s="49"/>
      <c r="B39" s="49" t="s">
        <v>57</v>
      </c>
      <c r="C39" s="51" t="s">
        <v>42</v>
      </c>
      <c r="D39" s="51">
        <v>0</v>
      </c>
      <c r="E39" s="61">
        <v>420</v>
      </c>
      <c r="F39" s="65">
        <f t="shared" si="2"/>
        <v>0</v>
      </c>
      <c r="I39" s="49"/>
      <c r="J39" s="49"/>
      <c r="K39" s="49"/>
      <c r="L39" s="49"/>
    </row>
    <row r="40" spans="1:12" s="51" customFormat="1" x14ac:dyDescent="0.2">
      <c r="A40" s="49"/>
      <c r="B40" s="68"/>
      <c r="E40" s="65"/>
      <c r="F40" s="66"/>
      <c r="I40" s="49"/>
      <c r="J40" s="49"/>
      <c r="K40" s="49"/>
      <c r="L40" s="49"/>
    </row>
    <row r="41" spans="1:12" s="51" customFormat="1" x14ac:dyDescent="0.2">
      <c r="A41" s="49"/>
      <c r="B41" s="68"/>
      <c r="E41" s="65"/>
      <c r="F41" s="66"/>
      <c r="I41" s="49"/>
      <c r="J41" s="49"/>
      <c r="K41" s="49"/>
      <c r="L41" s="49"/>
    </row>
    <row r="42" spans="1:12" s="51" customFormat="1" x14ac:dyDescent="0.2">
      <c r="A42" s="53"/>
      <c r="B42" s="49"/>
      <c r="E42" s="70" t="s">
        <v>58</v>
      </c>
      <c r="F42" s="71">
        <f>SUM(F11:F41)</f>
        <v>0</v>
      </c>
      <c r="I42" s="49"/>
      <c r="J42" s="49"/>
      <c r="K42" s="49"/>
      <c r="L42" s="49"/>
    </row>
    <row r="43" spans="1:12" s="51" customFormat="1" x14ac:dyDescent="0.2">
      <c r="A43" s="53"/>
      <c r="B43" s="49"/>
      <c r="E43" s="52"/>
      <c r="F43" s="72"/>
      <c r="G43" s="49"/>
      <c r="I43" s="49"/>
      <c r="J43" s="49"/>
      <c r="K43" s="49"/>
      <c r="L43" s="49"/>
    </row>
    <row r="44" spans="1:12" s="51" customFormat="1" ht="12" thickBot="1" x14ac:dyDescent="0.25">
      <c r="B44" s="49"/>
      <c r="E44" s="52"/>
      <c r="F44" s="73"/>
      <c r="G44" s="49"/>
      <c r="I44" s="49"/>
      <c r="J44" s="49"/>
      <c r="K44" s="49"/>
      <c r="L44" s="49"/>
    </row>
    <row r="45" spans="1:12" ht="16.5" thickBot="1" x14ac:dyDescent="0.3">
      <c r="A45" s="53" t="s">
        <v>26</v>
      </c>
      <c r="B45" s="57" t="s">
        <v>59</v>
      </c>
    </row>
    <row r="46" spans="1:12" x14ac:dyDescent="0.2">
      <c r="A46" s="53"/>
      <c r="C46" s="53" t="s">
        <v>28</v>
      </c>
      <c r="D46" s="53" t="s">
        <v>29</v>
      </c>
      <c r="E46" s="59" t="s">
        <v>30</v>
      </c>
      <c r="F46" s="59" t="s">
        <v>31</v>
      </c>
      <c r="G46" s="59"/>
      <c r="H46" s="59"/>
      <c r="I46" s="59"/>
    </row>
    <row r="47" spans="1:12" x14ac:dyDescent="0.2">
      <c r="A47" s="53"/>
      <c r="B47" s="64" t="s">
        <v>60</v>
      </c>
      <c r="C47" s="51" t="s">
        <v>42</v>
      </c>
      <c r="D47" s="126">
        <v>0</v>
      </c>
      <c r="E47" s="138">
        <v>20000</v>
      </c>
      <c r="F47" s="127">
        <f>D47*E47</f>
        <v>0</v>
      </c>
      <c r="H47" s="62"/>
      <c r="I47" s="63"/>
    </row>
    <row r="48" spans="1:12" x14ac:dyDescent="0.2">
      <c r="A48" s="53"/>
      <c r="C48" s="51" t="s">
        <v>42</v>
      </c>
      <c r="D48" s="51">
        <v>0</v>
      </c>
      <c r="E48" s="61">
        <v>0</v>
      </c>
      <c r="F48" s="52">
        <v>0</v>
      </c>
    </row>
    <row r="49" spans="1:12" x14ac:dyDescent="0.2">
      <c r="A49" s="53"/>
      <c r="C49" s="51" t="s">
        <v>42</v>
      </c>
      <c r="D49" s="51">
        <v>0</v>
      </c>
      <c r="E49" s="61">
        <v>0</v>
      </c>
      <c r="F49" s="52">
        <v>0</v>
      </c>
    </row>
    <row r="50" spans="1:12" x14ac:dyDescent="0.2">
      <c r="A50" s="53"/>
      <c r="C50" s="53"/>
      <c r="D50" s="53"/>
      <c r="E50" s="59"/>
      <c r="F50" s="59"/>
    </row>
    <row r="51" spans="1:12" x14ac:dyDescent="0.2">
      <c r="A51" s="53"/>
      <c r="C51" s="53"/>
      <c r="D51" s="53"/>
      <c r="E51" s="59"/>
      <c r="F51" s="49"/>
    </row>
    <row r="52" spans="1:12" s="51" customFormat="1" x14ac:dyDescent="0.2">
      <c r="A52" s="49"/>
      <c r="B52" s="68"/>
      <c r="E52" s="65"/>
      <c r="F52" s="66"/>
      <c r="I52" s="49"/>
      <c r="J52" s="49"/>
      <c r="K52" s="49"/>
      <c r="L52" s="49"/>
    </row>
    <row r="53" spans="1:12" s="51" customFormat="1" x14ac:dyDescent="0.2">
      <c r="A53" s="53"/>
      <c r="B53" s="49"/>
      <c r="E53" s="70" t="s">
        <v>61</v>
      </c>
      <c r="F53" s="71">
        <f>SUM(F47:F52)</f>
        <v>0</v>
      </c>
      <c r="I53" s="49"/>
      <c r="J53" s="49"/>
      <c r="K53" s="49"/>
      <c r="L53" s="49"/>
    </row>
    <row r="54" spans="1:12" s="51" customFormat="1" x14ac:dyDescent="0.2">
      <c r="A54" s="49"/>
      <c r="B54" s="49"/>
      <c r="E54" s="52"/>
      <c r="F54" s="66"/>
      <c r="G54" s="49"/>
      <c r="I54" s="49"/>
      <c r="J54" s="49"/>
      <c r="K54" s="49"/>
      <c r="L54" s="49"/>
    </row>
    <row r="55" spans="1:12" s="51" customFormat="1" x14ac:dyDescent="0.2">
      <c r="A55" s="49"/>
      <c r="B55" s="74"/>
      <c r="C55" s="49"/>
      <c r="E55" s="52"/>
      <c r="F55" s="49"/>
      <c r="G55" s="49"/>
      <c r="I55" s="49"/>
      <c r="J55" s="49"/>
      <c r="K55" s="49"/>
      <c r="L55" s="49"/>
    </row>
    <row r="56" spans="1:12" s="51" customFormat="1" x14ac:dyDescent="0.2">
      <c r="A56" s="49"/>
      <c r="B56" s="49"/>
      <c r="E56" s="52"/>
      <c r="F56" s="52"/>
      <c r="G56" s="49"/>
      <c r="I56" s="49"/>
      <c r="J56" s="49"/>
      <c r="K56" s="49"/>
      <c r="L56" s="49"/>
    </row>
    <row r="57" spans="1:12" s="51" customFormat="1" x14ac:dyDescent="0.2">
      <c r="A57" s="49"/>
      <c r="B57" s="49"/>
      <c r="E57" s="52"/>
      <c r="F57" s="52"/>
      <c r="G57" s="49"/>
      <c r="I57" s="49"/>
      <c r="J57" s="49"/>
      <c r="K57" s="49"/>
      <c r="L57" s="49"/>
    </row>
    <row r="58" spans="1:12" s="51" customFormat="1" x14ac:dyDescent="0.2">
      <c r="A58" s="49"/>
      <c r="B58" s="49"/>
      <c r="E58" s="52"/>
      <c r="F58" s="52"/>
      <c r="G58" s="49"/>
      <c r="I58" s="49"/>
      <c r="J58" s="49"/>
      <c r="K58" s="49"/>
      <c r="L58" s="49"/>
    </row>
  </sheetData>
  <mergeCells count="4">
    <mergeCell ref="A6:F6"/>
    <mergeCell ref="B9:F9"/>
    <mergeCell ref="B19:F19"/>
    <mergeCell ref="B27:F27"/>
  </mergeCells>
  <printOptions gridLines="1"/>
  <pageMargins left="0.46" right="0.42" top="0.37" bottom="0.4" header="0.39" footer="0.38"/>
  <pageSetup paperSize="8" scale="80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01574-61B2-4233-BBAD-6A9A69222E97}">
  <sheetPr>
    <tabColor theme="7"/>
  </sheetPr>
  <dimension ref="A1:H73"/>
  <sheetViews>
    <sheetView topLeftCell="A51" zoomScale="115" zoomScaleNormal="115" workbookViewId="0">
      <selection activeCell="D50" sqref="D50"/>
    </sheetView>
  </sheetViews>
  <sheetFormatPr defaultColWidth="9.140625" defaultRowHeight="11.25" x14ac:dyDescent="0.2"/>
  <cols>
    <col min="1" max="1" width="8.140625" style="136" customWidth="1"/>
    <col min="2" max="2" width="79" style="49" customWidth="1"/>
    <col min="3" max="3" width="11.42578125" style="51" customWidth="1"/>
    <col min="4" max="4" width="10.42578125" style="51" customWidth="1"/>
    <col min="5" max="5" width="13.140625" style="52" customWidth="1"/>
    <col min="6" max="6" width="14.140625" style="52" customWidth="1"/>
    <col min="7" max="7" width="10.5703125" style="49" customWidth="1"/>
    <col min="8" max="8" width="14.5703125" style="49" customWidth="1"/>
    <col min="9" max="251" width="9.140625" style="49"/>
    <col min="252" max="252" width="8.140625" style="49" customWidth="1"/>
    <col min="253" max="253" width="70.42578125" style="49" bestFit="1" customWidth="1"/>
    <col min="254" max="254" width="11.42578125" style="49" customWidth="1"/>
    <col min="255" max="255" width="10.42578125" style="49" customWidth="1"/>
    <col min="256" max="256" width="13.140625" style="49" customWidth="1"/>
    <col min="257" max="257" width="14.140625" style="49" customWidth="1"/>
    <col min="258" max="258" width="12.28515625" style="49" customWidth="1"/>
    <col min="259" max="507" width="9.140625" style="49"/>
    <col min="508" max="508" width="8.140625" style="49" customWidth="1"/>
    <col min="509" max="509" width="70.42578125" style="49" bestFit="1" customWidth="1"/>
    <col min="510" max="510" width="11.42578125" style="49" customWidth="1"/>
    <col min="511" max="511" width="10.42578125" style="49" customWidth="1"/>
    <col min="512" max="512" width="13.140625" style="49" customWidth="1"/>
    <col min="513" max="513" width="14.140625" style="49" customWidth="1"/>
    <col min="514" max="514" width="12.28515625" style="49" customWidth="1"/>
    <col min="515" max="763" width="9.140625" style="49"/>
    <col min="764" max="764" width="8.140625" style="49" customWidth="1"/>
    <col min="765" max="765" width="70.42578125" style="49" bestFit="1" customWidth="1"/>
    <col min="766" max="766" width="11.42578125" style="49" customWidth="1"/>
    <col min="767" max="767" width="10.42578125" style="49" customWidth="1"/>
    <col min="768" max="768" width="13.140625" style="49" customWidth="1"/>
    <col min="769" max="769" width="14.140625" style="49" customWidth="1"/>
    <col min="770" max="770" width="12.28515625" style="49" customWidth="1"/>
    <col min="771" max="1019" width="9.140625" style="49"/>
    <col min="1020" max="1020" width="8.140625" style="49" customWidth="1"/>
    <col min="1021" max="1021" width="70.42578125" style="49" bestFit="1" customWidth="1"/>
    <col min="1022" max="1022" width="11.42578125" style="49" customWidth="1"/>
    <col min="1023" max="1023" width="10.42578125" style="49" customWidth="1"/>
    <col min="1024" max="1024" width="13.140625" style="49" customWidth="1"/>
    <col min="1025" max="1025" width="14.140625" style="49" customWidth="1"/>
    <col min="1026" max="1026" width="12.28515625" style="49" customWidth="1"/>
    <col min="1027" max="1275" width="9.140625" style="49"/>
    <col min="1276" max="1276" width="8.140625" style="49" customWidth="1"/>
    <col min="1277" max="1277" width="70.42578125" style="49" bestFit="1" customWidth="1"/>
    <col min="1278" max="1278" width="11.42578125" style="49" customWidth="1"/>
    <col min="1279" max="1279" width="10.42578125" style="49" customWidth="1"/>
    <col min="1280" max="1280" width="13.140625" style="49" customWidth="1"/>
    <col min="1281" max="1281" width="14.140625" style="49" customWidth="1"/>
    <col min="1282" max="1282" width="12.28515625" style="49" customWidth="1"/>
    <col min="1283" max="1531" width="9.140625" style="49"/>
    <col min="1532" max="1532" width="8.140625" style="49" customWidth="1"/>
    <col min="1533" max="1533" width="70.42578125" style="49" bestFit="1" customWidth="1"/>
    <col min="1534" max="1534" width="11.42578125" style="49" customWidth="1"/>
    <col min="1535" max="1535" width="10.42578125" style="49" customWidth="1"/>
    <col min="1536" max="1536" width="13.140625" style="49" customWidth="1"/>
    <col min="1537" max="1537" width="14.140625" style="49" customWidth="1"/>
    <col min="1538" max="1538" width="12.28515625" style="49" customWidth="1"/>
    <col min="1539" max="1787" width="9.140625" style="49"/>
    <col min="1788" max="1788" width="8.140625" style="49" customWidth="1"/>
    <col min="1789" max="1789" width="70.42578125" style="49" bestFit="1" customWidth="1"/>
    <col min="1790" max="1790" width="11.42578125" style="49" customWidth="1"/>
    <col min="1791" max="1791" width="10.42578125" style="49" customWidth="1"/>
    <col min="1792" max="1792" width="13.140625" style="49" customWidth="1"/>
    <col min="1793" max="1793" width="14.140625" style="49" customWidth="1"/>
    <col min="1794" max="1794" width="12.28515625" style="49" customWidth="1"/>
    <col min="1795" max="2043" width="9.140625" style="49"/>
    <col min="2044" max="2044" width="8.140625" style="49" customWidth="1"/>
    <col min="2045" max="2045" width="70.42578125" style="49" bestFit="1" customWidth="1"/>
    <col min="2046" max="2046" width="11.42578125" style="49" customWidth="1"/>
    <col min="2047" max="2047" width="10.42578125" style="49" customWidth="1"/>
    <col min="2048" max="2048" width="13.140625" style="49" customWidth="1"/>
    <col min="2049" max="2049" width="14.140625" style="49" customWidth="1"/>
    <col min="2050" max="2050" width="12.28515625" style="49" customWidth="1"/>
    <col min="2051" max="2299" width="9.140625" style="49"/>
    <col min="2300" max="2300" width="8.140625" style="49" customWidth="1"/>
    <col min="2301" max="2301" width="70.42578125" style="49" bestFit="1" customWidth="1"/>
    <col min="2302" max="2302" width="11.42578125" style="49" customWidth="1"/>
    <col min="2303" max="2303" width="10.42578125" style="49" customWidth="1"/>
    <col min="2304" max="2304" width="13.140625" style="49" customWidth="1"/>
    <col min="2305" max="2305" width="14.140625" style="49" customWidth="1"/>
    <col min="2306" max="2306" width="12.28515625" style="49" customWidth="1"/>
    <col min="2307" max="2555" width="9.140625" style="49"/>
    <col min="2556" max="2556" width="8.140625" style="49" customWidth="1"/>
    <col min="2557" max="2557" width="70.42578125" style="49" bestFit="1" customWidth="1"/>
    <col min="2558" max="2558" width="11.42578125" style="49" customWidth="1"/>
    <col min="2559" max="2559" width="10.42578125" style="49" customWidth="1"/>
    <col min="2560" max="2560" width="13.140625" style="49" customWidth="1"/>
    <col min="2561" max="2561" width="14.140625" style="49" customWidth="1"/>
    <col min="2562" max="2562" width="12.28515625" style="49" customWidth="1"/>
    <col min="2563" max="2811" width="9.140625" style="49"/>
    <col min="2812" max="2812" width="8.140625" style="49" customWidth="1"/>
    <col min="2813" max="2813" width="70.42578125" style="49" bestFit="1" customWidth="1"/>
    <col min="2814" max="2814" width="11.42578125" style="49" customWidth="1"/>
    <col min="2815" max="2815" width="10.42578125" style="49" customWidth="1"/>
    <col min="2816" max="2816" width="13.140625" style="49" customWidth="1"/>
    <col min="2817" max="2817" width="14.140625" style="49" customWidth="1"/>
    <col min="2818" max="2818" width="12.28515625" style="49" customWidth="1"/>
    <col min="2819" max="3067" width="9.140625" style="49"/>
    <col min="3068" max="3068" width="8.140625" style="49" customWidth="1"/>
    <col min="3069" max="3069" width="70.42578125" style="49" bestFit="1" customWidth="1"/>
    <col min="3070" max="3070" width="11.42578125" style="49" customWidth="1"/>
    <col min="3071" max="3071" width="10.42578125" style="49" customWidth="1"/>
    <col min="3072" max="3072" width="13.140625" style="49" customWidth="1"/>
    <col min="3073" max="3073" width="14.140625" style="49" customWidth="1"/>
    <col min="3074" max="3074" width="12.28515625" style="49" customWidth="1"/>
    <col min="3075" max="3323" width="9.140625" style="49"/>
    <col min="3324" max="3324" width="8.140625" style="49" customWidth="1"/>
    <col min="3325" max="3325" width="70.42578125" style="49" bestFit="1" customWidth="1"/>
    <col min="3326" max="3326" width="11.42578125" style="49" customWidth="1"/>
    <col min="3327" max="3327" width="10.42578125" style="49" customWidth="1"/>
    <col min="3328" max="3328" width="13.140625" style="49" customWidth="1"/>
    <col min="3329" max="3329" width="14.140625" style="49" customWidth="1"/>
    <col min="3330" max="3330" width="12.28515625" style="49" customWidth="1"/>
    <col min="3331" max="3579" width="9.140625" style="49"/>
    <col min="3580" max="3580" width="8.140625" style="49" customWidth="1"/>
    <col min="3581" max="3581" width="70.42578125" style="49" bestFit="1" customWidth="1"/>
    <col min="3582" max="3582" width="11.42578125" style="49" customWidth="1"/>
    <col min="3583" max="3583" width="10.42578125" style="49" customWidth="1"/>
    <col min="3584" max="3584" width="13.140625" style="49" customWidth="1"/>
    <col min="3585" max="3585" width="14.140625" style="49" customWidth="1"/>
    <col min="3586" max="3586" width="12.28515625" style="49" customWidth="1"/>
    <col min="3587" max="3835" width="9.140625" style="49"/>
    <col min="3836" max="3836" width="8.140625" style="49" customWidth="1"/>
    <col min="3837" max="3837" width="70.42578125" style="49" bestFit="1" customWidth="1"/>
    <col min="3838" max="3838" width="11.42578125" style="49" customWidth="1"/>
    <col min="3839" max="3839" width="10.42578125" style="49" customWidth="1"/>
    <col min="3840" max="3840" width="13.140625" style="49" customWidth="1"/>
    <col min="3841" max="3841" width="14.140625" style="49" customWidth="1"/>
    <col min="3842" max="3842" width="12.28515625" style="49" customWidth="1"/>
    <col min="3843" max="4091" width="9.140625" style="49"/>
    <col min="4092" max="4092" width="8.140625" style="49" customWidth="1"/>
    <col min="4093" max="4093" width="70.42578125" style="49" bestFit="1" customWidth="1"/>
    <col min="4094" max="4094" width="11.42578125" style="49" customWidth="1"/>
    <col min="4095" max="4095" width="10.42578125" style="49" customWidth="1"/>
    <col min="4096" max="4096" width="13.140625" style="49" customWidth="1"/>
    <col min="4097" max="4097" width="14.140625" style="49" customWidth="1"/>
    <col min="4098" max="4098" width="12.28515625" style="49" customWidth="1"/>
    <col min="4099" max="4347" width="9.140625" style="49"/>
    <col min="4348" max="4348" width="8.140625" style="49" customWidth="1"/>
    <col min="4349" max="4349" width="70.42578125" style="49" bestFit="1" customWidth="1"/>
    <col min="4350" max="4350" width="11.42578125" style="49" customWidth="1"/>
    <col min="4351" max="4351" width="10.42578125" style="49" customWidth="1"/>
    <col min="4352" max="4352" width="13.140625" style="49" customWidth="1"/>
    <col min="4353" max="4353" width="14.140625" style="49" customWidth="1"/>
    <col min="4354" max="4354" width="12.28515625" style="49" customWidth="1"/>
    <col min="4355" max="4603" width="9.140625" style="49"/>
    <col min="4604" max="4604" width="8.140625" style="49" customWidth="1"/>
    <col min="4605" max="4605" width="70.42578125" style="49" bestFit="1" customWidth="1"/>
    <col min="4606" max="4606" width="11.42578125" style="49" customWidth="1"/>
    <col min="4607" max="4607" width="10.42578125" style="49" customWidth="1"/>
    <col min="4608" max="4608" width="13.140625" style="49" customWidth="1"/>
    <col min="4609" max="4609" width="14.140625" style="49" customWidth="1"/>
    <col min="4610" max="4610" width="12.28515625" style="49" customWidth="1"/>
    <col min="4611" max="4859" width="9.140625" style="49"/>
    <col min="4860" max="4860" width="8.140625" style="49" customWidth="1"/>
    <col min="4861" max="4861" width="70.42578125" style="49" bestFit="1" customWidth="1"/>
    <col min="4862" max="4862" width="11.42578125" style="49" customWidth="1"/>
    <col min="4863" max="4863" width="10.42578125" style="49" customWidth="1"/>
    <col min="4864" max="4864" width="13.140625" style="49" customWidth="1"/>
    <col min="4865" max="4865" width="14.140625" style="49" customWidth="1"/>
    <col min="4866" max="4866" width="12.28515625" style="49" customWidth="1"/>
    <col min="4867" max="5115" width="9.140625" style="49"/>
    <col min="5116" max="5116" width="8.140625" style="49" customWidth="1"/>
    <col min="5117" max="5117" width="70.42578125" style="49" bestFit="1" customWidth="1"/>
    <col min="5118" max="5118" width="11.42578125" style="49" customWidth="1"/>
    <col min="5119" max="5119" width="10.42578125" style="49" customWidth="1"/>
    <col min="5120" max="5120" width="13.140625" style="49" customWidth="1"/>
    <col min="5121" max="5121" width="14.140625" style="49" customWidth="1"/>
    <col min="5122" max="5122" width="12.28515625" style="49" customWidth="1"/>
    <col min="5123" max="5371" width="9.140625" style="49"/>
    <col min="5372" max="5372" width="8.140625" style="49" customWidth="1"/>
    <col min="5373" max="5373" width="70.42578125" style="49" bestFit="1" customWidth="1"/>
    <col min="5374" max="5374" width="11.42578125" style="49" customWidth="1"/>
    <col min="5375" max="5375" width="10.42578125" style="49" customWidth="1"/>
    <col min="5376" max="5376" width="13.140625" style="49" customWidth="1"/>
    <col min="5377" max="5377" width="14.140625" style="49" customWidth="1"/>
    <col min="5378" max="5378" width="12.28515625" style="49" customWidth="1"/>
    <col min="5379" max="5627" width="9.140625" style="49"/>
    <col min="5628" max="5628" width="8.140625" style="49" customWidth="1"/>
    <col min="5629" max="5629" width="70.42578125" style="49" bestFit="1" customWidth="1"/>
    <col min="5630" max="5630" width="11.42578125" style="49" customWidth="1"/>
    <col min="5631" max="5631" width="10.42578125" style="49" customWidth="1"/>
    <col min="5632" max="5632" width="13.140625" style="49" customWidth="1"/>
    <col min="5633" max="5633" width="14.140625" style="49" customWidth="1"/>
    <col min="5634" max="5634" width="12.28515625" style="49" customWidth="1"/>
    <col min="5635" max="5883" width="9.140625" style="49"/>
    <col min="5884" max="5884" width="8.140625" style="49" customWidth="1"/>
    <col min="5885" max="5885" width="70.42578125" style="49" bestFit="1" customWidth="1"/>
    <col min="5886" max="5886" width="11.42578125" style="49" customWidth="1"/>
    <col min="5887" max="5887" width="10.42578125" style="49" customWidth="1"/>
    <col min="5888" max="5888" width="13.140625" style="49" customWidth="1"/>
    <col min="5889" max="5889" width="14.140625" style="49" customWidth="1"/>
    <col min="5890" max="5890" width="12.28515625" style="49" customWidth="1"/>
    <col min="5891" max="6139" width="9.140625" style="49"/>
    <col min="6140" max="6140" width="8.140625" style="49" customWidth="1"/>
    <col min="6141" max="6141" width="70.42578125" style="49" bestFit="1" customWidth="1"/>
    <col min="6142" max="6142" width="11.42578125" style="49" customWidth="1"/>
    <col min="6143" max="6143" width="10.42578125" style="49" customWidth="1"/>
    <col min="6144" max="6144" width="13.140625" style="49" customWidth="1"/>
    <col min="6145" max="6145" width="14.140625" style="49" customWidth="1"/>
    <col min="6146" max="6146" width="12.28515625" style="49" customWidth="1"/>
    <col min="6147" max="6395" width="9.140625" style="49"/>
    <col min="6396" max="6396" width="8.140625" style="49" customWidth="1"/>
    <col min="6397" max="6397" width="70.42578125" style="49" bestFit="1" customWidth="1"/>
    <col min="6398" max="6398" width="11.42578125" style="49" customWidth="1"/>
    <col min="6399" max="6399" width="10.42578125" style="49" customWidth="1"/>
    <col min="6400" max="6400" width="13.140625" style="49" customWidth="1"/>
    <col min="6401" max="6401" width="14.140625" style="49" customWidth="1"/>
    <col min="6402" max="6402" width="12.28515625" style="49" customWidth="1"/>
    <col min="6403" max="6651" width="9.140625" style="49"/>
    <col min="6652" max="6652" width="8.140625" style="49" customWidth="1"/>
    <col min="6653" max="6653" width="70.42578125" style="49" bestFit="1" customWidth="1"/>
    <col min="6654" max="6654" width="11.42578125" style="49" customWidth="1"/>
    <col min="6655" max="6655" width="10.42578125" style="49" customWidth="1"/>
    <col min="6656" max="6656" width="13.140625" style="49" customWidth="1"/>
    <col min="6657" max="6657" width="14.140625" style="49" customWidth="1"/>
    <col min="6658" max="6658" width="12.28515625" style="49" customWidth="1"/>
    <col min="6659" max="6907" width="9.140625" style="49"/>
    <col min="6908" max="6908" width="8.140625" style="49" customWidth="1"/>
    <col min="6909" max="6909" width="70.42578125" style="49" bestFit="1" customWidth="1"/>
    <col min="6910" max="6910" width="11.42578125" style="49" customWidth="1"/>
    <col min="6911" max="6911" width="10.42578125" style="49" customWidth="1"/>
    <col min="6912" max="6912" width="13.140625" style="49" customWidth="1"/>
    <col min="6913" max="6913" width="14.140625" style="49" customWidth="1"/>
    <col min="6914" max="6914" width="12.28515625" style="49" customWidth="1"/>
    <col min="6915" max="7163" width="9.140625" style="49"/>
    <col min="7164" max="7164" width="8.140625" style="49" customWidth="1"/>
    <col min="7165" max="7165" width="70.42578125" style="49" bestFit="1" customWidth="1"/>
    <col min="7166" max="7166" width="11.42578125" style="49" customWidth="1"/>
    <col min="7167" max="7167" width="10.42578125" style="49" customWidth="1"/>
    <col min="7168" max="7168" width="13.140625" style="49" customWidth="1"/>
    <col min="7169" max="7169" width="14.140625" style="49" customWidth="1"/>
    <col min="7170" max="7170" width="12.28515625" style="49" customWidth="1"/>
    <col min="7171" max="7419" width="9.140625" style="49"/>
    <col min="7420" max="7420" width="8.140625" style="49" customWidth="1"/>
    <col min="7421" max="7421" width="70.42578125" style="49" bestFit="1" customWidth="1"/>
    <col min="7422" max="7422" width="11.42578125" style="49" customWidth="1"/>
    <col min="7423" max="7423" width="10.42578125" style="49" customWidth="1"/>
    <col min="7424" max="7424" width="13.140625" style="49" customWidth="1"/>
    <col min="7425" max="7425" width="14.140625" style="49" customWidth="1"/>
    <col min="7426" max="7426" width="12.28515625" style="49" customWidth="1"/>
    <col min="7427" max="7675" width="9.140625" style="49"/>
    <col min="7676" max="7676" width="8.140625" style="49" customWidth="1"/>
    <col min="7677" max="7677" width="70.42578125" style="49" bestFit="1" customWidth="1"/>
    <col min="7678" max="7678" width="11.42578125" style="49" customWidth="1"/>
    <col min="7679" max="7679" width="10.42578125" style="49" customWidth="1"/>
    <col min="7680" max="7680" width="13.140625" style="49" customWidth="1"/>
    <col min="7681" max="7681" width="14.140625" style="49" customWidth="1"/>
    <col min="7682" max="7682" width="12.28515625" style="49" customWidth="1"/>
    <col min="7683" max="7931" width="9.140625" style="49"/>
    <col min="7932" max="7932" width="8.140625" style="49" customWidth="1"/>
    <col min="7933" max="7933" width="70.42578125" style="49" bestFit="1" customWidth="1"/>
    <col min="7934" max="7934" width="11.42578125" style="49" customWidth="1"/>
    <col min="7935" max="7935" width="10.42578125" style="49" customWidth="1"/>
    <col min="7936" max="7936" width="13.140625" style="49" customWidth="1"/>
    <col min="7937" max="7937" width="14.140625" style="49" customWidth="1"/>
    <col min="7938" max="7938" width="12.28515625" style="49" customWidth="1"/>
    <col min="7939" max="8187" width="9.140625" style="49"/>
    <col min="8188" max="8188" width="8.140625" style="49" customWidth="1"/>
    <col min="8189" max="8189" width="70.42578125" style="49" bestFit="1" customWidth="1"/>
    <col min="8190" max="8190" width="11.42578125" style="49" customWidth="1"/>
    <col min="8191" max="8191" width="10.42578125" style="49" customWidth="1"/>
    <col min="8192" max="8192" width="13.140625" style="49" customWidth="1"/>
    <col min="8193" max="8193" width="14.140625" style="49" customWidth="1"/>
    <col min="8194" max="8194" width="12.28515625" style="49" customWidth="1"/>
    <col min="8195" max="8443" width="9.140625" style="49"/>
    <col min="8444" max="8444" width="8.140625" style="49" customWidth="1"/>
    <col min="8445" max="8445" width="70.42578125" style="49" bestFit="1" customWidth="1"/>
    <col min="8446" max="8446" width="11.42578125" style="49" customWidth="1"/>
    <col min="8447" max="8447" width="10.42578125" style="49" customWidth="1"/>
    <col min="8448" max="8448" width="13.140625" style="49" customWidth="1"/>
    <col min="8449" max="8449" width="14.140625" style="49" customWidth="1"/>
    <col min="8450" max="8450" width="12.28515625" style="49" customWidth="1"/>
    <col min="8451" max="8699" width="9.140625" style="49"/>
    <col min="8700" max="8700" width="8.140625" style="49" customWidth="1"/>
    <col min="8701" max="8701" width="70.42578125" style="49" bestFit="1" customWidth="1"/>
    <col min="8702" max="8702" width="11.42578125" style="49" customWidth="1"/>
    <col min="8703" max="8703" width="10.42578125" style="49" customWidth="1"/>
    <col min="8704" max="8704" width="13.140625" style="49" customWidth="1"/>
    <col min="8705" max="8705" width="14.140625" style="49" customWidth="1"/>
    <col min="8706" max="8706" width="12.28515625" style="49" customWidth="1"/>
    <col min="8707" max="8955" width="9.140625" style="49"/>
    <col min="8956" max="8956" width="8.140625" style="49" customWidth="1"/>
    <col min="8957" max="8957" width="70.42578125" style="49" bestFit="1" customWidth="1"/>
    <col min="8958" max="8958" width="11.42578125" style="49" customWidth="1"/>
    <col min="8959" max="8959" width="10.42578125" style="49" customWidth="1"/>
    <col min="8960" max="8960" width="13.140625" style="49" customWidth="1"/>
    <col min="8961" max="8961" width="14.140625" style="49" customWidth="1"/>
    <col min="8962" max="8962" width="12.28515625" style="49" customWidth="1"/>
    <col min="8963" max="9211" width="9.140625" style="49"/>
    <col min="9212" max="9212" width="8.140625" style="49" customWidth="1"/>
    <col min="9213" max="9213" width="70.42578125" style="49" bestFit="1" customWidth="1"/>
    <col min="9214" max="9214" width="11.42578125" style="49" customWidth="1"/>
    <col min="9215" max="9215" width="10.42578125" style="49" customWidth="1"/>
    <col min="9216" max="9216" width="13.140625" style="49" customWidth="1"/>
    <col min="9217" max="9217" width="14.140625" style="49" customWidth="1"/>
    <col min="9218" max="9218" width="12.28515625" style="49" customWidth="1"/>
    <col min="9219" max="9467" width="9.140625" style="49"/>
    <col min="9468" max="9468" width="8.140625" style="49" customWidth="1"/>
    <col min="9469" max="9469" width="70.42578125" style="49" bestFit="1" customWidth="1"/>
    <col min="9470" max="9470" width="11.42578125" style="49" customWidth="1"/>
    <col min="9471" max="9471" width="10.42578125" style="49" customWidth="1"/>
    <col min="9472" max="9472" width="13.140625" style="49" customWidth="1"/>
    <col min="9473" max="9473" width="14.140625" style="49" customWidth="1"/>
    <col min="9474" max="9474" width="12.28515625" style="49" customWidth="1"/>
    <col min="9475" max="9723" width="9.140625" style="49"/>
    <col min="9724" max="9724" width="8.140625" style="49" customWidth="1"/>
    <col min="9725" max="9725" width="70.42578125" style="49" bestFit="1" customWidth="1"/>
    <col min="9726" max="9726" width="11.42578125" style="49" customWidth="1"/>
    <col min="9727" max="9727" width="10.42578125" style="49" customWidth="1"/>
    <col min="9728" max="9728" width="13.140625" style="49" customWidth="1"/>
    <col min="9729" max="9729" width="14.140625" style="49" customWidth="1"/>
    <col min="9730" max="9730" width="12.28515625" style="49" customWidth="1"/>
    <col min="9731" max="9979" width="9.140625" style="49"/>
    <col min="9980" max="9980" width="8.140625" style="49" customWidth="1"/>
    <col min="9981" max="9981" width="70.42578125" style="49" bestFit="1" customWidth="1"/>
    <col min="9982" max="9982" width="11.42578125" style="49" customWidth="1"/>
    <col min="9983" max="9983" width="10.42578125" style="49" customWidth="1"/>
    <col min="9984" max="9984" width="13.140625" style="49" customWidth="1"/>
    <col min="9985" max="9985" width="14.140625" style="49" customWidth="1"/>
    <col min="9986" max="9986" width="12.28515625" style="49" customWidth="1"/>
    <col min="9987" max="10235" width="9.140625" style="49"/>
    <col min="10236" max="10236" width="8.140625" style="49" customWidth="1"/>
    <col min="10237" max="10237" width="70.42578125" style="49" bestFit="1" customWidth="1"/>
    <col min="10238" max="10238" width="11.42578125" style="49" customWidth="1"/>
    <col min="10239" max="10239" width="10.42578125" style="49" customWidth="1"/>
    <col min="10240" max="10240" width="13.140625" style="49" customWidth="1"/>
    <col min="10241" max="10241" width="14.140625" style="49" customWidth="1"/>
    <col min="10242" max="10242" width="12.28515625" style="49" customWidth="1"/>
    <col min="10243" max="10491" width="9.140625" style="49"/>
    <col min="10492" max="10492" width="8.140625" style="49" customWidth="1"/>
    <col min="10493" max="10493" width="70.42578125" style="49" bestFit="1" customWidth="1"/>
    <col min="10494" max="10494" width="11.42578125" style="49" customWidth="1"/>
    <col min="10495" max="10495" width="10.42578125" style="49" customWidth="1"/>
    <col min="10496" max="10496" width="13.140625" style="49" customWidth="1"/>
    <col min="10497" max="10497" width="14.140625" style="49" customWidth="1"/>
    <col min="10498" max="10498" width="12.28515625" style="49" customWidth="1"/>
    <col min="10499" max="10747" width="9.140625" style="49"/>
    <col min="10748" max="10748" width="8.140625" style="49" customWidth="1"/>
    <col min="10749" max="10749" width="70.42578125" style="49" bestFit="1" customWidth="1"/>
    <col min="10750" max="10750" width="11.42578125" style="49" customWidth="1"/>
    <col min="10751" max="10751" width="10.42578125" style="49" customWidth="1"/>
    <col min="10752" max="10752" width="13.140625" style="49" customWidth="1"/>
    <col min="10753" max="10753" width="14.140625" style="49" customWidth="1"/>
    <col min="10754" max="10754" width="12.28515625" style="49" customWidth="1"/>
    <col min="10755" max="11003" width="9.140625" style="49"/>
    <col min="11004" max="11004" width="8.140625" style="49" customWidth="1"/>
    <col min="11005" max="11005" width="70.42578125" style="49" bestFit="1" customWidth="1"/>
    <col min="11006" max="11006" width="11.42578125" style="49" customWidth="1"/>
    <col min="11007" max="11007" width="10.42578125" style="49" customWidth="1"/>
    <col min="11008" max="11008" width="13.140625" style="49" customWidth="1"/>
    <col min="11009" max="11009" width="14.140625" style="49" customWidth="1"/>
    <col min="11010" max="11010" width="12.28515625" style="49" customWidth="1"/>
    <col min="11011" max="11259" width="9.140625" style="49"/>
    <col min="11260" max="11260" width="8.140625" style="49" customWidth="1"/>
    <col min="11261" max="11261" width="70.42578125" style="49" bestFit="1" customWidth="1"/>
    <col min="11262" max="11262" width="11.42578125" style="49" customWidth="1"/>
    <col min="11263" max="11263" width="10.42578125" style="49" customWidth="1"/>
    <col min="11264" max="11264" width="13.140625" style="49" customWidth="1"/>
    <col min="11265" max="11265" width="14.140625" style="49" customWidth="1"/>
    <col min="11266" max="11266" width="12.28515625" style="49" customWidth="1"/>
    <col min="11267" max="11515" width="9.140625" style="49"/>
    <col min="11516" max="11516" width="8.140625" style="49" customWidth="1"/>
    <col min="11517" max="11517" width="70.42578125" style="49" bestFit="1" customWidth="1"/>
    <col min="11518" max="11518" width="11.42578125" style="49" customWidth="1"/>
    <col min="11519" max="11519" width="10.42578125" style="49" customWidth="1"/>
    <col min="11520" max="11520" width="13.140625" style="49" customWidth="1"/>
    <col min="11521" max="11521" width="14.140625" style="49" customWidth="1"/>
    <col min="11522" max="11522" width="12.28515625" style="49" customWidth="1"/>
    <col min="11523" max="11771" width="9.140625" style="49"/>
    <col min="11772" max="11772" width="8.140625" style="49" customWidth="1"/>
    <col min="11773" max="11773" width="70.42578125" style="49" bestFit="1" customWidth="1"/>
    <col min="11774" max="11774" width="11.42578125" style="49" customWidth="1"/>
    <col min="11775" max="11775" width="10.42578125" style="49" customWidth="1"/>
    <col min="11776" max="11776" width="13.140625" style="49" customWidth="1"/>
    <col min="11777" max="11777" width="14.140625" style="49" customWidth="1"/>
    <col min="11778" max="11778" width="12.28515625" style="49" customWidth="1"/>
    <col min="11779" max="12027" width="9.140625" style="49"/>
    <col min="12028" max="12028" width="8.140625" style="49" customWidth="1"/>
    <col min="12029" max="12029" width="70.42578125" style="49" bestFit="1" customWidth="1"/>
    <col min="12030" max="12030" width="11.42578125" style="49" customWidth="1"/>
    <col min="12031" max="12031" width="10.42578125" style="49" customWidth="1"/>
    <col min="12032" max="12032" width="13.140625" style="49" customWidth="1"/>
    <col min="12033" max="12033" width="14.140625" style="49" customWidth="1"/>
    <col min="12034" max="12034" width="12.28515625" style="49" customWidth="1"/>
    <col min="12035" max="12283" width="9.140625" style="49"/>
    <col min="12284" max="12284" width="8.140625" style="49" customWidth="1"/>
    <col min="12285" max="12285" width="70.42578125" style="49" bestFit="1" customWidth="1"/>
    <col min="12286" max="12286" width="11.42578125" style="49" customWidth="1"/>
    <col min="12287" max="12287" width="10.42578125" style="49" customWidth="1"/>
    <col min="12288" max="12288" width="13.140625" style="49" customWidth="1"/>
    <col min="12289" max="12289" width="14.140625" style="49" customWidth="1"/>
    <col min="12290" max="12290" width="12.28515625" style="49" customWidth="1"/>
    <col min="12291" max="12539" width="9.140625" style="49"/>
    <col min="12540" max="12540" width="8.140625" style="49" customWidth="1"/>
    <col min="12541" max="12541" width="70.42578125" style="49" bestFit="1" customWidth="1"/>
    <col min="12542" max="12542" width="11.42578125" style="49" customWidth="1"/>
    <col min="12543" max="12543" width="10.42578125" style="49" customWidth="1"/>
    <col min="12544" max="12544" width="13.140625" style="49" customWidth="1"/>
    <col min="12545" max="12545" width="14.140625" style="49" customWidth="1"/>
    <col min="12546" max="12546" width="12.28515625" style="49" customWidth="1"/>
    <col min="12547" max="12795" width="9.140625" style="49"/>
    <col min="12796" max="12796" width="8.140625" style="49" customWidth="1"/>
    <col min="12797" max="12797" width="70.42578125" style="49" bestFit="1" customWidth="1"/>
    <col min="12798" max="12798" width="11.42578125" style="49" customWidth="1"/>
    <col min="12799" max="12799" width="10.42578125" style="49" customWidth="1"/>
    <col min="12800" max="12800" width="13.140625" style="49" customWidth="1"/>
    <col min="12801" max="12801" width="14.140625" style="49" customWidth="1"/>
    <col min="12802" max="12802" width="12.28515625" style="49" customWidth="1"/>
    <col min="12803" max="13051" width="9.140625" style="49"/>
    <col min="13052" max="13052" width="8.140625" style="49" customWidth="1"/>
    <col min="13053" max="13053" width="70.42578125" style="49" bestFit="1" customWidth="1"/>
    <col min="13054" max="13054" width="11.42578125" style="49" customWidth="1"/>
    <col min="13055" max="13055" width="10.42578125" style="49" customWidth="1"/>
    <col min="13056" max="13056" width="13.140625" style="49" customWidth="1"/>
    <col min="13057" max="13057" width="14.140625" style="49" customWidth="1"/>
    <col min="13058" max="13058" width="12.28515625" style="49" customWidth="1"/>
    <col min="13059" max="13307" width="9.140625" style="49"/>
    <col min="13308" max="13308" width="8.140625" style="49" customWidth="1"/>
    <col min="13309" max="13309" width="70.42578125" style="49" bestFit="1" customWidth="1"/>
    <col min="13310" max="13310" width="11.42578125" style="49" customWidth="1"/>
    <col min="13311" max="13311" width="10.42578125" style="49" customWidth="1"/>
    <col min="13312" max="13312" width="13.140625" style="49" customWidth="1"/>
    <col min="13313" max="13313" width="14.140625" style="49" customWidth="1"/>
    <col min="13314" max="13314" width="12.28515625" style="49" customWidth="1"/>
    <col min="13315" max="13563" width="9.140625" style="49"/>
    <col min="13564" max="13564" width="8.140625" style="49" customWidth="1"/>
    <col min="13565" max="13565" width="70.42578125" style="49" bestFit="1" customWidth="1"/>
    <col min="13566" max="13566" width="11.42578125" style="49" customWidth="1"/>
    <col min="13567" max="13567" width="10.42578125" style="49" customWidth="1"/>
    <col min="13568" max="13568" width="13.140625" style="49" customWidth="1"/>
    <col min="13569" max="13569" width="14.140625" style="49" customWidth="1"/>
    <col min="13570" max="13570" width="12.28515625" style="49" customWidth="1"/>
    <col min="13571" max="13819" width="9.140625" style="49"/>
    <col min="13820" max="13820" width="8.140625" style="49" customWidth="1"/>
    <col min="13821" max="13821" width="70.42578125" style="49" bestFit="1" customWidth="1"/>
    <col min="13822" max="13822" width="11.42578125" style="49" customWidth="1"/>
    <col min="13823" max="13823" width="10.42578125" style="49" customWidth="1"/>
    <col min="13824" max="13824" width="13.140625" style="49" customWidth="1"/>
    <col min="13825" max="13825" width="14.140625" style="49" customWidth="1"/>
    <col min="13826" max="13826" width="12.28515625" style="49" customWidth="1"/>
    <col min="13827" max="14075" width="9.140625" style="49"/>
    <col min="14076" max="14076" width="8.140625" style="49" customWidth="1"/>
    <col min="14077" max="14077" width="70.42578125" style="49" bestFit="1" customWidth="1"/>
    <col min="14078" max="14078" width="11.42578125" style="49" customWidth="1"/>
    <col min="14079" max="14079" width="10.42578125" style="49" customWidth="1"/>
    <col min="14080" max="14080" width="13.140625" style="49" customWidth="1"/>
    <col min="14081" max="14081" width="14.140625" style="49" customWidth="1"/>
    <col min="14082" max="14082" width="12.28515625" style="49" customWidth="1"/>
    <col min="14083" max="14331" width="9.140625" style="49"/>
    <col min="14332" max="14332" width="8.140625" style="49" customWidth="1"/>
    <col min="14333" max="14333" width="70.42578125" style="49" bestFit="1" customWidth="1"/>
    <col min="14334" max="14334" width="11.42578125" style="49" customWidth="1"/>
    <col min="14335" max="14335" width="10.42578125" style="49" customWidth="1"/>
    <col min="14336" max="14336" width="13.140625" style="49" customWidth="1"/>
    <col min="14337" max="14337" width="14.140625" style="49" customWidth="1"/>
    <col min="14338" max="14338" width="12.28515625" style="49" customWidth="1"/>
    <col min="14339" max="14587" width="9.140625" style="49"/>
    <col min="14588" max="14588" width="8.140625" style="49" customWidth="1"/>
    <col min="14589" max="14589" width="70.42578125" style="49" bestFit="1" customWidth="1"/>
    <col min="14590" max="14590" width="11.42578125" style="49" customWidth="1"/>
    <col min="14591" max="14591" width="10.42578125" style="49" customWidth="1"/>
    <col min="14592" max="14592" width="13.140625" style="49" customWidth="1"/>
    <col min="14593" max="14593" width="14.140625" style="49" customWidth="1"/>
    <col min="14594" max="14594" width="12.28515625" style="49" customWidth="1"/>
    <col min="14595" max="14843" width="9.140625" style="49"/>
    <col min="14844" max="14844" width="8.140625" style="49" customWidth="1"/>
    <col min="14845" max="14845" width="70.42578125" style="49" bestFit="1" customWidth="1"/>
    <col min="14846" max="14846" width="11.42578125" style="49" customWidth="1"/>
    <col min="14847" max="14847" width="10.42578125" style="49" customWidth="1"/>
    <col min="14848" max="14848" width="13.140625" style="49" customWidth="1"/>
    <col min="14849" max="14849" width="14.140625" style="49" customWidth="1"/>
    <col min="14850" max="14850" width="12.28515625" style="49" customWidth="1"/>
    <col min="14851" max="15099" width="9.140625" style="49"/>
    <col min="15100" max="15100" width="8.140625" style="49" customWidth="1"/>
    <col min="15101" max="15101" width="70.42578125" style="49" bestFit="1" customWidth="1"/>
    <col min="15102" max="15102" width="11.42578125" style="49" customWidth="1"/>
    <col min="15103" max="15103" width="10.42578125" style="49" customWidth="1"/>
    <col min="15104" max="15104" width="13.140625" style="49" customWidth="1"/>
    <col min="15105" max="15105" width="14.140625" style="49" customWidth="1"/>
    <col min="15106" max="15106" width="12.28515625" style="49" customWidth="1"/>
    <col min="15107" max="15355" width="9.140625" style="49"/>
    <col min="15356" max="15356" width="8.140625" style="49" customWidth="1"/>
    <col min="15357" max="15357" width="70.42578125" style="49" bestFit="1" customWidth="1"/>
    <col min="15358" max="15358" width="11.42578125" style="49" customWidth="1"/>
    <col min="15359" max="15359" width="10.42578125" style="49" customWidth="1"/>
    <col min="15360" max="15360" width="13.140625" style="49" customWidth="1"/>
    <col min="15361" max="15361" width="14.140625" style="49" customWidth="1"/>
    <col min="15362" max="15362" width="12.28515625" style="49" customWidth="1"/>
    <col min="15363" max="15611" width="9.140625" style="49"/>
    <col min="15612" max="15612" width="8.140625" style="49" customWidth="1"/>
    <col min="15613" max="15613" width="70.42578125" style="49" bestFit="1" customWidth="1"/>
    <col min="15614" max="15614" width="11.42578125" style="49" customWidth="1"/>
    <col min="15615" max="15615" width="10.42578125" style="49" customWidth="1"/>
    <col min="15616" max="15616" width="13.140625" style="49" customWidth="1"/>
    <col min="15617" max="15617" width="14.140625" style="49" customWidth="1"/>
    <col min="15618" max="15618" width="12.28515625" style="49" customWidth="1"/>
    <col min="15619" max="15867" width="9.140625" style="49"/>
    <col min="15868" max="15868" width="8.140625" style="49" customWidth="1"/>
    <col min="15869" max="15869" width="70.42578125" style="49" bestFit="1" customWidth="1"/>
    <col min="15870" max="15870" width="11.42578125" style="49" customWidth="1"/>
    <col min="15871" max="15871" width="10.42578125" style="49" customWidth="1"/>
    <col min="15872" max="15872" width="13.140625" style="49" customWidth="1"/>
    <col min="15873" max="15873" width="14.140625" style="49" customWidth="1"/>
    <col min="15874" max="15874" width="12.28515625" style="49" customWidth="1"/>
    <col min="15875" max="16123" width="9.140625" style="49"/>
    <col min="16124" max="16124" width="8.140625" style="49" customWidth="1"/>
    <col min="16125" max="16125" width="70.42578125" style="49" bestFit="1" customWidth="1"/>
    <col min="16126" max="16126" width="11.42578125" style="49" customWidth="1"/>
    <col min="16127" max="16127" width="10.42578125" style="49" customWidth="1"/>
    <col min="16128" max="16128" width="13.140625" style="49" customWidth="1"/>
    <col min="16129" max="16129" width="14.140625" style="49" customWidth="1"/>
    <col min="16130" max="16130" width="12.28515625" style="49" customWidth="1"/>
    <col min="16131" max="16384" width="9.140625" style="49"/>
  </cols>
  <sheetData>
    <row r="1" spans="1:8" x14ac:dyDescent="0.2">
      <c r="A1" s="49"/>
      <c r="B1" s="50" t="s">
        <v>22</v>
      </c>
    </row>
    <row r="2" spans="1:8" x14ac:dyDescent="0.2">
      <c r="A2" s="49"/>
      <c r="B2" s="50" t="s">
        <v>23</v>
      </c>
    </row>
    <row r="3" spans="1:8" x14ac:dyDescent="0.2">
      <c r="A3" s="49"/>
      <c r="B3" s="49" t="s">
        <v>24</v>
      </c>
    </row>
    <row r="4" spans="1:8" ht="15" x14ac:dyDescent="0.25">
      <c r="A4" s="53" t="s">
        <v>25</v>
      </c>
      <c r="B4" s="54"/>
    </row>
    <row r="5" spans="1:8" ht="12" thickBot="1" x14ac:dyDescent="0.25">
      <c r="A5" s="53"/>
      <c r="B5" s="55"/>
      <c r="E5" s="56"/>
      <c r="F5" s="56"/>
    </row>
    <row r="6" spans="1:8" ht="6" customHeight="1" x14ac:dyDescent="0.2">
      <c r="A6" s="537"/>
      <c r="B6" s="537"/>
      <c r="C6" s="537"/>
      <c r="D6" s="537"/>
      <c r="E6" s="537"/>
      <c r="F6" s="537"/>
    </row>
    <row r="7" spans="1:8" s="51" customFormat="1" ht="12" thickBot="1" x14ac:dyDescent="0.25">
      <c r="A7" s="49"/>
      <c r="B7" s="68"/>
      <c r="E7" s="65"/>
      <c r="F7" s="65"/>
      <c r="G7" s="49"/>
      <c r="H7" s="49"/>
    </row>
    <row r="8" spans="1:8" s="51" customFormat="1" ht="12" thickBot="1" x14ac:dyDescent="0.25">
      <c r="A8" s="53" t="s">
        <v>62</v>
      </c>
      <c r="B8" s="122" t="s">
        <v>32</v>
      </c>
      <c r="C8" s="53"/>
      <c r="D8" s="53"/>
      <c r="E8" s="123"/>
      <c r="F8" s="65"/>
      <c r="G8" s="49"/>
      <c r="H8" s="49"/>
    </row>
    <row r="9" spans="1:8" s="51" customFormat="1" x14ac:dyDescent="0.2">
      <c r="A9" s="53"/>
      <c r="B9" s="50"/>
      <c r="C9" s="53"/>
      <c r="D9" s="53"/>
      <c r="E9" s="123"/>
      <c r="F9" s="65"/>
      <c r="G9" s="49"/>
      <c r="H9" s="53" t="s">
        <v>63</v>
      </c>
    </row>
    <row r="10" spans="1:8" s="51" customFormat="1" x14ac:dyDescent="0.2">
      <c r="A10" s="53"/>
      <c r="B10" s="50" t="s">
        <v>64</v>
      </c>
      <c r="C10" s="53"/>
      <c r="D10" s="53"/>
      <c r="E10" s="123"/>
      <c r="F10" s="65"/>
      <c r="G10" s="49"/>
      <c r="H10" s="49"/>
    </row>
    <row r="11" spans="1:8" s="51" customFormat="1" x14ac:dyDescent="0.2">
      <c r="A11" s="53"/>
      <c r="B11" s="50"/>
      <c r="C11" s="53"/>
      <c r="D11" s="53"/>
      <c r="E11" s="123"/>
      <c r="F11" s="65"/>
      <c r="G11" s="49"/>
      <c r="H11" s="66">
        <f>SUM(F13:F19)</f>
        <v>0</v>
      </c>
    </row>
    <row r="12" spans="1:8" s="51" customFormat="1" x14ac:dyDescent="0.2">
      <c r="A12" s="49"/>
      <c r="B12" s="124" t="s">
        <v>65</v>
      </c>
      <c r="C12" s="53"/>
      <c r="D12" s="53"/>
      <c r="E12" s="123"/>
      <c r="F12" s="65"/>
      <c r="G12" s="49"/>
    </row>
    <row r="13" spans="1:8" s="51" customFormat="1" x14ac:dyDescent="0.2">
      <c r="A13" s="49"/>
      <c r="B13" s="49" t="s">
        <v>34</v>
      </c>
      <c r="C13" s="51" t="s">
        <v>35</v>
      </c>
      <c r="E13" s="189">
        <f>'Staff Rates'!E17</f>
        <v>822.5</v>
      </c>
      <c r="F13" s="65">
        <f>E13*D13</f>
        <v>0</v>
      </c>
      <c r="G13" s="49"/>
    </row>
    <row r="14" spans="1:8" s="51" customFormat="1" ht="11.45" customHeight="1" x14ac:dyDescent="0.2">
      <c r="A14" s="53"/>
      <c r="B14" s="49" t="s">
        <v>66</v>
      </c>
      <c r="C14" s="51" t="s">
        <v>35</v>
      </c>
      <c r="E14" s="189">
        <f>'Staff Rates'!E24</f>
        <v>2222.5</v>
      </c>
      <c r="F14" s="65">
        <f t="shared" ref="F14:F19" si="0">E14*D14</f>
        <v>0</v>
      </c>
      <c r="G14" s="49"/>
      <c r="H14" s="49"/>
    </row>
    <row r="15" spans="1:8" s="51" customFormat="1" x14ac:dyDescent="0.2">
      <c r="A15" s="53"/>
      <c r="B15" s="49" t="s">
        <v>67</v>
      </c>
      <c r="C15" s="51" t="s">
        <v>35</v>
      </c>
      <c r="E15" s="189">
        <f>'Staff Rates'!E24</f>
        <v>2222.5</v>
      </c>
      <c r="F15" s="65">
        <f t="shared" si="0"/>
        <v>0</v>
      </c>
      <c r="G15" s="49"/>
      <c r="H15" s="49"/>
    </row>
    <row r="16" spans="1:8" s="51" customFormat="1" x14ac:dyDescent="0.2">
      <c r="A16" s="53"/>
      <c r="B16" s="49" t="s">
        <v>68</v>
      </c>
      <c r="C16" s="51" t="s">
        <v>35</v>
      </c>
      <c r="E16" s="189">
        <f>'Staff Rates'!E31</f>
        <v>2222.5</v>
      </c>
      <c r="F16" s="65">
        <f t="shared" si="0"/>
        <v>0</v>
      </c>
      <c r="G16" s="49"/>
      <c r="H16" s="49"/>
    </row>
    <row r="17" spans="1:8" s="51" customFormat="1" ht="11.45" customHeight="1" x14ac:dyDescent="0.2">
      <c r="A17" s="53"/>
      <c r="B17" s="49" t="s">
        <v>37</v>
      </c>
      <c r="C17" s="51" t="s">
        <v>35</v>
      </c>
      <c r="E17" s="189">
        <f>'Staff Rates'!E52</f>
        <v>612.5</v>
      </c>
      <c r="F17" s="65">
        <f t="shared" si="0"/>
        <v>0</v>
      </c>
      <c r="G17" s="49"/>
      <c r="H17" s="49"/>
    </row>
    <row r="18" spans="1:8" s="51" customFormat="1" ht="11.45" customHeight="1" x14ac:dyDescent="0.2">
      <c r="A18" s="49"/>
      <c r="B18" s="49" t="s">
        <v>69</v>
      </c>
      <c r="C18" s="51" t="s">
        <v>35</v>
      </c>
      <c r="E18" s="189">
        <f>'Staff Rates'!E45</f>
        <v>805</v>
      </c>
      <c r="F18" s="65">
        <f t="shared" si="0"/>
        <v>0</v>
      </c>
      <c r="G18" s="49"/>
      <c r="H18" s="49"/>
    </row>
    <row r="19" spans="1:8" s="51" customFormat="1" ht="11.45" customHeight="1" x14ac:dyDescent="0.2">
      <c r="A19" s="49"/>
      <c r="B19" s="49" t="s">
        <v>70</v>
      </c>
      <c r="C19" s="51" t="s">
        <v>35</v>
      </c>
      <c r="E19" s="189">
        <f>'Staff Rates'!E45</f>
        <v>805</v>
      </c>
      <c r="F19" s="65">
        <f t="shared" si="0"/>
        <v>0</v>
      </c>
      <c r="G19" s="49"/>
      <c r="H19" s="49"/>
    </row>
    <row r="20" spans="1:8" s="51" customFormat="1" ht="6.6" customHeight="1" x14ac:dyDescent="0.2">
      <c r="A20" s="53"/>
      <c r="B20" s="49"/>
      <c r="E20" s="125"/>
      <c r="F20" s="52"/>
      <c r="G20" s="49"/>
      <c r="H20" s="49"/>
    </row>
    <row r="21" spans="1:8" s="51" customFormat="1" x14ac:dyDescent="0.2">
      <c r="A21" s="49"/>
      <c r="B21" s="124" t="s">
        <v>71</v>
      </c>
      <c r="C21" s="53"/>
      <c r="D21" s="53"/>
      <c r="E21" s="123"/>
      <c r="F21" s="65"/>
      <c r="G21" s="49"/>
      <c r="H21" s="49"/>
    </row>
    <row r="22" spans="1:8" s="51" customFormat="1" x14ac:dyDescent="0.2">
      <c r="A22" s="49"/>
      <c r="B22" s="49" t="s">
        <v>34</v>
      </c>
      <c r="C22" s="51" t="s">
        <v>72</v>
      </c>
      <c r="E22" s="52">
        <v>0</v>
      </c>
      <c r="F22" s="65">
        <f t="shared" ref="F22:F26" si="1">E22*D22</f>
        <v>0</v>
      </c>
      <c r="G22" s="49"/>
      <c r="H22" s="49"/>
    </row>
    <row r="23" spans="1:8" s="51" customFormat="1" ht="11.45" customHeight="1" x14ac:dyDescent="0.2">
      <c r="A23" s="49"/>
      <c r="B23" s="49" t="s">
        <v>36</v>
      </c>
      <c r="C23" s="51" t="s">
        <v>72</v>
      </c>
      <c r="E23" s="52">
        <v>0</v>
      </c>
      <c r="F23" s="65">
        <f t="shared" si="1"/>
        <v>0</v>
      </c>
      <c r="G23" s="49"/>
      <c r="H23" s="49"/>
    </row>
    <row r="24" spans="1:8" s="51" customFormat="1" ht="11.45" customHeight="1" x14ac:dyDescent="0.2">
      <c r="A24" s="53"/>
      <c r="B24" s="49" t="s">
        <v>37</v>
      </c>
      <c r="C24" s="51" t="s">
        <v>72</v>
      </c>
      <c r="E24" s="52">
        <v>0</v>
      </c>
      <c r="F24" s="65">
        <f t="shared" si="1"/>
        <v>0</v>
      </c>
      <c r="G24" s="49"/>
    </row>
    <row r="25" spans="1:8" s="51" customFormat="1" ht="11.45" customHeight="1" x14ac:dyDescent="0.2">
      <c r="A25" s="53"/>
      <c r="B25" s="49" t="s">
        <v>38</v>
      </c>
      <c r="C25" s="51" t="s">
        <v>72</v>
      </c>
      <c r="E25" s="52">
        <v>0</v>
      </c>
      <c r="F25" s="65">
        <f t="shared" si="1"/>
        <v>0</v>
      </c>
      <c r="G25" s="49"/>
      <c r="H25" s="49"/>
    </row>
    <row r="26" spans="1:8" s="51" customFormat="1" x14ac:dyDescent="0.2">
      <c r="A26" s="53"/>
      <c r="B26" s="49" t="s">
        <v>39</v>
      </c>
      <c r="C26" s="51" t="s">
        <v>72</v>
      </c>
      <c r="E26" s="52">
        <v>0</v>
      </c>
      <c r="F26" s="65">
        <f t="shared" si="1"/>
        <v>0</v>
      </c>
      <c r="G26" s="49"/>
      <c r="H26" s="49"/>
    </row>
    <row r="27" spans="1:8" ht="12" thickBot="1" x14ac:dyDescent="0.25">
      <c r="A27" s="49"/>
    </row>
    <row r="28" spans="1:8" ht="12" thickBot="1" x14ac:dyDescent="0.25">
      <c r="A28" s="53" t="s">
        <v>73</v>
      </c>
      <c r="B28" s="122" t="s">
        <v>40</v>
      </c>
      <c r="F28" s="65"/>
      <c r="G28" s="51"/>
      <c r="H28" s="53" t="s">
        <v>74</v>
      </c>
    </row>
    <row r="29" spans="1:8" x14ac:dyDescent="0.2">
      <c r="A29" s="51"/>
      <c r="F29" s="65"/>
    </row>
    <row r="30" spans="1:8" x14ac:dyDescent="0.2">
      <c r="A30" s="49"/>
      <c r="B30" s="139" t="s">
        <v>75</v>
      </c>
      <c r="C30" s="51" t="s">
        <v>76</v>
      </c>
      <c r="E30" s="192">
        <v>300</v>
      </c>
      <c r="F30" s="65">
        <f>E30*D30</f>
        <v>0</v>
      </c>
      <c r="H30" s="66">
        <f>SUM(F30:F39)</f>
        <v>0</v>
      </c>
    </row>
    <row r="31" spans="1:8" x14ac:dyDescent="0.2">
      <c r="A31" s="49"/>
      <c r="B31" s="139" t="s">
        <v>75</v>
      </c>
      <c r="C31" s="51" t="s">
        <v>76</v>
      </c>
      <c r="E31" s="192">
        <v>300</v>
      </c>
      <c r="F31" s="65">
        <f>E31*D31</f>
        <v>0</v>
      </c>
    </row>
    <row r="32" spans="1:8" x14ac:dyDescent="0.2">
      <c r="A32" s="49"/>
      <c r="B32" s="139" t="s">
        <v>77</v>
      </c>
      <c r="C32" s="51" t="s">
        <v>76</v>
      </c>
      <c r="E32" s="193">
        <v>300</v>
      </c>
      <c r="F32" s="65">
        <f>E32*D32</f>
        <v>0</v>
      </c>
      <c r="H32" s="66"/>
    </row>
    <row r="33" spans="1:6" x14ac:dyDescent="0.2">
      <c r="A33" s="49"/>
      <c r="B33" s="139" t="s">
        <v>78</v>
      </c>
      <c r="C33" s="51" t="s">
        <v>76</v>
      </c>
      <c r="E33" s="191">
        <v>450</v>
      </c>
      <c r="F33" s="65">
        <f t="shared" ref="F33:F40" si="2">E33*D33</f>
        <v>0</v>
      </c>
    </row>
    <row r="34" spans="1:6" x14ac:dyDescent="0.2">
      <c r="A34" s="49"/>
      <c r="B34" s="139" t="s">
        <v>79</v>
      </c>
      <c r="C34" s="51" t="s">
        <v>76</v>
      </c>
      <c r="E34" s="192">
        <v>440</v>
      </c>
      <c r="F34" s="65">
        <f t="shared" si="2"/>
        <v>0</v>
      </c>
    </row>
    <row r="35" spans="1:6" x14ac:dyDescent="0.2">
      <c r="A35" s="51"/>
      <c r="B35" s="49" t="s">
        <v>80</v>
      </c>
      <c r="C35" s="51" t="s">
        <v>76</v>
      </c>
      <c r="E35" s="191">
        <v>400</v>
      </c>
      <c r="F35" s="65">
        <f t="shared" si="2"/>
        <v>0</v>
      </c>
    </row>
    <row r="36" spans="1:6" x14ac:dyDescent="0.2">
      <c r="A36" s="51"/>
      <c r="B36" s="49" t="s">
        <v>81</v>
      </c>
      <c r="C36" s="51" t="s">
        <v>76</v>
      </c>
      <c r="E36" s="192">
        <v>341</v>
      </c>
      <c r="F36" s="65">
        <f t="shared" si="2"/>
        <v>0</v>
      </c>
    </row>
    <row r="37" spans="1:6" x14ac:dyDescent="0.2">
      <c r="A37" s="51"/>
      <c r="B37" s="49" t="s">
        <v>82</v>
      </c>
      <c r="C37" s="51" t="s">
        <v>76</v>
      </c>
      <c r="E37" s="192">
        <v>180</v>
      </c>
      <c r="F37" s="65">
        <f t="shared" si="2"/>
        <v>0</v>
      </c>
    </row>
    <row r="38" spans="1:6" ht="12" customHeight="1" x14ac:dyDescent="0.2">
      <c r="A38" s="51"/>
      <c r="B38" s="49" t="s">
        <v>82</v>
      </c>
      <c r="C38" s="51" t="s">
        <v>76</v>
      </c>
      <c r="E38" s="192">
        <v>180</v>
      </c>
      <c r="F38" s="65">
        <f t="shared" si="2"/>
        <v>0</v>
      </c>
    </row>
    <row r="39" spans="1:6" ht="12" customHeight="1" x14ac:dyDescent="0.2">
      <c r="A39" s="51"/>
      <c r="B39" s="49" t="s">
        <v>83</v>
      </c>
      <c r="C39" s="51" t="s">
        <v>76</v>
      </c>
      <c r="E39" s="192">
        <v>150</v>
      </c>
      <c r="F39" s="65">
        <f t="shared" si="2"/>
        <v>0</v>
      </c>
    </row>
    <row r="40" spans="1:6" ht="12" customHeight="1" x14ac:dyDescent="0.2">
      <c r="A40" s="51"/>
      <c r="B40" s="49" t="s">
        <v>84</v>
      </c>
      <c r="C40" s="51" t="s">
        <v>76</v>
      </c>
      <c r="E40" s="192">
        <v>122</v>
      </c>
      <c r="F40" s="65">
        <f t="shared" si="2"/>
        <v>0</v>
      </c>
    </row>
    <row r="41" spans="1:6" ht="12" customHeight="1" x14ac:dyDescent="0.2">
      <c r="A41" s="51"/>
      <c r="B41" s="49" t="s">
        <v>85</v>
      </c>
      <c r="C41" s="51" t="s">
        <v>76</v>
      </c>
      <c r="E41" s="192">
        <v>1680</v>
      </c>
      <c r="F41" s="65">
        <f t="shared" ref="F41" si="3">E41*D41</f>
        <v>0</v>
      </c>
    </row>
    <row r="42" spans="1:6" ht="12" customHeight="1" x14ac:dyDescent="0.2">
      <c r="A42" s="51"/>
      <c r="B42" s="49" t="s">
        <v>86</v>
      </c>
      <c r="C42" s="51" t="s">
        <v>76</v>
      </c>
      <c r="E42" s="192">
        <v>1680</v>
      </c>
      <c r="F42" s="65">
        <f t="shared" ref="F42" si="4">E42*D42</f>
        <v>0</v>
      </c>
    </row>
    <row r="43" spans="1:6" ht="12" customHeight="1" x14ac:dyDescent="0.2">
      <c r="A43" s="51"/>
      <c r="B43" s="49" t="s">
        <v>87</v>
      </c>
      <c r="C43" s="51" t="s">
        <v>76</v>
      </c>
      <c r="E43" s="192">
        <v>1680</v>
      </c>
      <c r="F43" s="65">
        <f t="shared" ref="F43" si="5">E43*D43</f>
        <v>0</v>
      </c>
    </row>
    <row r="44" spans="1:6" ht="12" customHeight="1" x14ac:dyDescent="0.2">
      <c r="A44" s="51"/>
      <c r="B44" s="49" t="s">
        <v>88</v>
      </c>
      <c r="C44" s="51" t="s">
        <v>76</v>
      </c>
      <c r="E44" s="192">
        <v>4200</v>
      </c>
      <c r="F44" s="65">
        <f t="shared" ref="F44" si="6">E44*D44</f>
        <v>0</v>
      </c>
    </row>
    <row r="45" spans="1:6" ht="12" customHeight="1" x14ac:dyDescent="0.2">
      <c r="A45" s="51"/>
      <c r="E45" s="192"/>
      <c r="F45" s="65"/>
    </row>
    <row r="46" spans="1:6" ht="12" customHeight="1" x14ac:dyDescent="0.2">
      <c r="A46" s="51"/>
      <c r="B46" s="49" t="s">
        <v>89</v>
      </c>
      <c r="C46" s="51" t="s">
        <v>76</v>
      </c>
      <c r="E46" s="192">
        <v>1680</v>
      </c>
      <c r="F46" s="65">
        <f t="shared" ref="F46" si="7">E46*D46</f>
        <v>0</v>
      </c>
    </row>
    <row r="47" spans="1:6" ht="12" customHeight="1" x14ac:dyDescent="0.2">
      <c r="A47" s="51"/>
      <c r="B47" s="49" t="s">
        <v>90</v>
      </c>
      <c r="C47" s="51" t="s">
        <v>76</v>
      </c>
      <c r="E47" s="192">
        <v>1680</v>
      </c>
      <c r="F47" s="65">
        <f t="shared" ref="F47" si="8">E47*D47</f>
        <v>0</v>
      </c>
    </row>
    <row r="48" spans="1:6" ht="12" customHeight="1" x14ac:dyDescent="0.2">
      <c r="A48" s="51"/>
      <c r="B48" s="49" t="s">
        <v>91</v>
      </c>
      <c r="C48" s="51" t="s">
        <v>76</v>
      </c>
      <c r="E48" s="192">
        <v>2677</v>
      </c>
      <c r="F48" s="65">
        <f t="shared" ref="F48" si="9">E48*D48</f>
        <v>0</v>
      </c>
    </row>
    <row r="49" spans="1:8" x14ac:dyDescent="0.2">
      <c r="A49" s="51"/>
      <c r="E49" s="192"/>
      <c r="F49" s="65"/>
      <c r="H49" s="53"/>
    </row>
    <row r="50" spans="1:8" x14ac:dyDescent="0.2">
      <c r="A50" s="51"/>
      <c r="B50" s="49" t="s">
        <v>92</v>
      </c>
      <c r="C50" s="51" t="s">
        <v>76</v>
      </c>
      <c r="D50" s="194"/>
      <c r="E50" s="176">
        <v>2500</v>
      </c>
      <c r="F50" s="65">
        <f>E50*D50</f>
        <v>0</v>
      </c>
      <c r="H50" s="66"/>
    </row>
    <row r="51" spans="1:8" x14ac:dyDescent="0.2">
      <c r="A51" s="51"/>
      <c r="E51" s="49" t="s">
        <v>93</v>
      </c>
      <c r="F51" s="65"/>
    </row>
    <row r="52" spans="1:8" ht="12" thickBot="1" x14ac:dyDescent="0.25">
      <c r="A52" s="49"/>
      <c r="F52" s="65"/>
    </row>
    <row r="53" spans="1:8" ht="12" thickBot="1" x14ac:dyDescent="0.25">
      <c r="A53" s="53" t="s">
        <v>94</v>
      </c>
      <c r="B53" s="122" t="s">
        <v>95</v>
      </c>
      <c r="F53" s="65"/>
    </row>
    <row r="54" spans="1:8" x14ac:dyDescent="0.2">
      <c r="A54" s="49"/>
      <c r="F54" s="65"/>
      <c r="H54" s="53"/>
    </row>
    <row r="55" spans="1:8" x14ac:dyDescent="0.2">
      <c r="A55" s="49"/>
      <c r="B55" s="49" t="s">
        <v>96</v>
      </c>
      <c r="C55" s="51" t="s">
        <v>76</v>
      </c>
      <c r="D55" s="51">
        <v>1</v>
      </c>
      <c r="E55" s="52">
        <f>SW_Mataterial!F227</f>
        <v>13273.02</v>
      </c>
      <c r="F55" s="65">
        <f>E55*D55</f>
        <v>13273.02</v>
      </c>
      <c r="H55" s="66"/>
    </row>
    <row r="56" spans="1:8" x14ac:dyDescent="0.2">
      <c r="A56" s="49"/>
      <c r="B56" s="49" t="s">
        <v>97</v>
      </c>
      <c r="C56" s="51" t="s">
        <v>76</v>
      </c>
      <c r="D56" s="51">
        <v>1</v>
      </c>
      <c r="E56" s="52">
        <f>SW_Mataterial!N268</f>
        <v>371.28700000000003</v>
      </c>
      <c r="F56" s="65">
        <f t="shared" ref="F56:F59" si="10">E56*D56</f>
        <v>371.28700000000003</v>
      </c>
      <c r="H56" s="66"/>
    </row>
    <row r="57" spans="1:8" x14ac:dyDescent="0.2">
      <c r="A57" s="49"/>
      <c r="B57" s="49" t="s">
        <v>98</v>
      </c>
      <c r="C57" s="51" t="s">
        <v>76</v>
      </c>
      <c r="D57" s="51">
        <v>1</v>
      </c>
      <c r="E57" s="52">
        <f>SW_Mataterial!H262</f>
        <v>0</v>
      </c>
      <c r="F57" s="65">
        <f>E57*D57</f>
        <v>0</v>
      </c>
      <c r="H57" s="66"/>
    </row>
    <row r="58" spans="1:8" x14ac:dyDescent="0.2">
      <c r="A58" s="49"/>
      <c r="B58" s="49" t="s">
        <v>99</v>
      </c>
      <c r="C58" s="51" t="s">
        <v>76</v>
      </c>
      <c r="E58" s="52">
        <v>2120</v>
      </c>
      <c r="F58" s="65">
        <f t="shared" si="10"/>
        <v>0</v>
      </c>
      <c r="H58" s="66"/>
    </row>
    <row r="59" spans="1:8" x14ac:dyDescent="0.2">
      <c r="A59" s="49"/>
      <c r="B59" s="49" t="s">
        <v>100</v>
      </c>
      <c r="C59" s="51" t="s">
        <v>76</v>
      </c>
      <c r="E59" s="123">
        <v>1650</v>
      </c>
      <c r="F59" s="65">
        <f t="shared" si="10"/>
        <v>0</v>
      </c>
    </row>
    <row r="60" spans="1:8" x14ac:dyDescent="0.2">
      <c r="A60" s="49"/>
      <c r="E60" s="123"/>
      <c r="F60" s="65"/>
    </row>
    <row r="61" spans="1:8" ht="12" thickBot="1" x14ac:dyDescent="0.25">
      <c r="A61" s="49"/>
      <c r="E61" s="123"/>
      <c r="F61" s="65"/>
    </row>
    <row r="62" spans="1:8" ht="12" thickBot="1" x14ac:dyDescent="0.25">
      <c r="A62" s="53" t="s">
        <v>101</v>
      </c>
      <c r="B62" s="122" t="s">
        <v>102</v>
      </c>
    </row>
    <row r="63" spans="1:8" x14ac:dyDescent="0.2">
      <c r="A63" s="53"/>
    </row>
    <row r="64" spans="1:8" x14ac:dyDescent="0.2">
      <c r="A64" s="49"/>
      <c r="B64" s="128"/>
      <c r="C64" s="51" t="s">
        <v>103</v>
      </c>
      <c r="D64" s="129">
        <v>0</v>
      </c>
      <c r="E64" s="52">
        <v>0</v>
      </c>
      <c r="F64" s="65">
        <f>E64*D64</f>
        <v>0</v>
      </c>
    </row>
    <row r="65" spans="1:8" x14ac:dyDescent="0.2">
      <c r="A65" s="53"/>
    </row>
    <row r="66" spans="1:8" s="51" customFormat="1" x14ac:dyDescent="0.2">
      <c r="A66" s="53"/>
      <c r="B66" s="68"/>
      <c r="E66" s="52"/>
      <c r="F66" s="56"/>
      <c r="G66" s="49"/>
      <c r="H66" s="49"/>
    </row>
    <row r="67" spans="1:8" s="51" customFormat="1" x14ac:dyDescent="0.2">
      <c r="A67" s="53"/>
      <c r="B67" s="68"/>
      <c r="E67" s="123"/>
      <c r="F67" s="56"/>
      <c r="G67" s="49"/>
      <c r="H67" s="49"/>
    </row>
    <row r="68" spans="1:8" s="51" customFormat="1" x14ac:dyDescent="0.2">
      <c r="A68" s="49"/>
      <c r="B68" s="68"/>
      <c r="E68" s="123"/>
      <c r="F68" s="130"/>
      <c r="G68" s="49"/>
      <c r="H68" s="49"/>
    </row>
    <row r="69" spans="1:8" s="51" customFormat="1" x14ac:dyDescent="0.2">
      <c r="A69" s="49"/>
      <c r="B69" s="68"/>
      <c r="E69" s="123"/>
      <c r="F69" s="130"/>
      <c r="G69" s="49"/>
      <c r="H69" s="53"/>
    </row>
    <row r="70" spans="1:8" s="51" customFormat="1" ht="12" thickBot="1" x14ac:dyDescent="0.25">
      <c r="A70" s="49"/>
      <c r="B70" s="131" t="s">
        <v>104</v>
      </c>
      <c r="C70" s="132"/>
      <c r="D70" s="133"/>
      <c r="E70" s="137" t="s">
        <v>105</v>
      </c>
      <c r="F70" s="134">
        <f>SUM(F12:F69)</f>
        <v>13644.307000000001</v>
      </c>
      <c r="G70" s="49"/>
      <c r="H70" s="66"/>
    </row>
    <row r="71" spans="1:8" s="51" customFormat="1" ht="12" thickTop="1" x14ac:dyDescent="0.2">
      <c r="A71" s="53"/>
      <c r="B71" s="49"/>
      <c r="E71" s="123"/>
      <c r="F71" s="135"/>
      <c r="G71" s="49"/>
      <c r="H71" s="49"/>
    </row>
    <row r="72" spans="1:8" s="51" customFormat="1" x14ac:dyDescent="0.2">
      <c r="A72" s="53"/>
      <c r="B72" s="49"/>
      <c r="E72" s="52"/>
      <c r="F72" s="72"/>
      <c r="G72" s="49"/>
      <c r="H72" s="49"/>
    </row>
    <row r="73" spans="1:8" s="51" customFormat="1" x14ac:dyDescent="0.2">
      <c r="B73" s="49"/>
      <c r="E73" s="52"/>
      <c r="F73" s="73"/>
      <c r="G73" s="49"/>
      <c r="H73" s="49"/>
    </row>
  </sheetData>
  <mergeCells count="1">
    <mergeCell ref="A6:F6"/>
  </mergeCells>
  <printOptions gridLines="1"/>
  <pageMargins left="0.46" right="0.42" top="0.37" bottom="0.4" header="0.39" footer="0.38"/>
  <pageSetup paperSize="8" scale="80" orientation="portrait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76AE-EF73-4458-8BF5-87A77EB5EFB0}">
  <sheetPr>
    <tabColor rgb="FFFFC000"/>
  </sheetPr>
  <dimension ref="B1:R295"/>
  <sheetViews>
    <sheetView tabSelected="1" topLeftCell="A209" zoomScale="110" zoomScaleNormal="110" workbookViewId="0">
      <selection activeCell="B223" sqref="B223:F223"/>
    </sheetView>
  </sheetViews>
  <sheetFormatPr defaultColWidth="8.85546875" defaultRowHeight="15" x14ac:dyDescent="0.25"/>
  <cols>
    <col min="1" max="1" width="8.85546875" style="300"/>
    <col min="2" max="2" width="71.85546875" style="300" customWidth="1"/>
    <col min="3" max="3" width="17.5703125" style="301" customWidth="1"/>
    <col min="4" max="4" width="8.85546875" style="301"/>
    <col min="5" max="5" width="18.28515625" style="302" customWidth="1"/>
    <col min="6" max="6" width="14.140625" style="302" customWidth="1"/>
    <col min="7" max="7" width="9" style="300" customWidth="1"/>
    <col min="8" max="8" width="12.140625" style="300" customWidth="1"/>
    <col min="9" max="9" width="12.7109375" style="300" customWidth="1"/>
    <col min="10" max="10" width="12" style="300" bestFit="1" customWidth="1"/>
    <col min="11" max="11" width="17.42578125" style="300" customWidth="1"/>
    <col min="12" max="12" width="12" style="300" bestFit="1" customWidth="1"/>
    <col min="13" max="13" width="12.7109375" style="300" customWidth="1"/>
    <col min="14" max="14" width="14.85546875" style="300" customWidth="1"/>
    <col min="15" max="15" width="12.5703125" style="300" customWidth="1"/>
    <col min="16" max="18" width="10.28515625" style="300" bestFit="1" customWidth="1"/>
    <col min="19" max="16384" width="8.85546875" style="300"/>
  </cols>
  <sheetData>
    <row r="1" spans="2:16" ht="15.75" thickBot="1" x14ac:dyDescent="0.3"/>
    <row r="2" spans="2:16" ht="15.75" thickBot="1" x14ac:dyDescent="0.3">
      <c r="B2" s="303" t="s">
        <v>106</v>
      </c>
      <c r="C2" s="304"/>
      <c r="D2" s="305"/>
    </row>
    <row r="3" spans="2:16" x14ac:dyDescent="0.25">
      <c r="B3" s="306" t="s">
        <v>107</v>
      </c>
      <c r="C3" s="307"/>
      <c r="D3" s="307"/>
      <c r="J3" s="509"/>
      <c r="K3" s="509"/>
      <c r="L3" s="509"/>
      <c r="N3" s="406"/>
      <c r="P3" s="510"/>
    </row>
    <row r="4" spans="2:16" x14ac:dyDescent="0.25">
      <c r="B4" s="309" t="s">
        <v>108</v>
      </c>
      <c r="C4" s="307" t="s">
        <v>109</v>
      </c>
      <c r="D4" s="307" t="s">
        <v>28</v>
      </c>
      <c r="E4" s="308" t="s">
        <v>110</v>
      </c>
      <c r="F4" s="308" t="s">
        <v>105</v>
      </c>
      <c r="H4" s="301"/>
      <c r="J4" s="301"/>
      <c r="K4" s="301"/>
      <c r="L4" s="301"/>
      <c r="P4" s="511"/>
    </row>
    <row r="6" spans="2:16" x14ac:dyDescent="0.25">
      <c r="B6" s="460" t="s">
        <v>111</v>
      </c>
    </row>
    <row r="7" spans="2:16" x14ac:dyDescent="0.25">
      <c r="B7" s="512" t="s">
        <v>112</v>
      </c>
      <c r="D7" s="301" t="s">
        <v>113</v>
      </c>
      <c r="E7" s="302">
        <v>270</v>
      </c>
      <c r="F7" s="302">
        <f t="shared" ref="F7:F13" si="0">C7*E7</f>
        <v>0</v>
      </c>
      <c r="J7" s="302"/>
      <c r="N7" s="302"/>
      <c r="P7" s="302"/>
    </row>
    <row r="8" spans="2:16" x14ac:dyDescent="0.25">
      <c r="B8" s="512" t="s">
        <v>114</v>
      </c>
      <c r="D8" s="301" t="s">
        <v>113</v>
      </c>
      <c r="E8" s="302">
        <f>13169/60</f>
        <v>219.48333333333332</v>
      </c>
      <c r="F8" s="302">
        <f t="shared" si="0"/>
        <v>0</v>
      </c>
      <c r="H8" s="302"/>
      <c r="J8" s="302"/>
      <c r="N8" s="302"/>
      <c r="P8" s="302"/>
    </row>
    <row r="9" spans="2:16" x14ac:dyDescent="0.25">
      <c r="B9" s="512" t="s">
        <v>115</v>
      </c>
      <c r="D9" s="301" t="s">
        <v>113</v>
      </c>
      <c r="E9" s="302">
        <v>203</v>
      </c>
      <c r="F9" s="302">
        <f t="shared" si="0"/>
        <v>0</v>
      </c>
      <c r="H9" s="302"/>
      <c r="J9" s="302"/>
      <c r="N9" s="302"/>
      <c r="P9" s="302"/>
    </row>
    <row r="10" spans="2:16" x14ac:dyDescent="0.25">
      <c r="B10" s="512" t="s">
        <v>116</v>
      </c>
      <c r="D10" s="301" t="s">
        <v>113</v>
      </c>
      <c r="E10" s="302">
        <v>187</v>
      </c>
      <c r="F10" s="302">
        <f t="shared" si="0"/>
        <v>0</v>
      </c>
      <c r="H10" s="302"/>
      <c r="J10" s="302"/>
      <c r="N10" s="302"/>
      <c r="P10" s="302"/>
    </row>
    <row r="11" spans="2:16" x14ac:dyDescent="0.25">
      <c r="B11" s="512" t="s">
        <v>117</v>
      </c>
      <c r="D11" s="301" t="s">
        <v>113</v>
      </c>
      <c r="E11" s="302">
        <v>140.91</v>
      </c>
      <c r="F11" s="302">
        <f t="shared" si="0"/>
        <v>0</v>
      </c>
      <c r="H11" s="302"/>
      <c r="J11" s="302"/>
      <c r="N11" s="302"/>
      <c r="P11" s="302"/>
    </row>
    <row r="12" spans="2:16" x14ac:dyDescent="0.25">
      <c r="B12" s="512" t="s">
        <v>118</v>
      </c>
      <c r="D12" s="301" t="s">
        <v>113</v>
      </c>
      <c r="E12" s="302">
        <f>7072.78/53</f>
        <v>133.44867924528302</v>
      </c>
      <c r="F12" s="302">
        <f t="shared" si="0"/>
        <v>0</v>
      </c>
      <c r="H12" s="302"/>
      <c r="J12" s="302"/>
      <c r="N12" s="302"/>
      <c r="P12" s="302"/>
    </row>
    <row r="13" spans="2:16" x14ac:dyDescent="0.25">
      <c r="B13" s="512" t="s">
        <v>119</v>
      </c>
      <c r="C13" s="480"/>
      <c r="D13" s="301" t="s">
        <v>113</v>
      </c>
      <c r="E13" s="302">
        <f>21819.2/243</f>
        <v>89.790946502057622</v>
      </c>
      <c r="F13" s="302">
        <f t="shared" si="0"/>
        <v>0</v>
      </c>
      <c r="G13" s="512"/>
      <c r="H13" s="302"/>
      <c r="J13" s="302"/>
      <c r="N13" s="302"/>
      <c r="P13" s="302"/>
    </row>
    <row r="14" spans="2:16" x14ac:dyDescent="0.25">
      <c r="B14" s="512" t="s">
        <v>120</v>
      </c>
      <c r="C14" s="480"/>
      <c r="D14" s="301" t="s">
        <v>113</v>
      </c>
      <c r="E14" s="302">
        <v>87.11</v>
      </c>
      <c r="F14" s="302">
        <f t="shared" ref="F14:F39" si="1">C14*E14</f>
        <v>0</v>
      </c>
      <c r="J14" s="302"/>
      <c r="N14" s="302"/>
      <c r="P14" s="302"/>
    </row>
    <row r="15" spans="2:16" x14ac:dyDescent="0.25">
      <c r="B15" s="512" t="s">
        <v>121</v>
      </c>
      <c r="C15" s="480"/>
      <c r="D15" s="301" t="s">
        <v>113</v>
      </c>
      <c r="E15" s="302">
        <v>87.11</v>
      </c>
      <c r="F15" s="302">
        <f t="shared" si="1"/>
        <v>0</v>
      </c>
      <c r="J15" s="302"/>
      <c r="N15" s="302"/>
      <c r="P15" s="302"/>
    </row>
    <row r="16" spans="2:16" x14ac:dyDescent="0.25">
      <c r="B16" s="460" t="s">
        <v>122</v>
      </c>
      <c r="D16" s="301" t="s">
        <v>113</v>
      </c>
      <c r="H16" s="302"/>
      <c r="J16" s="302"/>
      <c r="N16" s="302"/>
      <c r="P16" s="302"/>
    </row>
    <row r="17" spans="2:16" x14ac:dyDescent="0.25">
      <c r="B17" s="388" t="s">
        <v>123</v>
      </c>
      <c r="D17" s="301" t="s">
        <v>113</v>
      </c>
      <c r="J17" s="302"/>
      <c r="N17" s="302"/>
      <c r="P17" s="302"/>
    </row>
    <row r="18" spans="2:16" x14ac:dyDescent="0.25">
      <c r="B18" s="388" t="s">
        <v>124</v>
      </c>
      <c r="D18" s="301" t="s">
        <v>113</v>
      </c>
      <c r="J18" s="302"/>
      <c r="N18" s="302"/>
      <c r="P18" s="302"/>
    </row>
    <row r="19" spans="2:16" x14ac:dyDescent="0.25">
      <c r="B19" s="388" t="s">
        <v>125</v>
      </c>
      <c r="D19" s="301" t="s">
        <v>113</v>
      </c>
      <c r="E19" s="302">
        <v>232</v>
      </c>
      <c r="F19" s="302">
        <f t="shared" si="1"/>
        <v>0</v>
      </c>
      <c r="J19" s="302"/>
      <c r="N19" s="302"/>
      <c r="P19" s="302"/>
    </row>
    <row r="20" spans="2:16" x14ac:dyDescent="0.25">
      <c r="B20" s="388" t="s">
        <v>126</v>
      </c>
      <c r="D20" s="301" t="s">
        <v>113</v>
      </c>
      <c r="E20" s="302">
        <v>232</v>
      </c>
      <c r="F20" s="302">
        <f t="shared" si="1"/>
        <v>0</v>
      </c>
      <c r="J20" s="302"/>
      <c r="N20" s="302"/>
      <c r="P20" s="302"/>
    </row>
    <row r="21" spans="2:16" x14ac:dyDescent="0.25">
      <c r="B21" s="388" t="s">
        <v>127</v>
      </c>
      <c r="D21" s="301" t="s">
        <v>113</v>
      </c>
      <c r="E21" s="390">
        <v>120.08</v>
      </c>
      <c r="F21" s="302">
        <f t="shared" si="1"/>
        <v>0</v>
      </c>
      <c r="J21" s="302"/>
      <c r="N21" s="302"/>
      <c r="P21" s="302"/>
    </row>
    <row r="22" spans="2:16" x14ac:dyDescent="0.25">
      <c r="B22" s="388" t="s">
        <v>128</v>
      </c>
      <c r="D22" s="301" t="s">
        <v>113</v>
      </c>
      <c r="E22" s="390">
        <v>89</v>
      </c>
      <c r="F22" s="302">
        <f t="shared" si="1"/>
        <v>0</v>
      </c>
      <c r="J22" s="302"/>
      <c r="N22" s="302"/>
      <c r="P22" s="302"/>
    </row>
    <row r="23" spans="2:16" x14ac:dyDescent="0.25">
      <c r="B23" s="388" t="s">
        <v>129</v>
      </c>
      <c r="C23" s="480"/>
      <c r="D23" s="301" t="s">
        <v>113</v>
      </c>
      <c r="E23" s="390">
        <v>62.05</v>
      </c>
      <c r="F23" s="302">
        <f t="shared" si="1"/>
        <v>0</v>
      </c>
      <c r="J23" s="302"/>
      <c r="N23" s="302"/>
      <c r="P23" s="302"/>
    </row>
    <row r="24" spans="2:16" x14ac:dyDescent="0.25">
      <c r="B24" s="388" t="s">
        <v>130</v>
      </c>
      <c r="D24" s="301" t="s">
        <v>113</v>
      </c>
      <c r="E24" s="390">
        <v>51.55</v>
      </c>
      <c r="F24" s="302">
        <f t="shared" si="1"/>
        <v>0</v>
      </c>
      <c r="J24" s="302"/>
      <c r="N24" s="302"/>
      <c r="P24" s="302"/>
    </row>
    <row r="25" spans="2:16" x14ac:dyDescent="0.25">
      <c r="B25" s="388" t="s">
        <v>131</v>
      </c>
      <c r="C25" s="301">
        <v>25</v>
      </c>
      <c r="D25" s="301" t="s">
        <v>113</v>
      </c>
      <c r="E25" s="390">
        <v>41</v>
      </c>
      <c r="F25" s="302">
        <f t="shared" si="1"/>
        <v>1025</v>
      </c>
      <c r="J25" s="302"/>
      <c r="N25" s="302"/>
      <c r="P25" s="302"/>
    </row>
    <row r="26" spans="2:16" x14ac:dyDescent="0.25">
      <c r="B26" s="388" t="s">
        <v>132</v>
      </c>
      <c r="D26" s="301" t="s">
        <v>113</v>
      </c>
      <c r="E26" s="390">
        <v>26</v>
      </c>
      <c r="F26" s="302">
        <f t="shared" si="1"/>
        <v>0</v>
      </c>
      <c r="J26" s="302"/>
      <c r="N26" s="302"/>
      <c r="P26" s="302"/>
    </row>
    <row r="27" spans="2:16" x14ac:dyDescent="0.25">
      <c r="B27" s="388" t="s">
        <v>133</v>
      </c>
      <c r="D27" s="301" t="s">
        <v>113</v>
      </c>
      <c r="E27" s="390">
        <v>9.7200000000000006</v>
      </c>
      <c r="F27" s="302">
        <f t="shared" si="1"/>
        <v>0</v>
      </c>
      <c r="J27" s="302"/>
      <c r="N27" s="302"/>
      <c r="P27" s="302"/>
    </row>
    <row r="28" spans="2:16" x14ac:dyDescent="0.25">
      <c r="B28" s="388"/>
      <c r="E28" s="390"/>
      <c r="H28" s="302"/>
      <c r="J28" s="302"/>
      <c r="K28" s="302"/>
      <c r="N28" s="302"/>
      <c r="P28" s="302"/>
    </row>
    <row r="29" spans="2:16" x14ac:dyDescent="0.25">
      <c r="B29" s="460" t="s">
        <v>134</v>
      </c>
      <c r="J29" s="302"/>
      <c r="N29" s="302"/>
      <c r="P29" s="302"/>
    </row>
    <row r="30" spans="2:16" x14ac:dyDescent="0.25">
      <c r="B30" s="388" t="s">
        <v>135</v>
      </c>
      <c r="D30" s="301" t="s">
        <v>113</v>
      </c>
      <c r="E30" s="302">
        <v>96.33</v>
      </c>
      <c r="F30" s="302">
        <f t="shared" si="1"/>
        <v>0</v>
      </c>
      <c r="J30" s="302"/>
      <c r="N30" s="302"/>
      <c r="P30" s="302"/>
    </row>
    <row r="31" spans="2:16" x14ac:dyDescent="0.25">
      <c r="B31" s="506" t="s">
        <v>136</v>
      </c>
      <c r="D31" s="301" t="s">
        <v>113</v>
      </c>
      <c r="E31" s="302">
        <v>54.33</v>
      </c>
      <c r="F31" s="302">
        <f t="shared" si="1"/>
        <v>0</v>
      </c>
    </row>
    <row r="32" spans="2:16" x14ac:dyDescent="0.25">
      <c r="B32" s="506" t="s">
        <v>137</v>
      </c>
      <c r="D32" s="301" t="s">
        <v>113</v>
      </c>
      <c r="E32" s="302">
        <v>49.833333333333336</v>
      </c>
      <c r="F32" s="302">
        <f t="shared" si="1"/>
        <v>0</v>
      </c>
    </row>
    <row r="33" spans="2:8" x14ac:dyDescent="0.25">
      <c r="B33" s="506" t="s">
        <v>138</v>
      </c>
      <c r="D33" s="301" t="s">
        <v>113</v>
      </c>
      <c r="E33" s="302">
        <v>40</v>
      </c>
      <c r="F33" s="302">
        <f t="shared" si="1"/>
        <v>0</v>
      </c>
    </row>
    <row r="34" spans="2:8" x14ac:dyDescent="0.25">
      <c r="B34" s="506" t="s">
        <v>139</v>
      </c>
      <c r="D34" s="301" t="s">
        <v>113</v>
      </c>
      <c r="E34" s="302">
        <f>9427.2/237</f>
        <v>39.777215189873424</v>
      </c>
      <c r="F34" s="302">
        <f t="shared" si="1"/>
        <v>0</v>
      </c>
    </row>
    <row r="35" spans="2:8" x14ac:dyDescent="0.25">
      <c r="B35" s="506" t="s">
        <v>140</v>
      </c>
      <c r="D35" s="301" t="s">
        <v>113</v>
      </c>
      <c r="E35" s="302">
        <v>31</v>
      </c>
      <c r="F35" s="302">
        <f t="shared" si="1"/>
        <v>0</v>
      </c>
    </row>
    <row r="36" spans="2:8" x14ac:dyDescent="0.25">
      <c r="B36" s="506" t="s">
        <v>141</v>
      </c>
      <c r="D36" s="301" t="s">
        <v>113</v>
      </c>
      <c r="E36" s="302">
        <v>18</v>
      </c>
      <c r="F36" s="302">
        <f t="shared" si="1"/>
        <v>0</v>
      </c>
    </row>
    <row r="37" spans="2:8" x14ac:dyDescent="0.25">
      <c r="B37" s="506" t="s">
        <v>142</v>
      </c>
      <c r="D37" s="301" t="s">
        <v>113</v>
      </c>
      <c r="E37" s="302">
        <v>14.166666666666666</v>
      </c>
      <c r="F37" s="302">
        <f t="shared" si="1"/>
        <v>0</v>
      </c>
    </row>
    <row r="38" spans="2:8" ht="16.5" customHeight="1" x14ac:dyDescent="0.25">
      <c r="B38" s="506" t="s">
        <v>143</v>
      </c>
      <c r="D38" s="301" t="s">
        <v>113</v>
      </c>
      <c r="E38" s="302">
        <v>11.666666666666666</v>
      </c>
      <c r="F38" s="302">
        <f t="shared" si="1"/>
        <v>0</v>
      </c>
    </row>
    <row r="39" spans="2:8" x14ac:dyDescent="0.25">
      <c r="B39" s="506" t="s">
        <v>144</v>
      </c>
      <c r="C39" s="301">
        <v>6</v>
      </c>
      <c r="D39" s="301" t="s">
        <v>113</v>
      </c>
      <c r="E39" s="302">
        <v>12</v>
      </c>
      <c r="F39" s="302">
        <f t="shared" si="1"/>
        <v>72</v>
      </c>
      <c r="H39" s="302"/>
    </row>
    <row r="40" spans="2:8" x14ac:dyDescent="0.25">
      <c r="B40" s="316" t="s">
        <v>145</v>
      </c>
      <c r="E40" s="301"/>
    </row>
    <row r="41" spans="2:8" x14ac:dyDescent="0.25">
      <c r="B41" s="512" t="s">
        <v>146</v>
      </c>
      <c r="D41" s="301" t="s">
        <v>76</v>
      </c>
      <c r="E41" s="302">
        <v>159</v>
      </c>
      <c r="F41" s="302">
        <f t="shared" ref="F41:F52" si="2">C41*E41</f>
        <v>0</v>
      </c>
    </row>
    <row r="42" spans="2:8" x14ac:dyDescent="0.25">
      <c r="B42" s="512" t="s">
        <v>147</v>
      </c>
      <c r="D42" s="301" t="s">
        <v>76</v>
      </c>
      <c r="E42" s="302">
        <v>141.5</v>
      </c>
      <c r="F42" s="302">
        <f t="shared" si="2"/>
        <v>0</v>
      </c>
    </row>
    <row r="43" spans="2:8" x14ac:dyDescent="0.25">
      <c r="B43" s="512" t="s">
        <v>148</v>
      </c>
      <c r="C43" s="301">
        <v>2</v>
      </c>
      <c r="D43" s="301" t="s">
        <v>76</v>
      </c>
      <c r="E43" s="302">
        <v>45</v>
      </c>
      <c r="F43" s="302">
        <f t="shared" si="2"/>
        <v>90</v>
      </c>
    </row>
    <row r="44" spans="2:8" x14ac:dyDescent="0.25">
      <c r="B44" s="512" t="s">
        <v>149</v>
      </c>
      <c r="D44" s="301" t="s">
        <v>76</v>
      </c>
      <c r="E44" s="302">
        <v>49</v>
      </c>
      <c r="F44" s="302">
        <f t="shared" si="2"/>
        <v>0</v>
      </c>
    </row>
    <row r="45" spans="2:8" x14ac:dyDescent="0.25">
      <c r="B45" s="512" t="s">
        <v>150</v>
      </c>
      <c r="C45" s="301">
        <v>2</v>
      </c>
      <c r="D45" s="301" t="s">
        <v>76</v>
      </c>
      <c r="E45" s="302">
        <v>44</v>
      </c>
      <c r="F45" s="302">
        <f t="shared" si="2"/>
        <v>88</v>
      </c>
    </row>
    <row r="46" spans="2:8" x14ac:dyDescent="0.25">
      <c r="B46" s="512" t="s">
        <v>151</v>
      </c>
      <c r="D46" s="301" t="s">
        <v>76</v>
      </c>
      <c r="E46" s="302">
        <v>51</v>
      </c>
      <c r="F46" s="302">
        <f t="shared" si="2"/>
        <v>0</v>
      </c>
    </row>
    <row r="47" spans="2:8" x14ac:dyDescent="0.25">
      <c r="B47" s="512" t="s">
        <v>152</v>
      </c>
      <c r="D47" s="301" t="s">
        <v>76</v>
      </c>
      <c r="E47" s="302">
        <v>37</v>
      </c>
      <c r="F47" s="302">
        <f t="shared" si="2"/>
        <v>0</v>
      </c>
    </row>
    <row r="48" spans="2:8" x14ac:dyDescent="0.25">
      <c r="B48" s="512" t="s">
        <v>153</v>
      </c>
      <c r="D48" s="301" t="s">
        <v>76</v>
      </c>
      <c r="E48" s="302">
        <v>23.5</v>
      </c>
      <c r="F48" s="302">
        <f t="shared" si="2"/>
        <v>0</v>
      </c>
    </row>
    <row r="49" spans="2:9" x14ac:dyDescent="0.25">
      <c r="B49" s="300" t="s">
        <v>154</v>
      </c>
      <c r="D49" s="301" t="s">
        <v>76</v>
      </c>
      <c r="E49" s="302">
        <v>15</v>
      </c>
      <c r="F49" s="302">
        <f t="shared" si="2"/>
        <v>0</v>
      </c>
    </row>
    <row r="50" spans="2:9" x14ac:dyDescent="0.25">
      <c r="B50" s="300" t="s">
        <v>155</v>
      </c>
      <c r="D50" s="301" t="s">
        <v>76</v>
      </c>
      <c r="E50" s="302">
        <v>12.5</v>
      </c>
      <c r="F50" s="302">
        <f t="shared" si="2"/>
        <v>0</v>
      </c>
    </row>
    <row r="51" spans="2:9" x14ac:dyDescent="0.25">
      <c r="B51" s="300" t="s">
        <v>156</v>
      </c>
      <c r="D51" s="301" t="s">
        <v>76</v>
      </c>
      <c r="E51" s="302">
        <v>5.5</v>
      </c>
      <c r="F51" s="302">
        <f t="shared" si="2"/>
        <v>0</v>
      </c>
    </row>
    <row r="52" spans="2:9" x14ac:dyDescent="0.25">
      <c r="B52" s="300" t="s">
        <v>157</v>
      </c>
      <c r="D52" s="301" t="s">
        <v>76</v>
      </c>
      <c r="E52" s="302">
        <v>5.5</v>
      </c>
      <c r="F52" s="302">
        <f t="shared" si="2"/>
        <v>0</v>
      </c>
    </row>
    <row r="53" spans="2:9" ht="13.9" customHeight="1" x14ac:dyDescent="0.25">
      <c r="B53" s="316" t="s">
        <v>158</v>
      </c>
      <c r="D53" s="300"/>
      <c r="E53" s="300"/>
      <c r="F53" s="300"/>
      <c r="H53" s="302"/>
      <c r="I53" s="513"/>
    </row>
    <row r="54" spans="2:9" x14ac:dyDescent="0.25">
      <c r="D54" s="300"/>
      <c r="E54" s="300"/>
      <c r="F54" s="300"/>
    </row>
    <row r="55" spans="2:9" x14ac:dyDescent="0.25">
      <c r="B55" t="s">
        <v>159</v>
      </c>
      <c r="D55" s="301" t="s">
        <v>76</v>
      </c>
      <c r="E55" s="302">
        <v>490</v>
      </c>
      <c r="F55" s="302">
        <f>C55*E55</f>
        <v>0</v>
      </c>
    </row>
    <row r="56" spans="2:9" x14ac:dyDescent="0.25">
      <c r="B56" t="s">
        <v>160</v>
      </c>
      <c r="D56" s="301" t="s">
        <v>76</v>
      </c>
      <c r="E56" s="302">
        <v>650</v>
      </c>
      <c r="F56" s="302">
        <f>C56*E56</f>
        <v>0</v>
      </c>
    </row>
    <row r="57" spans="2:9" x14ac:dyDescent="0.25">
      <c r="B57" t="s">
        <v>161</v>
      </c>
      <c r="D57" s="301" t="s">
        <v>76</v>
      </c>
      <c r="E57" s="302">
        <v>1100</v>
      </c>
      <c r="F57" s="302">
        <f>C57*E57</f>
        <v>0</v>
      </c>
    </row>
    <row r="58" spans="2:9" x14ac:dyDescent="0.25">
      <c r="B58" t="s">
        <v>162</v>
      </c>
      <c r="D58" s="301" t="s">
        <v>76</v>
      </c>
      <c r="E58" s="302">
        <v>460</v>
      </c>
      <c r="F58" s="302">
        <f>C58*E58</f>
        <v>0</v>
      </c>
    </row>
    <row r="59" spans="2:9" x14ac:dyDescent="0.25">
      <c r="B59" t="s">
        <v>163</v>
      </c>
      <c r="D59" s="301" t="s">
        <v>76</v>
      </c>
      <c r="E59" s="302">
        <v>580</v>
      </c>
      <c r="F59" s="302">
        <f>C59*E59</f>
        <v>0</v>
      </c>
    </row>
    <row r="60" spans="2:9" x14ac:dyDescent="0.25">
      <c r="B60" t="s">
        <v>164</v>
      </c>
      <c r="D60" s="301" t="s">
        <v>76</v>
      </c>
      <c r="E60" s="302">
        <v>320</v>
      </c>
      <c r="F60" s="302">
        <f t="shared" ref="F60:F160" si="3">C60*E60</f>
        <v>0</v>
      </c>
    </row>
    <row r="61" spans="2:9" x14ac:dyDescent="0.25">
      <c r="B61" s="300" t="s">
        <v>165</v>
      </c>
      <c r="D61" s="301" t="s">
        <v>76</v>
      </c>
      <c r="E61" s="302">
        <v>420</v>
      </c>
      <c r="F61" s="302">
        <f t="shared" si="3"/>
        <v>0</v>
      </c>
    </row>
    <row r="62" spans="2:9" x14ac:dyDescent="0.25">
      <c r="B62" s="300" t="s">
        <v>166</v>
      </c>
      <c r="D62" s="301" t="s">
        <v>76</v>
      </c>
      <c r="E62" s="302">
        <v>562.39</v>
      </c>
      <c r="F62" s="302">
        <f t="shared" si="3"/>
        <v>0</v>
      </c>
    </row>
    <row r="63" spans="2:9" x14ac:dyDescent="0.25">
      <c r="B63" s="300" t="s">
        <v>167</v>
      </c>
      <c r="D63" s="301" t="s">
        <v>76</v>
      </c>
      <c r="E63" s="302">
        <v>563.39</v>
      </c>
      <c r="F63" s="302">
        <f t="shared" si="3"/>
        <v>0</v>
      </c>
    </row>
    <row r="64" spans="2:9" x14ac:dyDescent="0.25">
      <c r="B64" s="300" t="s">
        <v>168</v>
      </c>
      <c r="D64" s="301" t="s">
        <v>76</v>
      </c>
      <c r="E64" s="302">
        <v>380</v>
      </c>
      <c r="F64" s="302">
        <f t="shared" si="3"/>
        <v>0</v>
      </c>
    </row>
    <row r="65" spans="2:6" x14ac:dyDescent="0.25">
      <c r="B65" s="512" t="s">
        <v>169</v>
      </c>
      <c r="D65" s="301" t="s">
        <v>76</v>
      </c>
      <c r="E65" s="302">
        <v>360</v>
      </c>
      <c r="F65" s="302">
        <f t="shared" si="3"/>
        <v>0</v>
      </c>
    </row>
    <row r="66" spans="2:6" x14ac:dyDescent="0.25">
      <c r="B66" s="300" t="s">
        <v>170</v>
      </c>
      <c r="D66" s="301" t="s">
        <v>76</v>
      </c>
      <c r="E66" s="302">
        <v>540</v>
      </c>
      <c r="F66" s="302">
        <f t="shared" si="3"/>
        <v>0</v>
      </c>
    </row>
    <row r="67" spans="2:6" x14ac:dyDescent="0.25">
      <c r="B67" s="300" t="s">
        <v>171</v>
      </c>
      <c r="D67" s="301" t="s">
        <v>76</v>
      </c>
      <c r="E67" s="302">
        <v>450</v>
      </c>
      <c r="F67" s="302">
        <f t="shared" si="3"/>
        <v>0</v>
      </c>
    </row>
    <row r="68" spans="2:6" x14ac:dyDescent="0.25">
      <c r="B68" s="300" t="s">
        <v>172</v>
      </c>
      <c r="D68" s="301" t="s">
        <v>76</v>
      </c>
      <c r="E68" s="302">
        <v>360</v>
      </c>
      <c r="F68" s="302">
        <f t="shared" si="3"/>
        <v>0</v>
      </c>
    </row>
    <row r="69" spans="2:6" x14ac:dyDescent="0.25">
      <c r="B69" s="300" t="s">
        <v>173</v>
      </c>
      <c r="D69" s="301" t="s">
        <v>76</v>
      </c>
      <c r="E69" s="302">
        <v>320</v>
      </c>
      <c r="F69" s="302">
        <f t="shared" si="3"/>
        <v>0</v>
      </c>
    </row>
    <row r="70" spans="2:6" x14ac:dyDescent="0.25">
      <c r="B70" s="300" t="s">
        <v>174</v>
      </c>
      <c r="D70" s="301" t="s">
        <v>76</v>
      </c>
      <c r="E70" s="302">
        <v>190</v>
      </c>
      <c r="F70" s="302">
        <f t="shared" si="3"/>
        <v>0</v>
      </c>
    </row>
    <row r="71" spans="2:6" x14ac:dyDescent="0.25">
      <c r="B71" s="300" t="s">
        <v>175</v>
      </c>
      <c r="D71" s="301" t="s">
        <v>76</v>
      </c>
      <c r="E71" s="302">
        <v>250</v>
      </c>
      <c r="F71" s="302">
        <f t="shared" si="3"/>
        <v>0</v>
      </c>
    </row>
    <row r="72" spans="2:6" x14ac:dyDescent="0.25">
      <c r="B72" s="300" t="s">
        <v>176</v>
      </c>
      <c r="D72" s="301" t="s">
        <v>76</v>
      </c>
      <c r="E72" s="302">
        <v>190</v>
      </c>
      <c r="F72" s="302">
        <f t="shared" si="3"/>
        <v>0</v>
      </c>
    </row>
    <row r="73" spans="2:6" x14ac:dyDescent="0.25">
      <c r="B73" s="300" t="s">
        <v>177</v>
      </c>
    </row>
    <row r="74" spans="2:6" x14ac:dyDescent="0.25">
      <c r="B74" s="300" t="s">
        <v>178</v>
      </c>
      <c r="D74" s="301" t="s">
        <v>76</v>
      </c>
      <c r="E74" s="302">
        <v>85.25</v>
      </c>
      <c r="F74" s="302">
        <f t="shared" si="3"/>
        <v>0</v>
      </c>
    </row>
    <row r="75" spans="2:6" x14ac:dyDescent="0.25">
      <c r="B75" s="300" t="s">
        <v>179</v>
      </c>
      <c r="D75" s="301" t="s">
        <v>76</v>
      </c>
      <c r="E75" s="302">
        <v>210</v>
      </c>
      <c r="F75" s="302">
        <f t="shared" si="3"/>
        <v>0</v>
      </c>
    </row>
    <row r="76" spans="2:6" x14ac:dyDescent="0.25">
      <c r="B76" s="512" t="s">
        <v>180</v>
      </c>
      <c r="D76" s="301" t="s">
        <v>76</v>
      </c>
      <c r="E76" s="302">
        <v>62</v>
      </c>
      <c r="F76" s="302">
        <f t="shared" si="3"/>
        <v>0</v>
      </c>
    </row>
    <row r="77" spans="2:6" x14ac:dyDescent="0.25">
      <c r="B77" s="512" t="s">
        <v>181</v>
      </c>
      <c r="D77" s="301" t="s">
        <v>76</v>
      </c>
      <c r="E77" s="302">
        <v>61</v>
      </c>
      <c r="F77" s="302">
        <f t="shared" si="3"/>
        <v>0</v>
      </c>
    </row>
    <row r="78" spans="2:6" x14ac:dyDescent="0.25">
      <c r="B78" s="300" t="s">
        <v>182</v>
      </c>
      <c r="D78" s="301" t="s">
        <v>76</v>
      </c>
      <c r="E78" s="302">
        <v>120</v>
      </c>
      <c r="F78" s="302">
        <f t="shared" si="3"/>
        <v>0</v>
      </c>
    </row>
    <row r="79" spans="2:6" x14ac:dyDescent="0.25">
      <c r="B79" s="300" t="s">
        <v>183</v>
      </c>
      <c r="D79" s="301" t="s">
        <v>76</v>
      </c>
      <c r="E79" s="302">
        <v>85</v>
      </c>
      <c r="F79" s="302">
        <f t="shared" si="3"/>
        <v>0</v>
      </c>
    </row>
    <row r="80" spans="2:6" x14ac:dyDescent="0.25">
      <c r="B80" s="300" t="s">
        <v>184</v>
      </c>
      <c r="D80" s="301" t="s">
        <v>76</v>
      </c>
      <c r="E80" s="302">
        <v>18</v>
      </c>
      <c r="F80" s="302">
        <f t="shared" si="3"/>
        <v>0</v>
      </c>
    </row>
    <row r="81" spans="2:6" x14ac:dyDescent="0.25">
      <c r="B81" s="300" t="s">
        <v>185</v>
      </c>
      <c r="D81" s="301" t="s">
        <v>76</v>
      </c>
      <c r="E81" s="302">
        <v>16</v>
      </c>
      <c r="F81" s="302">
        <f t="shared" si="3"/>
        <v>0</v>
      </c>
    </row>
    <row r="82" spans="2:6" x14ac:dyDescent="0.25">
      <c r="B82" s="300" t="s">
        <v>186</v>
      </c>
      <c r="D82" s="301" t="s">
        <v>76</v>
      </c>
      <c r="E82" s="302">
        <v>12</v>
      </c>
      <c r="F82" s="302">
        <f t="shared" si="3"/>
        <v>0</v>
      </c>
    </row>
    <row r="83" spans="2:6" x14ac:dyDescent="0.25">
      <c r="B83" s="300" t="s">
        <v>187</v>
      </c>
      <c r="D83" s="301" t="s">
        <v>76</v>
      </c>
      <c r="E83" s="302">
        <v>16</v>
      </c>
      <c r="F83" s="302">
        <f t="shared" si="3"/>
        <v>0</v>
      </c>
    </row>
    <row r="84" spans="2:6" x14ac:dyDescent="0.25">
      <c r="B84" s="637" t="s">
        <v>1261</v>
      </c>
      <c r="C84" s="301">
        <v>1</v>
      </c>
      <c r="D84" s="638" t="s">
        <v>76</v>
      </c>
      <c r="E84" s="302">
        <v>14</v>
      </c>
      <c r="F84" s="302">
        <f t="shared" si="3"/>
        <v>14</v>
      </c>
    </row>
    <row r="85" spans="2:6" x14ac:dyDescent="0.25">
      <c r="B85" s="512" t="s">
        <v>188</v>
      </c>
      <c r="D85" s="301" t="s">
        <v>76</v>
      </c>
      <c r="E85" s="302">
        <v>12</v>
      </c>
      <c r="F85" s="302">
        <f t="shared" si="3"/>
        <v>0</v>
      </c>
    </row>
    <row r="86" spans="2:6" x14ac:dyDescent="0.25">
      <c r="B86" s="300" t="s">
        <v>189</v>
      </c>
      <c r="D86" s="301" t="s">
        <v>76</v>
      </c>
      <c r="E86" s="302">
        <v>12</v>
      </c>
      <c r="F86" s="302">
        <f t="shared" si="3"/>
        <v>0</v>
      </c>
    </row>
    <row r="87" spans="2:6" x14ac:dyDescent="0.25">
      <c r="B87" s="300" t="s">
        <v>190</v>
      </c>
      <c r="D87" s="301" t="s">
        <v>76</v>
      </c>
      <c r="E87" s="302">
        <v>1.9</v>
      </c>
      <c r="F87" s="302">
        <f t="shared" si="3"/>
        <v>0</v>
      </c>
    </row>
    <row r="88" spans="2:6" x14ac:dyDescent="0.25">
      <c r="B88" s="300" t="s">
        <v>191</v>
      </c>
      <c r="D88" s="301" t="s">
        <v>113</v>
      </c>
      <c r="E88" s="302">
        <v>2</v>
      </c>
      <c r="F88" s="302">
        <f t="shared" si="3"/>
        <v>0</v>
      </c>
    </row>
    <row r="89" spans="2:6" x14ac:dyDescent="0.25">
      <c r="B89" s="300" t="s">
        <v>192</v>
      </c>
      <c r="D89" s="301" t="s">
        <v>76</v>
      </c>
      <c r="E89" s="501">
        <v>26.4</v>
      </c>
      <c r="F89" s="302">
        <f t="shared" si="3"/>
        <v>0</v>
      </c>
    </row>
    <row r="90" spans="2:6" x14ac:dyDescent="0.25">
      <c r="B90" s="300" t="s">
        <v>193</v>
      </c>
      <c r="D90" s="301" t="s">
        <v>76</v>
      </c>
      <c r="E90" s="501">
        <v>23</v>
      </c>
      <c r="F90" s="302">
        <f t="shared" si="3"/>
        <v>0</v>
      </c>
    </row>
    <row r="91" spans="2:6" x14ac:dyDescent="0.25">
      <c r="B91" s="300" t="s">
        <v>194</v>
      </c>
      <c r="D91" s="301" t="s">
        <v>76</v>
      </c>
      <c r="E91" s="302">
        <v>990</v>
      </c>
      <c r="F91" s="302">
        <f t="shared" si="3"/>
        <v>0</v>
      </c>
    </row>
    <row r="93" spans="2:6" x14ac:dyDescent="0.25">
      <c r="B93" s="460" t="s">
        <v>195</v>
      </c>
    </row>
    <row r="94" spans="2:6" x14ac:dyDescent="0.25">
      <c r="B94" t="s">
        <v>196</v>
      </c>
      <c r="C94" s="301">
        <v>2</v>
      </c>
      <c r="D94" s="301" t="s">
        <v>76</v>
      </c>
      <c r="E94" s="302">
        <v>139</v>
      </c>
      <c r="F94" s="302">
        <f t="shared" si="3"/>
        <v>278</v>
      </c>
    </row>
    <row r="95" spans="2:6" x14ac:dyDescent="0.25">
      <c r="B95" t="s">
        <v>197</v>
      </c>
      <c r="D95" s="301" t="s">
        <v>76</v>
      </c>
      <c r="E95" s="302">
        <v>190</v>
      </c>
      <c r="F95" s="302">
        <f t="shared" si="3"/>
        <v>0</v>
      </c>
    </row>
    <row r="96" spans="2:6" x14ac:dyDescent="0.25">
      <c r="B96" s="399" t="s">
        <v>198</v>
      </c>
      <c r="D96" s="301" t="s">
        <v>76</v>
      </c>
      <c r="E96" s="302">
        <v>102</v>
      </c>
      <c r="F96" s="302">
        <f t="shared" si="3"/>
        <v>0</v>
      </c>
    </row>
    <row r="97" spans="2:6" x14ac:dyDescent="0.25">
      <c r="B97" t="s">
        <v>199</v>
      </c>
      <c r="D97" s="301" t="s">
        <v>76</v>
      </c>
      <c r="E97" s="302">
        <v>124</v>
      </c>
      <c r="F97" s="302">
        <f t="shared" si="3"/>
        <v>0</v>
      </c>
    </row>
    <row r="98" spans="2:6" x14ac:dyDescent="0.25">
      <c r="B98" t="s">
        <v>200</v>
      </c>
      <c r="D98" s="301" t="s">
        <v>76</v>
      </c>
      <c r="E98" s="302">
        <v>135</v>
      </c>
      <c r="F98" s="302">
        <f t="shared" si="3"/>
        <v>0</v>
      </c>
    </row>
    <row r="99" spans="2:6" hidden="1" x14ac:dyDescent="0.25">
      <c r="B99" t="s">
        <v>201</v>
      </c>
      <c r="D99" s="301" t="s">
        <v>76</v>
      </c>
      <c r="F99" s="302">
        <f t="shared" si="3"/>
        <v>0</v>
      </c>
    </row>
    <row r="100" spans="2:6" x14ac:dyDescent="0.25">
      <c r="B100" t="s">
        <v>202</v>
      </c>
      <c r="D100" s="301" t="s">
        <v>76</v>
      </c>
      <c r="E100" s="502">
        <v>168</v>
      </c>
      <c r="F100" s="302">
        <f t="shared" si="3"/>
        <v>0</v>
      </c>
    </row>
    <row r="101" spans="2:6" hidden="1" x14ac:dyDescent="0.25">
      <c r="B101" t="s">
        <v>203</v>
      </c>
      <c r="D101" s="301" t="s">
        <v>76</v>
      </c>
      <c r="E101" s="502"/>
      <c r="F101" s="302">
        <f t="shared" si="3"/>
        <v>0</v>
      </c>
    </row>
    <row r="102" spans="2:6" x14ac:dyDescent="0.25">
      <c r="B102" t="s">
        <v>204</v>
      </c>
      <c r="D102" s="301" t="s">
        <v>76</v>
      </c>
      <c r="E102" s="502">
        <v>355</v>
      </c>
      <c r="F102" s="302">
        <f t="shared" si="3"/>
        <v>0</v>
      </c>
    </row>
    <row r="103" spans="2:6" x14ac:dyDescent="0.25">
      <c r="B103" s="399" t="s">
        <v>205</v>
      </c>
      <c r="C103" s="301">
        <v>1</v>
      </c>
      <c r="D103" s="301" t="s">
        <v>76</v>
      </c>
      <c r="E103" s="502">
        <v>370</v>
      </c>
      <c r="F103" s="302">
        <f>C103*E103</f>
        <v>370</v>
      </c>
    </row>
    <row r="104" spans="2:6" x14ac:dyDescent="0.25">
      <c r="B104" t="s">
        <v>206</v>
      </c>
      <c r="D104" s="301" t="s">
        <v>76</v>
      </c>
      <c r="E104" s="502">
        <v>109</v>
      </c>
      <c r="F104" s="302">
        <f>C104*E104</f>
        <v>0</v>
      </c>
    </row>
    <row r="105" spans="2:6" x14ac:dyDescent="0.25">
      <c r="B105" t="s">
        <v>207</v>
      </c>
      <c r="D105" s="301" t="s">
        <v>76</v>
      </c>
      <c r="E105" s="502">
        <v>138</v>
      </c>
      <c r="F105" s="302">
        <f t="shared" si="3"/>
        <v>0</v>
      </c>
    </row>
    <row r="106" spans="2:6" x14ac:dyDescent="0.25">
      <c r="B106" t="s">
        <v>208</v>
      </c>
      <c r="D106" s="301" t="s">
        <v>76</v>
      </c>
      <c r="E106" s="502">
        <v>201.25</v>
      </c>
      <c r="F106" s="302">
        <f t="shared" si="3"/>
        <v>0</v>
      </c>
    </row>
    <row r="107" spans="2:6" x14ac:dyDescent="0.25">
      <c r="B107" t="s">
        <v>209</v>
      </c>
      <c r="D107" s="301" t="s">
        <v>76</v>
      </c>
      <c r="E107" s="533"/>
    </row>
    <row r="108" spans="2:6" x14ac:dyDescent="0.25">
      <c r="B108" s="399" t="s">
        <v>205</v>
      </c>
      <c r="D108" s="301" t="s">
        <v>76</v>
      </c>
      <c r="E108" s="502">
        <v>370</v>
      </c>
      <c r="F108" s="302">
        <f t="shared" si="3"/>
        <v>0</v>
      </c>
    </row>
    <row r="109" spans="2:6" x14ac:dyDescent="0.25">
      <c r="B109" t="s">
        <v>210</v>
      </c>
      <c r="D109" s="301" t="s">
        <v>76</v>
      </c>
      <c r="E109" s="502">
        <v>145</v>
      </c>
      <c r="F109" s="302">
        <f t="shared" si="3"/>
        <v>0</v>
      </c>
    </row>
    <row r="110" spans="2:6" x14ac:dyDescent="0.25">
      <c r="B110" t="s">
        <v>211</v>
      </c>
      <c r="D110" s="301" t="s">
        <v>76</v>
      </c>
      <c r="E110" s="502">
        <v>190</v>
      </c>
      <c r="F110" s="302">
        <f t="shared" si="3"/>
        <v>0</v>
      </c>
    </row>
    <row r="111" spans="2:6" hidden="1" x14ac:dyDescent="0.25">
      <c r="B111" t="s">
        <v>212</v>
      </c>
      <c r="D111" s="301" t="s">
        <v>76</v>
      </c>
      <c r="E111" s="502"/>
    </row>
    <row r="112" spans="2:6" x14ac:dyDescent="0.25">
      <c r="B112" t="s">
        <v>213</v>
      </c>
      <c r="D112" s="301" t="s">
        <v>76</v>
      </c>
      <c r="E112" s="502">
        <v>285</v>
      </c>
      <c r="F112" s="302">
        <f t="shared" si="3"/>
        <v>0</v>
      </c>
    </row>
    <row r="113" spans="2:6" x14ac:dyDescent="0.25">
      <c r="B113" t="s">
        <v>214</v>
      </c>
      <c r="D113" s="301" t="s">
        <v>76</v>
      </c>
      <c r="E113" s="502">
        <v>375</v>
      </c>
      <c r="F113" s="302">
        <f t="shared" si="3"/>
        <v>0</v>
      </c>
    </row>
    <row r="114" spans="2:6" x14ac:dyDescent="0.25">
      <c r="B114" s="388"/>
    </row>
    <row r="115" spans="2:6" x14ac:dyDescent="0.25">
      <c r="B115" s="388"/>
    </row>
    <row r="116" spans="2:6" x14ac:dyDescent="0.25">
      <c r="B116" s="388" t="s">
        <v>215</v>
      </c>
      <c r="D116" s="301" t="s">
        <v>76</v>
      </c>
      <c r="F116" s="302">
        <f t="shared" si="3"/>
        <v>0</v>
      </c>
    </row>
    <row r="117" spans="2:6" x14ac:dyDescent="0.25">
      <c r="B117" s="388" t="s">
        <v>216</v>
      </c>
      <c r="D117" s="301" t="s">
        <v>76</v>
      </c>
      <c r="F117" s="302">
        <f t="shared" si="3"/>
        <v>0</v>
      </c>
    </row>
    <row r="118" spans="2:6" x14ac:dyDescent="0.25">
      <c r="B118" s="388" t="s">
        <v>217</v>
      </c>
      <c r="D118" s="301" t="s">
        <v>76</v>
      </c>
      <c r="E118" s="302">
        <v>1000</v>
      </c>
      <c r="F118" s="302">
        <f t="shared" si="3"/>
        <v>0</v>
      </c>
    </row>
    <row r="119" spans="2:6" x14ac:dyDescent="0.25">
      <c r="B119" s="388" t="s">
        <v>218</v>
      </c>
      <c r="D119" s="301" t="s">
        <v>76</v>
      </c>
      <c r="E119" s="302">
        <v>330</v>
      </c>
      <c r="F119" s="302">
        <f t="shared" si="3"/>
        <v>0</v>
      </c>
    </row>
    <row r="120" spans="2:6" x14ac:dyDescent="0.25">
      <c r="B120" s="388" t="s">
        <v>219</v>
      </c>
      <c r="D120" s="301" t="s">
        <v>76</v>
      </c>
      <c r="E120" s="302">
        <v>410</v>
      </c>
      <c r="F120" s="302">
        <f t="shared" si="3"/>
        <v>0</v>
      </c>
    </row>
    <row r="121" spans="2:6" x14ac:dyDescent="0.25">
      <c r="B121" s="399" t="s">
        <v>220</v>
      </c>
      <c r="D121" s="301" t="s">
        <v>76</v>
      </c>
      <c r="E121" s="302">
        <v>1082</v>
      </c>
      <c r="F121" s="302">
        <f t="shared" si="3"/>
        <v>0</v>
      </c>
    </row>
    <row r="122" spans="2:6" x14ac:dyDescent="0.25">
      <c r="B122" s="399" t="s">
        <v>221</v>
      </c>
      <c r="D122" s="301" t="s">
        <v>76</v>
      </c>
      <c r="E122" s="302">
        <v>286.10000000000002</v>
      </c>
      <c r="F122" s="302">
        <f t="shared" si="3"/>
        <v>0</v>
      </c>
    </row>
    <row r="123" spans="2:6" x14ac:dyDescent="0.25">
      <c r="B123" s="399" t="s">
        <v>222</v>
      </c>
      <c r="D123" s="301" t="s">
        <v>76</v>
      </c>
      <c r="E123" s="302">
        <v>409.4</v>
      </c>
      <c r="F123" s="302">
        <f t="shared" si="3"/>
        <v>0</v>
      </c>
    </row>
    <row r="124" spans="2:6" x14ac:dyDescent="0.25">
      <c r="B124" s="399" t="s">
        <v>223</v>
      </c>
      <c r="D124" s="301" t="s">
        <v>76</v>
      </c>
      <c r="E124" s="502">
        <v>966</v>
      </c>
      <c r="F124" s="302">
        <f t="shared" si="3"/>
        <v>0</v>
      </c>
    </row>
    <row r="125" spans="2:6" x14ac:dyDescent="0.25">
      <c r="B125" s="399" t="s">
        <v>224</v>
      </c>
      <c r="D125" s="301" t="s">
        <v>76</v>
      </c>
      <c r="E125" s="502">
        <v>286.10000000000002</v>
      </c>
      <c r="F125" s="302">
        <f t="shared" si="3"/>
        <v>0</v>
      </c>
    </row>
    <row r="126" spans="2:6" x14ac:dyDescent="0.25">
      <c r="B126" s="399" t="s">
        <v>225</v>
      </c>
      <c r="D126" s="301" t="s">
        <v>76</v>
      </c>
      <c r="E126" s="502">
        <v>409.4</v>
      </c>
      <c r="F126" s="302">
        <f t="shared" si="3"/>
        <v>0</v>
      </c>
    </row>
    <row r="127" spans="2:6" x14ac:dyDescent="0.25">
      <c r="B127" t="s">
        <v>226</v>
      </c>
      <c r="D127" s="301" t="s">
        <v>76</v>
      </c>
      <c r="E127" s="502">
        <v>662.4</v>
      </c>
      <c r="F127" s="302">
        <f t="shared" si="3"/>
        <v>0</v>
      </c>
    </row>
    <row r="128" spans="2:6" x14ac:dyDescent="0.25">
      <c r="B128" t="s">
        <v>227</v>
      </c>
      <c r="D128" s="301" t="s">
        <v>76</v>
      </c>
      <c r="E128" s="502">
        <v>828</v>
      </c>
      <c r="F128" s="302">
        <f t="shared" si="3"/>
        <v>0</v>
      </c>
    </row>
    <row r="129" spans="2:6" x14ac:dyDescent="0.25">
      <c r="B129" t="s">
        <v>228</v>
      </c>
      <c r="D129" s="301" t="s">
        <v>76</v>
      </c>
      <c r="E129" s="502">
        <v>1810.1</v>
      </c>
      <c r="F129" s="302">
        <f t="shared" si="3"/>
        <v>0</v>
      </c>
    </row>
    <row r="130" spans="2:6" x14ac:dyDescent="0.25">
      <c r="B130" t="s">
        <v>229</v>
      </c>
      <c r="D130" s="301" t="s">
        <v>76</v>
      </c>
      <c r="E130" s="502">
        <v>637.1</v>
      </c>
      <c r="F130" s="302">
        <f t="shared" si="3"/>
        <v>0</v>
      </c>
    </row>
    <row r="131" spans="2:6" x14ac:dyDescent="0.25">
      <c r="B131" t="s">
        <v>230</v>
      </c>
      <c r="D131" s="301" t="s">
        <v>76</v>
      </c>
      <c r="E131" s="502">
        <v>841.25</v>
      </c>
      <c r="F131" s="302">
        <f t="shared" si="3"/>
        <v>0</v>
      </c>
    </row>
    <row r="132" spans="2:6" x14ac:dyDescent="0.25">
      <c r="B132" t="s">
        <v>231</v>
      </c>
      <c r="D132" s="301" t="s">
        <v>76</v>
      </c>
      <c r="E132" s="502">
        <v>1528.35</v>
      </c>
      <c r="F132" s="302">
        <f t="shared" si="3"/>
        <v>0</v>
      </c>
    </row>
    <row r="133" spans="2:6" x14ac:dyDescent="0.25">
      <c r="B133" t="s">
        <v>231</v>
      </c>
      <c r="D133" s="301" t="s">
        <v>76</v>
      </c>
    </row>
    <row r="134" spans="2:6" x14ac:dyDescent="0.25">
      <c r="B134" s="388"/>
    </row>
    <row r="135" spans="2:6" x14ac:dyDescent="0.25">
      <c r="B135" s="388"/>
    </row>
    <row r="136" spans="2:6" x14ac:dyDescent="0.25">
      <c r="B136" s="388" t="s">
        <v>232</v>
      </c>
      <c r="D136" s="301" t="s">
        <v>76</v>
      </c>
      <c r="E136" s="390">
        <v>326</v>
      </c>
      <c r="F136" s="302">
        <f t="shared" si="3"/>
        <v>0</v>
      </c>
    </row>
    <row r="137" spans="2:6" x14ac:dyDescent="0.25">
      <c r="B137" s="388" t="s">
        <v>233</v>
      </c>
      <c r="D137" s="301" t="s">
        <v>76</v>
      </c>
      <c r="E137" s="390">
        <v>355</v>
      </c>
      <c r="F137" s="302">
        <f t="shared" si="3"/>
        <v>0</v>
      </c>
    </row>
    <row r="138" spans="2:6" x14ac:dyDescent="0.25">
      <c r="B138" s="388" t="s">
        <v>234</v>
      </c>
      <c r="D138" s="301" t="s">
        <v>76</v>
      </c>
      <c r="E138" s="390">
        <v>132</v>
      </c>
      <c r="F138" s="302">
        <f t="shared" si="3"/>
        <v>0</v>
      </c>
    </row>
    <row r="139" spans="2:6" x14ac:dyDescent="0.25">
      <c r="B139" s="388" t="s">
        <v>235</v>
      </c>
      <c r="D139" s="301" t="s">
        <v>76</v>
      </c>
      <c r="E139" s="390">
        <v>150</v>
      </c>
      <c r="F139" s="302">
        <f t="shared" si="3"/>
        <v>0</v>
      </c>
    </row>
    <row r="140" spans="2:6" x14ac:dyDescent="0.25">
      <c r="B140" s="388" t="s">
        <v>236</v>
      </c>
      <c r="D140" s="301" t="s">
        <v>76</v>
      </c>
      <c r="E140" s="302">
        <v>197</v>
      </c>
      <c r="F140" s="302">
        <f t="shared" si="3"/>
        <v>0</v>
      </c>
    </row>
    <row r="141" spans="2:6" x14ac:dyDescent="0.25">
      <c r="B141" s="388" t="s">
        <v>237</v>
      </c>
      <c r="D141" s="301" t="s">
        <v>76</v>
      </c>
      <c r="E141" s="302">
        <v>275</v>
      </c>
      <c r="F141" s="302">
        <f t="shared" si="3"/>
        <v>0</v>
      </c>
    </row>
    <row r="142" spans="2:6" x14ac:dyDescent="0.25">
      <c r="B142" s="388" t="s">
        <v>238</v>
      </c>
      <c r="D142" s="301" t="s">
        <v>76</v>
      </c>
      <c r="E142" s="302">
        <v>350</v>
      </c>
      <c r="F142" s="302">
        <f t="shared" si="3"/>
        <v>0</v>
      </c>
    </row>
    <row r="143" spans="2:6" x14ac:dyDescent="0.25">
      <c r="B143" s="388" t="s">
        <v>239</v>
      </c>
      <c r="D143" s="301" t="s">
        <v>76</v>
      </c>
      <c r="E143" s="390">
        <v>263</v>
      </c>
      <c r="F143" s="302">
        <f t="shared" si="3"/>
        <v>0</v>
      </c>
    </row>
    <row r="144" spans="2:6" x14ac:dyDescent="0.25">
      <c r="B144" s="388" t="s">
        <v>240</v>
      </c>
      <c r="D144" s="301" t="s">
        <v>76</v>
      </c>
      <c r="E144" s="390">
        <v>293</v>
      </c>
      <c r="F144" s="302">
        <f t="shared" si="3"/>
        <v>0</v>
      </c>
    </row>
    <row r="145" spans="2:6" x14ac:dyDescent="0.25">
      <c r="B145" s="388" t="s">
        <v>241</v>
      </c>
      <c r="D145" s="301" t="s">
        <v>76</v>
      </c>
      <c r="E145" s="390">
        <v>364</v>
      </c>
      <c r="F145" s="302">
        <f t="shared" si="3"/>
        <v>0</v>
      </c>
    </row>
    <row r="146" spans="2:6" x14ac:dyDescent="0.25">
      <c r="B146" s="388" t="s">
        <v>242</v>
      </c>
      <c r="D146" s="301" t="s">
        <v>76</v>
      </c>
      <c r="E146" s="390">
        <v>445</v>
      </c>
      <c r="F146" s="302">
        <f t="shared" si="3"/>
        <v>0</v>
      </c>
    </row>
    <row r="147" spans="2:6" x14ac:dyDescent="0.25">
      <c r="B147" s="388" t="s">
        <v>243</v>
      </c>
      <c r="D147" s="301" t="s">
        <v>76</v>
      </c>
      <c r="E147" s="390">
        <v>600</v>
      </c>
      <c r="F147" s="302">
        <f t="shared" si="3"/>
        <v>0</v>
      </c>
    </row>
    <row r="148" spans="2:6" x14ac:dyDescent="0.25">
      <c r="B148" s="388" t="s">
        <v>244</v>
      </c>
      <c r="D148" s="301" t="s">
        <v>76</v>
      </c>
      <c r="E148" s="390">
        <f>E129</f>
        <v>1810.1</v>
      </c>
      <c r="F148" s="302">
        <f t="shared" si="3"/>
        <v>0</v>
      </c>
    </row>
    <row r="149" spans="2:6" x14ac:dyDescent="0.25">
      <c r="B149" s="388" t="s">
        <v>245</v>
      </c>
      <c r="D149" s="301" t="s">
        <v>76</v>
      </c>
      <c r="E149" s="390">
        <f>E130</f>
        <v>637.1</v>
      </c>
      <c r="F149" s="302">
        <f t="shared" si="3"/>
        <v>0</v>
      </c>
    </row>
    <row r="150" spans="2:6" x14ac:dyDescent="0.25">
      <c r="B150" s="388" t="s">
        <v>246</v>
      </c>
      <c r="D150" s="301" t="s">
        <v>76</v>
      </c>
      <c r="E150" s="390"/>
    </row>
    <row r="151" spans="2:6" x14ac:dyDescent="0.25">
      <c r="B151" s="388" t="s">
        <v>247</v>
      </c>
      <c r="D151" s="301" t="s">
        <v>76</v>
      </c>
      <c r="E151" s="390">
        <v>275</v>
      </c>
      <c r="F151" s="302">
        <f t="shared" si="3"/>
        <v>0</v>
      </c>
    </row>
    <row r="152" spans="2:6" x14ac:dyDescent="0.25">
      <c r="B152" s="388" t="s">
        <v>248</v>
      </c>
      <c r="D152" s="301" t="s">
        <v>76</v>
      </c>
      <c r="E152" s="390">
        <v>408</v>
      </c>
      <c r="F152" s="302">
        <f t="shared" si="3"/>
        <v>0</v>
      </c>
    </row>
    <row r="153" spans="2:6" x14ac:dyDescent="0.25">
      <c r="B153" s="388" t="s">
        <v>249</v>
      </c>
      <c r="D153" s="301" t="s">
        <v>76</v>
      </c>
      <c r="E153" s="390">
        <v>503</v>
      </c>
      <c r="F153" s="302">
        <f t="shared" si="3"/>
        <v>0</v>
      </c>
    </row>
    <row r="154" spans="2:6" x14ac:dyDescent="0.25">
      <c r="B154" s="643" t="s">
        <v>1265</v>
      </c>
      <c r="C154" s="301">
        <v>2</v>
      </c>
      <c r="D154" s="638" t="s">
        <v>76</v>
      </c>
      <c r="E154" s="461">
        <v>105</v>
      </c>
      <c r="F154" s="302">
        <f t="shared" si="3"/>
        <v>210</v>
      </c>
    </row>
    <row r="155" spans="2:6" x14ac:dyDescent="0.25">
      <c r="B155" s="388" t="s">
        <v>250</v>
      </c>
      <c r="D155" s="509" t="s">
        <v>76</v>
      </c>
      <c r="E155" s="503">
        <v>160</v>
      </c>
      <c r="F155" s="302">
        <f t="shared" si="3"/>
        <v>0</v>
      </c>
    </row>
    <row r="156" spans="2:6" x14ac:dyDescent="0.25">
      <c r="B156" s="388" t="s">
        <v>251</v>
      </c>
      <c r="D156" s="509" t="s">
        <v>76</v>
      </c>
      <c r="E156" s="503">
        <v>286</v>
      </c>
      <c r="F156" s="302">
        <f t="shared" si="3"/>
        <v>0</v>
      </c>
    </row>
    <row r="157" spans="2:6" x14ac:dyDescent="0.25">
      <c r="B157" t="s">
        <v>252</v>
      </c>
      <c r="D157" s="301" t="s">
        <v>76</v>
      </c>
      <c r="E157" s="504">
        <v>195</v>
      </c>
      <c r="F157" s="302">
        <f t="shared" si="3"/>
        <v>0</v>
      </c>
    </row>
    <row r="158" spans="2:6" x14ac:dyDescent="0.25">
      <c r="B158" t="s">
        <v>253</v>
      </c>
      <c r="D158" s="509" t="s">
        <v>76</v>
      </c>
      <c r="E158" s="504">
        <v>640</v>
      </c>
      <c r="F158" s="302">
        <f t="shared" si="3"/>
        <v>0</v>
      </c>
    </row>
    <row r="159" spans="2:6" x14ac:dyDescent="0.25">
      <c r="B159" t="s">
        <v>254</v>
      </c>
      <c r="C159" s="301">
        <v>1</v>
      </c>
      <c r="D159" s="301" t="s">
        <v>76</v>
      </c>
      <c r="E159" s="504">
        <v>406</v>
      </c>
      <c r="F159" s="302">
        <f t="shared" si="3"/>
        <v>406</v>
      </c>
    </row>
    <row r="160" spans="2:6" x14ac:dyDescent="0.25">
      <c r="B160" t="s">
        <v>255</v>
      </c>
      <c r="D160" s="509" t="s">
        <v>76</v>
      </c>
      <c r="E160" s="504">
        <v>390</v>
      </c>
      <c r="F160" s="302">
        <f t="shared" si="3"/>
        <v>0</v>
      </c>
    </row>
    <row r="161" spans="2:6" x14ac:dyDescent="0.25">
      <c r="B161" t="s">
        <v>256</v>
      </c>
      <c r="D161" s="301" t="s">
        <v>76</v>
      </c>
      <c r="E161" s="505">
        <v>298</v>
      </c>
      <c r="F161" s="302">
        <f t="shared" ref="F161:F163" si="4">C161*E161</f>
        <v>0</v>
      </c>
    </row>
    <row r="162" spans="2:6" x14ac:dyDescent="0.25">
      <c r="B162" s="483" t="s">
        <v>257</v>
      </c>
      <c r="D162" s="301" t="s">
        <v>76</v>
      </c>
      <c r="E162" s="504">
        <v>572</v>
      </c>
      <c r="F162" s="302">
        <f t="shared" si="4"/>
        <v>0</v>
      </c>
    </row>
    <row r="163" spans="2:6" x14ac:dyDescent="0.25">
      <c r="B163" t="s">
        <v>258</v>
      </c>
      <c r="D163" s="301" t="s">
        <v>76</v>
      </c>
      <c r="E163" s="504">
        <v>829</v>
      </c>
      <c r="F163" s="302">
        <f t="shared" si="4"/>
        <v>0</v>
      </c>
    </row>
    <row r="164" spans="2:6" x14ac:dyDescent="0.25">
      <c r="B164" t="s">
        <v>259</v>
      </c>
      <c r="D164" s="301" t="s">
        <v>76</v>
      </c>
      <c r="E164" s="505">
        <v>530.4</v>
      </c>
      <c r="F164" s="302">
        <f t="shared" ref="F164:F171" si="5">C164*E164</f>
        <v>0</v>
      </c>
    </row>
    <row r="165" spans="2:6" hidden="1" x14ac:dyDescent="0.25">
      <c r="B165" t="s">
        <v>260</v>
      </c>
      <c r="E165" s="401"/>
      <c r="F165" s="302">
        <f t="shared" si="5"/>
        <v>0</v>
      </c>
    </row>
    <row r="166" spans="2:6" hidden="1" x14ac:dyDescent="0.25">
      <c r="B166" t="s">
        <v>261</v>
      </c>
      <c r="E166" s="462"/>
      <c r="F166" s="302">
        <f t="shared" si="5"/>
        <v>0</v>
      </c>
    </row>
    <row r="167" spans="2:6" hidden="1" x14ac:dyDescent="0.25">
      <c r="B167" t="s">
        <v>262</v>
      </c>
      <c r="E167" s="462"/>
      <c r="F167" s="302">
        <f t="shared" si="5"/>
        <v>0</v>
      </c>
    </row>
    <row r="168" spans="2:6" hidden="1" x14ac:dyDescent="0.25">
      <c r="B168" t="s">
        <v>263</v>
      </c>
      <c r="E168" s="401"/>
      <c r="F168" s="302">
        <f t="shared" si="5"/>
        <v>0</v>
      </c>
    </row>
    <row r="169" spans="2:6" hidden="1" x14ac:dyDescent="0.25">
      <c r="B169" t="s">
        <v>264</v>
      </c>
      <c r="E169" s="401"/>
      <c r="F169" s="302">
        <f t="shared" si="5"/>
        <v>0</v>
      </c>
    </row>
    <row r="170" spans="2:6" hidden="1" x14ac:dyDescent="0.25">
      <c r="B170" t="s">
        <v>265</v>
      </c>
      <c r="E170" s="401"/>
      <c r="F170" s="302">
        <f t="shared" si="5"/>
        <v>0</v>
      </c>
    </row>
    <row r="171" spans="2:6" x14ac:dyDescent="0.25">
      <c r="B171" s="399" t="s">
        <v>266</v>
      </c>
      <c r="D171" s="509" t="s">
        <v>76</v>
      </c>
      <c r="E171" s="502">
        <v>971</v>
      </c>
      <c r="F171" s="302">
        <f t="shared" si="5"/>
        <v>0</v>
      </c>
    </row>
    <row r="172" spans="2:6" hidden="1" x14ac:dyDescent="0.25">
      <c r="B172" t="s">
        <v>267</v>
      </c>
      <c r="E172" s="401"/>
    </row>
    <row r="173" spans="2:6" hidden="1" x14ac:dyDescent="0.25">
      <c r="B173" s="388"/>
      <c r="E173" s="461"/>
    </row>
    <row r="174" spans="2:6" hidden="1" x14ac:dyDescent="0.25">
      <c r="B174" s="388"/>
      <c r="E174" s="461"/>
    </row>
    <row r="175" spans="2:6" hidden="1" x14ac:dyDescent="0.25">
      <c r="B175" s="388"/>
      <c r="E175" s="461"/>
    </row>
    <row r="176" spans="2:6" hidden="1" x14ac:dyDescent="0.25">
      <c r="B176" s="388"/>
      <c r="E176" s="461"/>
    </row>
    <row r="177" spans="2:16" hidden="1" x14ac:dyDescent="0.25">
      <c r="B177" s="388"/>
      <c r="E177" s="461"/>
    </row>
    <row r="178" spans="2:16" hidden="1" x14ac:dyDescent="0.25"/>
    <row r="180" spans="2:16" x14ac:dyDescent="0.25">
      <c r="B180" s="388" t="s">
        <v>268</v>
      </c>
      <c r="C180" s="389"/>
      <c r="D180" s="389" t="s">
        <v>76</v>
      </c>
      <c r="E180" s="390">
        <v>1299</v>
      </c>
      <c r="F180" s="390">
        <f t="shared" ref="F180:F194" si="6">C180*E180</f>
        <v>0</v>
      </c>
      <c r="P180" s="302"/>
    </row>
    <row r="181" spans="2:16" x14ac:dyDescent="0.25">
      <c r="B181" s="388" t="s">
        <v>269</v>
      </c>
      <c r="C181" s="389"/>
      <c r="D181" s="389" t="s">
        <v>76</v>
      </c>
      <c r="E181" s="390">
        <v>402</v>
      </c>
      <c r="F181" s="390">
        <f t="shared" si="6"/>
        <v>0</v>
      </c>
      <c r="P181" s="302"/>
    </row>
    <row r="182" spans="2:16" x14ac:dyDescent="0.25">
      <c r="B182" s="388" t="s">
        <v>270</v>
      </c>
      <c r="C182" s="389"/>
      <c r="D182" s="389" t="s">
        <v>76</v>
      </c>
      <c r="E182" s="390">
        <v>295</v>
      </c>
      <c r="F182" s="390">
        <f t="shared" si="6"/>
        <v>0</v>
      </c>
      <c r="P182" s="302"/>
    </row>
    <row r="183" spans="2:16" x14ac:dyDescent="0.25">
      <c r="B183" s="388" t="s">
        <v>271</v>
      </c>
      <c r="C183" s="389"/>
      <c r="D183" s="389" t="s">
        <v>76</v>
      </c>
      <c r="E183" s="390"/>
      <c r="F183" s="390">
        <f t="shared" si="6"/>
        <v>0</v>
      </c>
      <c r="P183" s="302"/>
    </row>
    <row r="184" spans="2:16" x14ac:dyDescent="0.25">
      <c r="B184" s="388" t="s">
        <v>272</v>
      </c>
      <c r="C184" s="389"/>
      <c r="D184" s="389" t="s">
        <v>76</v>
      </c>
      <c r="E184" s="390">
        <v>400</v>
      </c>
      <c r="F184" s="390">
        <f t="shared" si="6"/>
        <v>0</v>
      </c>
      <c r="P184" s="302"/>
    </row>
    <row r="185" spans="2:16" x14ac:dyDescent="0.25">
      <c r="B185" s="388" t="s">
        <v>273</v>
      </c>
      <c r="C185" s="389"/>
      <c r="D185" s="389" t="s">
        <v>76</v>
      </c>
      <c r="E185" s="390"/>
      <c r="F185" s="390">
        <f t="shared" ref="F185" si="7">C185*E185</f>
        <v>0</v>
      </c>
      <c r="P185" s="302"/>
    </row>
    <row r="186" spans="2:16" x14ac:dyDescent="0.25">
      <c r="B186" s="388" t="s">
        <v>274</v>
      </c>
      <c r="C186" s="389"/>
      <c r="D186" s="389" t="s">
        <v>76</v>
      </c>
      <c r="E186" s="390">
        <v>365</v>
      </c>
      <c r="F186" s="390">
        <f>C186*E186</f>
        <v>0</v>
      </c>
      <c r="P186" s="302"/>
    </row>
    <row r="187" spans="2:16" x14ac:dyDescent="0.25">
      <c r="B187" s="388" t="s">
        <v>275</v>
      </c>
      <c r="C187" s="389"/>
      <c r="D187" s="389" t="s">
        <v>76</v>
      </c>
      <c r="E187" s="390">
        <v>400</v>
      </c>
      <c r="F187" s="390">
        <f>C187*E187</f>
        <v>0</v>
      </c>
      <c r="P187" s="302"/>
    </row>
    <row r="188" spans="2:16" x14ac:dyDescent="0.25">
      <c r="B188" s="388" t="s">
        <v>276</v>
      </c>
      <c r="C188" s="389"/>
      <c r="D188" s="389" t="s">
        <v>76</v>
      </c>
      <c r="E188" s="390">
        <v>1800</v>
      </c>
      <c r="F188" s="390">
        <f>C188*E188</f>
        <v>0</v>
      </c>
      <c r="P188" s="302"/>
    </row>
    <row r="189" spans="2:16" x14ac:dyDescent="0.25">
      <c r="B189" s="388"/>
      <c r="C189" s="389"/>
      <c r="D189" s="389"/>
      <c r="E189" s="390"/>
      <c r="F189" s="390"/>
      <c r="P189" s="302"/>
    </row>
    <row r="190" spans="2:16" x14ac:dyDescent="0.25">
      <c r="B190" s="388" t="s">
        <v>277</v>
      </c>
      <c r="C190" s="389"/>
      <c r="D190" s="389" t="s">
        <v>76</v>
      </c>
      <c r="E190" s="390">
        <v>380</v>
      </c>
      <c r="F190" s="390">
        <f t="shared" ref="F190:F191" si="8">C190*E190</f>
        <v>0</v>
      </c>
      <c r="P190" s="302"/>
    </row>
    <row r="191" spans="2:16" x14ac:dyDescent="0.25">
      <c r="B191" s="388" t="s">
        <v>278</v>
      </c>
      <c r="C191" s="389">
        <v>1</v>
      </c>
      <c r="D191" s="389" t="s">
        <v>76</v>
      </c>
      <c r="E191" s="390">
        <v>1290</v>
      </c>
      <c r="F191" s="390">
        <f t="shared" si="8"/>
        <v>1290</v>
      </c>
      <c r="P191" s="302"/>
    </row>
    <row r="192" spans="2:16" x14ac:dyDescent="0.25">
      <c r="B192" s="388" t="s">
        <v>279</v>
      </c>
      <c r="C192" s="389"/>
      <c r="D192" s="389" t="s">
        <v>76</v>
      </c>
      <c r="E192" s="390">
        <v>240</v>
      </c>
      <c r="F192" s="390">
        <f t="shared" si="6"/>
        <v>0</v>
      </c>
      <c r="P192" s="302"/>
    </row>
    <row r="193" spans="2:16" x14ac:dyDescent="0.25">
      <c r="B193" s="388" t="s">
        <v>280</v>
      </c>
      <c r="C193" s="389"/>
      <c r="D193" s="389" t="s">
        <v>76</v>
      </c>
      <c r="E193" s="390">
        <v>372</v>
      </c>
      <c r="F193" s="390">
        <f t="shared" si="6"/>
        <v>0</v>
      </c>
      <c r="P193" s="302"/>
    </row>
    <row r="194" spans="2:16" x14ac:dyDescent="0.25">
      <c r="B194" s="388" t="s">
        <v>281</v>
      </c>
      <c r="C194" s="389"/>
      <c r="D194" s="389" t="s">
        <v>76</v>
      </c>
      <c r="E194" s="390">
        <v>440</v>
      </c>
      <c r="F194" s="390">
        <f t="shared" si="6"/>
        <v>0</v>
      </c>
      <c r="P194" s="302"/>
    </row>
    <row r="195" spans="2:16" s="387" customFormat="1" x14ac:dyDescent="0.25">
      <c r="B195" s="388" t="s">
        <v>283</v>
      </c>
      <c r="C195" s="389"/>
      <c r="D195" s="389" t="s">
        <v>113</v>
      </c>
      <c r="E195" s="390">
        <v>5</v>
      </c>
      <c r="F195" s="390">
        <f>C195*E195</f>
        <v>0</v>
      </c>
      <c r="J195" s="390"/>
      <c r="K195" s="402"/>
      <c r="L195" s="390"/>
      <c r="M195" s="390"/>
      <c r="N195" s="390"/>
    </row>
    <row r="196" spans="2:16" s="387" customFormat="1" x14ac:dyDescent="0.25">
      <c r="B196" s="388" t="s">
        <v>284</v>
      </c>
      <c r="C196" s="389"/>
      <c r="D196" s="389" t="s">
        <v>76</v>
      </c>
      <c r="E196" s="390">
        <v>18.12</v>
      </c>
      <c r="F196" s="390">
        <f t="shared" ref="F196:F223" si="9">C196*E196</f>
        <v>0</v>
      </c>
      <c r="I196" s="390">
        <f>SUM(I195:I195)</f>
        <v>0</v>
      </c>
      <c r="J196" s="390"/>
      <c r="K196" s="403"/>
      <c r="L196" s="403"/>
      <c r="M196" s="403"/>
      <c r="N196" s="390"/>
    </row>
    <row r="197" spans="2:16" s="387" customFormat="1" x14ac:dyDescent="0.25">
      <c r="B197" s="388" t="s">
        <v>285</v>
      </c>
      <c r="C197" s="389"/>
      <c r="D197" s="389" t="s">
        <v>76</v>
      </c>
      <c r="E197" s="390"/>
      <c r="F197" s="390">
        <f t="shared" si="9"/>
        <v>0</v>
      </c>
      <c r="J197" s="390"/>
      <c r="K197" s="390"/>
      <c r="L197" s="390"/>
      <c r="M197" s="390"/>
      <c r="N197" s="390"/>
    </row>
    <row r="198" spans="2:16" s="387" customFormat="1" x14ac:dyDescent="0.25">
      <c r="B198" s="388" t="s">
        <v>286</v>
      </c>
      <c r="C198" s="389"/>
      <c r="D198" s="389" t="s">
        <v>76</v>
      </c>
      <c r="E198" s="390"/>
      <c r="F198" s="390">
        <f t="shared" si="9"/>
        <v>0</v>
      </c>
      <c r="J198" s="390"/>
      <c r="K198" s="390"/>
      <c r="L198" s="390"/>
      <c r="M198" s="390"/>
      <c r="N198" s="390"/>
    </row>
    <row r="199" spans="2:16" s="387" customFormat="1" x14ac:dyDescent="0.25">
      <c r="B199" s="388" t="s">
        <v>287</v>
      </c>
      <c r="C199" s="389"/>
      <c r="D199" s="389" t="s">
        <v>76</v>
      </c>
      <c r="E199" s="390"/>
      <c r="F199" s="390">
        <f t="shared" si="9"/>
        <v>0</v>
      </c>
      <c r="J199" s="390"/>
      <c r="K199" s="390"/>
      <c r="L199" s="390"/>
      <c r="M199" s="390"/>
      <c r="N199" s="390"/>
    </row>
    <row r="200" spans="2:16" s="387" customFormat="1" x14ac:dyDescent="0.25">
      <c r="B200" s="388" t="s">
        <v>288</v>
      </c>
      <c r="C200" s="389"/>
      <c r="D200" s="389" t="s">
        <v>76</v>
      </c>
      <c r="E200" s="390"/>
      <c r="F200" s="390">
        <f t="shared" si="9"/>
        <v>0</v>
      </c>
      <c r="J200" s="390"/>
      <c r="K200" s="390"/>
      <c r="L200" s="390"/>
      <c r="M200" s="390"/>
      <c r="N200" s="390"/>
    </row>
    <row r="201" spans="2:16" s="387" customFormat="1" x14ac:dyDescent="0.25">
      <c r="B201" s="388" t="s">
        <v>289</v>
      </c>
      <c r="C201" s="389"/>
      <c r="D201" s="389" t="s">
        <v>76</v>
      </c>
      <c r="E201" s="390">
        <v>110</v>
      </c>
      <c r="F201" s="390">
        <f t="shared" si="9"/>
        <v>0</v>
      </c>
      <c r="J201" s="390"/>
      <c r="K201" s="390"/>
      <c r="L201" s="390"/>
      <c r="M201" s="390"/>
      <c r="N201" s="390"/>
    </row>
    <row r="202" spans="2:16" s="387" customFormat="1" x14ac:dyDescent="0.25">
      <c r="B202" s="388" t="s">
        <v>290</v>
      </c>
      <c r="C202" s="389"/>
      <c r="D202" s="389" t="s">
        <v>76</v>
      </c>
      <c r="E202" s="390"/>
      <c r="F202" s="390">
        <f t="shared" si="9"/>
        <v>0</v>
      </c>
      <c r="J202" s="390"/>
      <c r="K202" s="390"/>
      <c r="L202" s="390"/>
      <c r="M202" s="390"/>
      <c r="N202" s="390"/>
    </row>
    <row r="203" spans="2:16" s="387" customFormat="1" x14ac:dyDescent="0.25">
      <c r="B203" s="388" t="s">
        <v>291</v>
      </c>
      <c r="C203" s="389"/>
      <c r="D203" s="389" t="s">
        <v>76</v>
      </c>
      <c r="E203" s="390"/>
      <c r="F203" s="390">
        <f t="shared" si="9"/>
        <v>0</v>
      </c>
      <c r="J203" s="390"/>
      <c r="K203" s="390"/>
      <c r="L203" s="390"/>
      <c r="M203" s="390"/>
      <c r="N203" s="390"/>
    </row>
    <row r="204" spans="2:16" s="387" customFormat="1" x14ac:dyDescent="0.25">
      <c r="B204" s="388" t="s">
        <v>292</v>
      </c>
      <c r="C204" s="389"/>
      <c r="D204" s="389" t="s">
        <v>76</v>
      </c>
      <c r="E204" s="390"/>
      <c r="F204" s="390">
        <f t="shared" si="9"/>
        <v>0</v>
      </c>
    </row>
    <row r="205" spans="2:16" s="387" customFormat="1" x14ac:dyDescent="0.25">
      <c r="B205" s="388" t="s">
        <v>293</v>
      </c>
      <c r="C205" s="389"/>
      <c r="D205" s="389" t="s">
        <v>76</v>
      </c>
      <c r="E205" s="390"/>
      <c r="F205" s="390">
        <f t="shared" si="9"/>
        <v>0</v>
      </c>
    </row>
    <row r="206" spans="2:16" s="387" customFormat="1" x14ac:dyDescent="0.25">
      <c r="B206" s="388" t="s">
        <v>294</v>
      </c>
      <c r="C206" s="389"/>
      <c r="D206" s="389" t="s">
        <v>76</v>
      </c>
      <c r="E206" s="390">
        <v>143.88999999999999</v>
      </c>
      <c r="F206" s="390">
        <f>C206*E206</f>
        <v>0</v>
      </c>
      <c r="K206" s="392"/>
      <c r="L206" s="391"/>
      <c r="M206" s="392"/>
    </row>
    <row r="207" spans="2:16" s="387" customFormat="1" x14ac:dyDescent="0.25">
      <c r="B207" s="388" t="s">
        <v>295</v>
      </c>
      <c r="C207" s="389"/>
      <c r="D207" s="389" t="s">
        <v>76</v>
      </c>
      <c r="E207" s="390">
        <v>381.11</v>
      </c>
      <c r="F207" s="390">
        <f t="shared" si="9"/>
        <v>0</v>
      </c>
    </row>
    <row r="208" spans="2:16" s="387" customFormat="1" x14ac:dyDescent="0.25">
      <c r="B208" s="388" t="s">
        <v>296</v>
      </c>
      <c r="C208" s="389"/>
      <c r="D208" s="389" t="s">
        <v>76</v>
      </c>
      <c r="E208" s="390">
        <v>78.67</v>
      </c>
      <c r="F208" s="390">
        <f t="shared" si="9"/>
        <v>0</v>
      </c>
    </row>
    <row r="209" spans="2:6" s="387" customFormat="1" x14ac:dyDescent="0.25">
      <c r="B209" s="388" t="s">
        <v>192</v>
      </c>
      <c r="C209" s="389"/>
      <c r="D209" s="389" t="s">
        <v>76</v>
      </c>
      <c r="E209" s="390">
        <v>28.05</v>
      </c>
      <c r="F209" s="390">
        <f t="shared" si="9"/>
        <v>0</v>
      </c>
    </row>
    <row r="210" spans="2:6" s="387" customFormat="1" x14ac:dyDescent="0.25">
      <c r="B210" s="388" t="s">
        <v>193</v>
      </c>
      <c r="C210" s="389"/>
      <c r="D210" s="389" t="s">
        <v>76</v>
      </c>
      <c r="E210" s="390">
        <v>23.85</v>
      </c>
      <c r="F210" s="390">
        <f t="shared" si="9"/>
        <v>0</v>
      </c>
    </row>
    <row r="211" spans="2:6" s="387" customFormat="1" x14ac:dyDescent="0.25">
      <c r="B211" s="388" t="s">
        <v>297</v>
      </c>
      <c r="C211" s="389"/>
      <c r="D211" s="389" t="s">
        <v>76</v>
      </c>
      <c r="E211" s="390">
        <v>20</v>
      </c>
      <c r="F211" s="390">
        <f t="shared" si="9"/>
        <v>0</v>
      </c>
    </row>
    <row r="212" spans="2:6" s="387" customFormat="1" x14ac:dyDescent="0.25">
      <c r="B212" s="388" t="s">
        <v>298</v>
      </c>
      <c r="C212" s="389"/>
      <c r="D212" s="389" t="s">
        <v>76</v>
      </c>
      <c r="E212" s="390">
        <v>9.68</v>
      </c>
      <c r="F212" s="390">
        <f t="shared" si="9"/>
        <v>0</v>
      </c>
    </row>
    <row r="213" spans="2:6" s="387" customFormat="1" x14ac:dyDescent="0.25">
      <c r="B213" s="388" t="s">
        <v>299</v>
      </c>
      <c r="C213" s="389"/>
      <c r="D213" s="389" t="s">
        <v>76</v>
      </c>
      <c r="E213" s="390">
        <v>9.35</v>
      </c>
      <c r="F213" s="390">
        <f t="shared" si="9"/>
        <v>0</v>
      </c>
    </row>
    <row r="214" spans="2:6" s="387" customFormat="1" x14ac:dyDescent="0.25">
      <c r="B214" s="388" t="s">
        <v>300</v>
      </c>
      <c r="C214" s="389"/>
      <c r="D214" s="389" t="s">
        <v>76</v>
      </c>
      <c r="E214" s="390">
        <v>8.6300000000000008</v>
      </c>
      <c r="F214" s="390">
        <f t="shared" si="9"/>
        <v>0</v>
      </c>
    </row>
    <row r="215" spans="2:6" s="387" customFormat="1" x14ac:dyDescent="0.25">
      <c r="B215" s="388" t="s">
        <v>301</v>
      </c>
      <c r="C215" s="389"/>
      <c r="D215" s="389" t="s">
        <v>76</v>
      </c>
      <c r="E215" s="390">
        <v>8.7100000000000009</v>
      </c>
      <c r="F215" s="390">
        <f t="shared" si="9"/>
        <v>0</v>
      </c>
    </row>
    <row r="216" spans="2:6" s="387" customFormat="1" x14ac:dyDescent="0.25">
      <c r="B216" s="388" t="s">
        <v>302</v>
      </c>
      <c r="C216" s="389"/>
      <c r="D216" s="389" t="s">
        <v>76</v>
      </c>
      <c r="E216" s="390">
        <v>9</v>
      </c>
      <c r="F216" s="390">
        <f t="shared" si="9"/>
        <v>0</v>
      </c>
    </row>
    <row r="217" spans="2:6" s="387" customFormat="1" x14ac:dyDescent="0.25">
      <c r="B217" s="388" t="s">
        <v>303</v>
      </c>
      <c r="C217" s="389"/>
      <c r="D217" s="389" t="s">
        <v>76</v>
      </c>
      <c r="E217" s="390">
        <v>25.42</v>
      </c>
      <c r="F217" s="390">
        <f t="shared" si="9"/>
        <v>0</v>
      </c>
    </row>
    <row r="218" spans="2:6" s="387" customFormat="1" x14ac:dyDescent="0.25">
      <c r="B218" s="388" t="s">
        <v>304</v>
      </c>
      <c r="C218" s="389"/>
      <c r="D218" s="389" t="s">
        <v>76</v>
      </c>
      <c r="E218" s="390">
        <v>75</v>
      </c>
      <c r="F218" s="390">
        <f t="shared" si="9"/>
        <v>0</v>
      </c>
    </row>
    <row r="219" spans="2:6" s="387" customFormat="1" x14ac:dyDescent="0.25">
      <c r="B219" s="388" t="s">
        <v>305</v>
      </c>
      <c r="C219" s="389"/>
      <c r="D219" s="389" t="s">
        <v>42</v>
      </c>
      <c r="E219" s="390">
        <v>2800</v>
      </c>
      <c r="F219" s="390">
        <f t="shared" si="9"/>
        <v>0</v>
      </c>
    </row>
    <row r="220" spans="2:6" s="387" customFormat="1" x14ac:dyDescent="0.25">
      <c r="B220" s="388" t="s">
        <v>1262</v>
      </c>
      <c r="C220" s="389">
        <v>1</v>
      </c>
      <c r="D220" s="389" t="s">
        <v>76</v>
      </c>
      <c r="E220" s="390">
        <v>200</v>
      </c>
      <c r="F220" s="390">
        <f t="shared" si="9"/>
        <v>200</v>
      </c>
    </row>
    <row r="221" spans="2:6" s="387" customFormat="1" x14ac:dyDescent="0.25">
      <c r="B221" s="639" t="s">
        <v>1263</v>
      </c>
      <c r="C221" s="640">
        <v>18</v>
      </c>
      <c r="D221" s="640" t="s">
        <v>113</v>
      </c>
      <c r="E221" s="390"/>
      <c r="F221" s="390">
        <f t="shared" si="9"/>
        <v>0</v>
      </c>
    </row>
    <row r="222" spans="2:6" s="526" customFormat="1" x14ac:dyDescent="0.25">
      <c r="B222" s="641" t="s">
        <v>1264</v>
      </c>
      <c r="C222" s="528">
        <v>2</v>
      </c>
      <c r="D222" s="642" t="s">
        <v>76</v>
      </c>
      <c r="E222" s="530">
        <v>50</v>
      </c>
      <c r="F222" s="390">
        <f t="shared" si="9"/>
        <v>100</v>
      </c>
    </row>
    <row r="223" spans="2:6" s="526" customFormat="1" x14ac:dyDescent="0.25">
      <c r="B223" s="644" t="s">
        <v>1266</v>
      </c>
      <c r="C223" s="645">
        <v>1</v>
      </c>
      <c r="D223" s="646" t="s">
        <v>76</v>
      </c>
      <c r="E223" s="647">
        <v>7500</v>
      </c>
      <c r="F223" s="648">
        <f t="shared" si="9"/>
        <v>7500</v>
      </c>
    </row>
    <row r="224" spans="2:6" s="526" customFormat="1" x14ac:dyDescent="0.25">
      <c r="B224" s="529"/>
      <c r="C224" s="528"/>
      <c r="D224" s="528"/>
      <c r="E224" s="530"/>
      <c r="F224" s="527"/>
    </row>
    <row r="225" spans="2:11" x14ac:dyDescent="0.25">
      <c r="F225" s="314">
        <f>SUM(F7:F223)</f>
        <v>11643</v>
      </c>
    </row>
    <row r="226" spans="2:11" ht="15" customHeight="1" x14ac:dyDescent="0.25">
      <c r="E226" s="302" t="s">
        <v>306</v>
      </c>
      <c r="F226" s="514">
        <v>0.14000000000000001</v>
      </c>
      <c r="H226" s="311"/>
      <c r="J226" s="311"/>
    </row>
    <row r="227" spans="2:11" ht="13.15" customHeight="1" x14ac:dyDescent="0.25">
      <c r="E227" s="312" t="s">
        <v>307</v>
      </c>
      <c r="F227" s="313">
        <f>F225+(F225*F226)</f>
        <v>13273.02</v>
      </c>
      <c r="H227" s="515"/>
      <c r="J227" s="302"/>
      <c r="K227" s="516"/>
    </row>
    <row r="228" spans="2:11" x14ac:dyDescent="0.25">
      <c r="B228" s="555" t="s">
        <v>308</v>
      </c>
      <c r="C228" s="555"/>
      <c r="D228" s="555"/>
      <c r="E228" s="555"/>
      <c r="H228" s="311"/>
      <c r="J228" s="311"/>
    </row>
    <row r="229" spans="2:11" x14ac:dyDescent="0.25">
      <c r="B229" s="555"/>
      <c r="C229" s="555"/>
      <c r="D229" s="555"/>
      <c r="E229" s="555"/>
      <c r="F229" s="302">
        <f>F227</f>
        <v>13273.02</v>
      </c>
      <c r="H229" s="515"/>
      <c r="J229" s="302"/>
      <c r="K229" s="516"/>
    </row>
    <row r="230" spans="2:11" x14ac:dyDescent="0.25">
      <c r="B230" s="555"/>
      <c r="C230" s="555"/>
      <c r="D230" s="555"/>
      <c r="E230" s="555"/>
    </row>
    <row r="232" spans="2:11" ht="15.75" thickBot="1" x14ac:dyDescent="0.3"/>
    <row r="233" spans="2:11" s="310" customFormat="1" ht="15.75" thickBot="1" x14ac:dyDescent="0.3">
      <c r="B233" s="317" t="s">
        <v>309</v>
      </c>
      <c r="C233" s="318"/>
      <c r="D233" s="319"/>
      <c r="E233" s="320"/>
      <c r="F233" s="320"/>
      <c r="G233" s="320"/>
      <c r="H233" s="321"/>
      <c r="K233" s="322"/>
    </row>
    <row r="234" spans="2:11" s="310" customFormat="1" x14ac:dyDescent="0.25">
      <c r="B234" s="323"/>
      <c r="C234" s="324" t="s">
        <v>109</v>
      </c>
      <c r="D234" s="324" t="s">
        <v>28</v>
      </c>
      <c r="E234" s="325"/>
      <c r="F234" s="325"/>
      <c r="G234" s="320"/>
      <c r="H234" s="321"/>
      <c r="K234" s="322"/>
    </row>
    <row r="235" spans="2:11" s="310" customFormat="1" x14ac:dyDescent="0.25">
      <c r="B235" s="326" t="s">
        <v>310</v>
      </c>
      <c r="C235" s="322">
        <f>C239</f>
        <v>25</v>
      </c>
      <c r="D235" s="322" t="s">
        <v>113</v>
      </c>
      <c r="E235" s="320"/>
      <c r="F235" s="320"/>
      <c r="G235" s="320"/>
      <c r="H235" s="321"/>
      <c r="K235" s="322"/>
    </row>
    <row r="236" spans="2:11" s="310" customFormat="1" x14ac:dyDescent="0.25">
      <c r="B236" s="326" t="s">
        <v>311</v>
      </c>
      <c r="C236" s="322">
        <v>0</v>
      </c>
      <c r="D236" s="322" t="s">
        <v>113</v>
      </c>
      <c r="E236" s="320"/>
      <c r="F236" s="320"/>
      <c r="G236" s="320"/>
      <c r="H236" s="321"/>
      <c r="K236" s="322"/>
    </row>
    <row r="237" spans="2:11" s="310" customFormat="1" x14ac:dyDescent="0.25">
      <c r="B237" s="326" t="s">
        <v>312</v>
      </c>
      <c r="C237" s="322">
        <v>0</v>
      </c>
      <c r="D237" s="322" t="s">
        <v>313</v>
      </c>
      <c r="E237" s="320"/>
      <c r="F237" s="320"/>
      <c r="G237" s="320"/>
      <c r="H237" s="321"/>
      <c r="K237" s="322"/>
    </row>
    <row r="238" spans="2:11" s="310" customFormat="1" x14ac:dyDescent="0.25">
      <c r="B238" s="326" t="s">
        <v>314</v>
      </c>
      <c r="C238" s="322">
        <v>0</v>
      </c>
      <c r="D238" s="322" t="s">
        <v>113</v>
      </c>
      <c r="E238" s="320"/>
      <c r="F238" s="320"/>
      <c r="G238" s="320"/>
      <c r="H238" s="321"/>
      <c r="K238" s="322"/>
    </row>
    <row r="239" spans="2:11" s="310" customFormat="1" x14ac:dyDescent="0.25">
      <c r="B239" s="326" t="s">
        <v>315</v>
      </c>
      <c r="C239" s="337">
        <f>SUM(C21:C37)</f>
        <v>25</v>
      </c>
      <c r="D239" s="322" t="s">
        <v>113</v>
      </c>
      <c r="E239" s="320"/>
      <c r="F239" s="320"/>
      <c r="G239" s="320"/>
      <c r="H239" s="321"/>
      <c r="K239" s="322"/>
    </row>
    <row r="240" spans="2:11" s="310" customFormat="1" x14ac:dyDescent="0.25">
      <c r="B240" s="326" t="s">
        <v>316</v>
      </c>
      <c r="C240" s="327"/>
      <c r="D240" s="322" t="s">
        <v>113</v>
      </c>
      <c r="E240" s="320"/>
      <c r="F240" s="320"/>
      <c r="G240" s="320"/>
      <c r="H240" s="321"/>
      <c r="K240" s="322"/>
    </row>
    <row r="241" spans="2:15" s="310" customFormat="1" x14ac:dyDescent="0.25">
      <c r="B241" s="326" t="s">
        <v>317</v>
      </c>
      <c r="C241" s="328">
        <v>0</v>
      </c>
      <c r="D241" s="322" t="s">
        <v>113</v>
      </c>
      <c r="F241" s="320"/>
      <c r="G241" s="320"/>
      <c r="H241" s="321"/>
      <c r="K241" s="322"/>
    </row>
    <row r="242" spans="2:15" s="310" customFormat="1" x14ac:dyDescent="0.25">
      <c r="B242" s="326" t="s">
        <v>318</v>
      </c>
      <c r="C242" s="328"/>
      <c r="D242" s="322" t="s">
        <v>113</v>
      </c>
      <c r="E242" s="517">
        <f>C242/(C239+C240)</f>
        <v>0</v>
      </c>
      <c r="F242" s="320"/>
      <c r="G242" s="320"/>
      <c r="H242" s="321"/>
      <c r="K242" s="322"/>
    </row>
    <row r="243" spans="2:15" s="310" customFormat="1" x14ac:dyDescent="0.25">
      <c r="B243" s="326" t="s">
        <v>319</v>
      </c>
      <c r="C243" s="328"/>
      <c r="D243" s="322" t="s">
        <v>113</v>
      </c>
      <c r="E243" s="517">
        <f>C243/(C239+C240)</f>
        <v>0</v>
      </c>
      <c r="F243" s="320"/>
      <c r="G243" s="320"/>
      <c r="H243" s="321"/>
      <c r="K243" s="322"/>
    </row>
    <row r="244" spans="2:15" s="310" customFormat="1" x14ac:dyDescent="0.25">
      <c r="B244" s="326" t="s">
        <v>320</v>
      </c>
      <c r="C244" s="328"/>
      <c r="D244" s="322" t="s">
        <v>113</v>
      </c>
      <c r="E244" s="517">
        <f>C244/(C239+C240)</f>
        <v>0</v>
      </c>
      <c r="F244" s="320"/>
      <c r="G244" s="320"/>
      <c r="H244" s="321"/>
      <c r="K244" s="322"/>
    </row>
    <row r="245" spans="2:15" s="310" customFormat="1" x14ac:dyDescent="0.25">
      <c r="B245" s="326"/>
      <c r="F245" s="320"/>
      <c r="G245" s="320"/>
      <c r="H245" s="321"/>
      <c r="K245" s="322"/>
    </row>
    <row r="246" spans="2:15" s="310" customFormat="1" x14ac:dyDescent="0.25">
      <c r="B246" s="323"/>
      <c r="E246" s="320"/>
      <c r="F246" s="320"/>
      <c r="G246" s="320"/>
      <c r="H246" s="321"/>
      <c r="K246" s="322"/>
    </row>
    <row r="247" spans="2:15" s="335" customFormat="1" ht="60" x14ac:dyDescent="0.2">
      <c r="B247" s="329"/>
      <c r="C247" s="330" t="s">
        <v>94</v>
      </c>
      <c r="D247" s="330" t="s">
        <v>321</v>
      </c>
      <c r="E247" s="320" t="s">
        <v>322</v>
      </c>
      <c r="F247" s="331" t="s">
        <v>323</v>
      </c>
      <c r="G247" s="332" t="s">
        <v>324</v>
      </c>
      <c r="H247" s="333" t="s">
        <v>325</v>
      </c>
      <c r="I247" s="334" t="s">
        <v>326</v>
      </c>
      <c r="J247" s="334" t="s">
        <v>327</v>
      </c>
      <c r="K247" s="334" t="s">
        <v>328</v>
      </c>
      <c r="L247" s="332" t="s">
        <v>329</v>
      </c>
    </row>
    <row r="248" spans="2:15" s="310" customFormat="1" x14ac:dyDescent="0.25">
      <c r="B248" s="326" t="str">
        <f>B239</f>
        <v>L/M of Inground Pipe (Average Depth)</v>
      </c>
      <c r="C248" s="336">
        <v>1.2</v>
      </c>
      <c r="D248" s="336">
        <v>0.6</v>
      </c>
      <c r="E248" s="337">
        <f>C239</f>
        <v>25</v>
      </c>
      <c r="F248" s="518">
        <v>1.3</v>
      </c>
      <c r="G248" s="338">
        <f>C241</f>
        <v>0</v>
      </c>
      <c r="H248" s="339">
        <f>(C248*D248*E248)*F248-(C248*D248*E248*G248)</f>
        <v>23.400000000000002</v>
      </c>
      <c r="I248" s="340"/>
      <c r="J248" s="340"/>
      <c r="K248" s="341"/>
    </row>
    <row r="249" spans="2:15" s="310" customFormat="1" x14ac:dyDescent="0.25">
      <c r="B249" s="326" t="str">
        <f>B240</f>
        <v>L/M of Inground Pipe (Deeper Than Average Depth)</v>
      </c>
      <c r="C249" s="336">
        <v>1.2</v>
      </c>
      <c r="D249" s="336">
        <v>0.5</v>
      </c>
      <c r="E249" s="337">
        <f>C240</f>
        <v>0</v>
      </c>
      <c r="F249" s="518">
        <v>1.3</v>
      </c>
      <c r="G249" s="336">
        <v>0</v>
      </c>
      <c r="H249" s="339">
        <f>(C249*D249*E249)*F249</f>
        <v>0</v>
      </c>
      <c r="I249" s="340"/>
      <c r="J249" s="340"/>
      <c r="K249" s="341"/>
    </row>
    <row r="250" spans="2:15" s="310" customFormat="1" x14ac:dyDescent="0.25">
      <c r="B250" s="326" t="s">
        <v>330</v>
      </c>
      <c r="C250" s="336">
        <v>0.35</v>
      </c>
      <c r="D250" s="338">
        <f>D248</f>
        <v>0.6</v>
      </c>
      <c r="E250" s="338">
        <f>E248</f>
        <v>25</v>
      </c>
      <c r="F250" s="518">
        <v>0</v>
      </c>
      <c r="G250" s="338">
        <f>C241</f>
        <v>0</v>
      </c>
      <c r="H250" s="339"/>
      <c r="I250" s="339">
        <f>(C250*D250*E250)-(C250*D250*E250*G250)</f>
        <v>5.25</v>
      </c>
      <c r="J250" s="339"/>
      <c r="K250" s="341"/>
    </row>
    <row r="251" spans="2:15" s="310" customFormat="1" x14ac:dyDescent="0.25">
      <c r="B251" s="326" t="s">
        <v>331</v>
      </c>
      <c r="C251" s="336">
        <v>0.2</v>
      </c>
      <c r="D251" s="338">
        <f>D249</f>
        <v>0.5</v>
      </c>
      <c r="E251" s="342">
        <f>E249</f>
        <v>0</v>
      </c>
      <c r="F251" s="518">
        <v>0</v>
      </c>
      <c r="G251" s="338">
        <f>G249</f>
        <v>0</v>
      </c>
      <c r="H251" s="339"/>
      <c r="I251" s="339">
        <f>(C251*D251*E251)-(C251*D251*E251*G251)</f>
        <v>0</v>
      </c>
      <c r="J251" s="339"/>
      <c r="K251" s="341"/>
    </row>
    <row r="252" spans="2:15" s="310" customFormat="1" x14ac:dyDescent="0.25">
      <c r="B252" s="326" t="s">
        <v>332</v>
      </c>
      <c r="C252" s="338">
        <f>C248</f>
        <v>1.2</v>
      </c>
      <c r="D252" s="338">
        <f>D248</f>
        <v>0.6</v>
      </c>
      <c r="E252" s="342">
        <f>E248</f>
        <v>25</v>
      </c>
      <c r="F252" s="518">
        <v>1.3</v>
      </c>
      <c r="G252" s="338">
        <f>C241</f>
        <v>0</v>
      </c>
      <c r="H252" s="339"/>
      <c r="I252" s="339"/>
      <c r="J252" s="339">
        <f>(C252*D252*E252*F252)-(C252*D252*E252*G252)-I250</f>
        <v>18.150000000000002</v>
      </c>
      <c r="K252" s="341"/>
    </row>
    <row r="253" spans="2:15" s="310" customFormat="1" x14ac:dyDescent="0.25">
      <c r="B253" s="326" t="s">
        <v>333</v>
      </c>
      <c r="C253" s="338">
        <f>C249</f>
        <v>1.2</v>
      </c>
      <c r="D253" s="338">
        <f t="shared" ref="D253:E253" si="10">D249</f>
        <v>0.5</v>
      </c>
      <c r="E253" s="338">
        <f t="shared" si="10"/>
        <v>0</v>
      </c>
      <c r="F253" s="518">
        <v>1.3</v>
      </c>
      <c r="G253" s="338">
        <f>G249</f>
        <v>0</v>
      </c>
      <c r="H253" s="339"/>
      <c r="I253" s="339"/>
      <c r="J253" s="339">
        <f>(C253*D253*E253*F253)-(C253*D253*E253*G253)-I251</f>
        <v>0</v>
      </c>
      <c r="K253" s="341"/>
    </row>
    <row r="254" spans="2:15" s="310" customFormat="1" ht="15.75" thickBot="1" x14ac:dyDescent="0.3">
      <c r="B254" s="326"/>
      <c r="C254" s="341"/>
      <c r="D254" s="341"/>
      <c r="E254" s="341"/>
      <c r="F254" s="519"/>
      <c r="G254" s="339"/>
      <c r="H254" s="341"/>
      <c r="I254" s="340"/>
      <c r="J254" s="340"/>
      <c r="K254" s="339" t="s">
        <v>334</v>
      </c>
      <c r="L254" s="343" t="s">
        <v>110</v>
      </c>
      <c r="M254" s="343" t="s">
        <v>105</v>
      </c>
    </row>
    <row r="255" spans="2:15" s="310" customFormat="1" ht="15.75" thickBot="1" x14ac:dyDescent="0.3">
      <c r="B255" s="326"/>
      <c r="C255" s="341"/>
      <c r="D255" s="341"/>
      <c r="E255" s="341"/>
      <c r="F255" s="519"/>
      <c r="G255" s="339"/>
      <c r="H255" s="344">
        <f>SUM(H248:H254)</f>
        <v>23.400000000000002</v>
      </c>
      <c r="I255" s="344">
        <f>SUM(I248:I254)</f>
        <v>5.25</v>
      </c>
      <c r="J255" s="344">
        <f>SUM(J248:J254)</f>
        <v>18.150000000000002</v>
      </c>
      <c r="K255" s="345">
        <f>H255-J255</f>
        <v>5.25</v>
      </c>
      <c r="L255" s="346">
        <v>40</v>
      </c>
      <c r="M255" s="347">
        <f>K255*L255</f>
        <v>210</v>
      </c>
      <c r="O255" s="348"/>
    </row>
    <row r="256" spans="2:15" s="310" customFormat="1" x14ac:dyDescent="0.25">
      <c r="B256" s="326"/>
      <c r="C256" s="322"/>
      <c r="D256" s="322"/>
      <c r="E256" s="322"/>
      <c r="F256" s="519"/>
      <c r="G256" s="339"/>
      <c r="H256" s="321"/>
      <c r="K256" s="322"/>
      <c r="O256" s="340"/>
    </row>
    <row r="257" spans="2:18" s="310" customFormat="1" x14ac:dyDescent="0.25">
      <c r="B257" s="326"/>
      <c r="C257" s="322"/>
      <c r="D257" s="322"/>
      <c r="E257" s="322"/>
      <c r="F257" s="519"/>
      <c r="G257" s="339"/>
      <c r="H257" s="321"/>
      <c r="K257" s="322"/>
      <c r="O257" s="340"/>
    </row>
    <row r="258" spans="2:18" s="310" customFormat="1" x14ac:dyDescent="0.25">
      <c r="B258" s="326"/>
      <c r="C258" s="322"/>
      <c r="D258" s="322"/>
      <c r="E258" s="322"/>
      <c r="F258" s="519"/>
      <c r="G258" s="339"/>
      <c r="H258" s="321"/>
      <c r="K258" s="322"/>
      <c r="O258" s="340"/>
    </row>
    <row r="259" spans="2:18" s="310" customFormat="1" x14ac:dyDescent="0.25">
      <c r="B259" s="326"/>
      <c r="C259" s="322"/>
      <c r="D259" s="322"/>
      <c r="E259" s="322"/>
      <c r="F259" s="519"/>
      <c r="G259" s="339"/>
      <c r="H259" s="321"/>
      <c r="K259" s="322"/>
      <c r="O259" s="340"/>
    </row>
    <row r="260" spans="2:18" s="310" customFormat="1" ht="7.15" customHeight="1" x14ac:dyDescent="0.25">
      <c r="B260" s="349"/>
      <c r="C260" s="350"/>
      <c r="D260" s="350"/>
      <c r="E260" s="350"/>
      <c r="F260" s="351"/>
      <c r="G260" s="351"/>
      <c r="H260" s="352"/>
      <c r="I260" s="350"/>
      <c r="K260" s="322"/>
    </row>
    <row r="261" spans="2:18" s="310" customFormat="1" x14ac:dyDescent="0.25">
      <c r="B261" s="323" t="s">
        <v>98</v>
      </c>
      <c r="C261" s="322" t="s">
        <v>335</v>
      </c>
      <c r="D261" s="322" t="s">
        <v>109</v>
      </c>
      <c r="E261" s="320" t="s">
        <v>336</v>
      </c>
      <c r="F261" s="310" t="s">
        <v>306</v>
      </c>
      <c r="G261" s="325" t="s">
        <v>336</v>
      </c>
      <c r="H261" s="353" t="s">
        <v>337</v>
      </c>
      <c r="K261" s="322"/>
    </row>
    <row r="262" spans="2:18" s="310" customFormat="1" x14ac:dyDescent="0.25">
      <c r="B262" s="326"/>
      <c r="C262" s="322">
        <v>0.1</v>
      </c>
      <c r="D262" s="301"/>
      <c r="E262" s="336">
        <f>'SW_insitu Takeoff'!H27</f>
        <v>0</v>
      </c>
      <c r="F262" s="519">
        <v>1.2</v>
      </c>
      <c r="G262" s="354">
        <f>E262*F262</f>
        <v>0</v>
      </c>
      <c r="H262" s="353">
        <f>G262*E287</f>
        <v>0</v>
      </c>
      <c r="I262" s="355"/>
      <c r="K262" s="322"/>
    </row>
    <row r="264" spans="2:18" ht="15.75" thickBot="1" x14ac:dyDescent="0.3"/>
    <row r="265" spans="2:18" ht="15.75" thickBot="1" x14ac:dyDescent="0.3">
      <c r="B265" s="317" t="s">
        <v>338</v>
      </c>
      <c r="C265" s="318"/>
      <c r="D265" s="319"/>
      <c r="E265" s="320"/>
      <c r="F265" s="320"/>
      <c r="G265" s="320"/>
      <c r="H265" s="321"/>
      <c r="I265" s="310"/>
      <c r="J265" s="310"/>
      <c r="K265" s="310"/>
      <c r="L265" s="310"/>
      <c r="M265" s="310"/>
      <c r="N265" s="310"/>
      <c r="O265" s="310"/>
      <c r="P265" s="310"/>
    </row>
    <row r="266" spans="2:18" ht="15.75" thickBot="1" x14ac:dyDescent="0.3">
      <c r="B266" s="348"/>
      <c r="C266" s="310"/>
      <c r="D266" s="310"/>
      <c r="E266" s="320"/>
      <c r="F266" s="320"/>
      <c r="G266" s="320"/>
      <c r="H266" s="321"/>
      <c r="I266" s="310"/>
      <c r="J266" s="310"/>
      <c r="K266" s="310"/>
      <c r="L266" s="310"/>
      <c r="M266" s="330">
        <v>1.18</v>
      </c>
      <c r="N266" s="310"/>
      <c r="O266" s="310"/>
      <c r="P266" s="310"/>
    </row>
    <row r="267" spans="2:18" s="359" customFormat="1" ht="45.75" thickBot="1" x14ac:dyDescent="0.25">
      <c r="B267" s="356" t="s">
        <v>108</v>
      </c>
      <c r="C267" s="343" t="s">
        <v>339</v>
      </c>
      <c r="D267" s="343" t="s">
        <v>28</v>
      </c>
      <c r="E267" s="325" t="s">
        <v>110</v>
      </c>
      <c r="F267" s="325" t="s">
        <v>340</v>
      </c>
      <c r="G267" s="320"/>
      <c r="H267" s="320"/>
      <c r="I267" s="343" t="s">
        <v>334</v>
      </c>
      <c r="J267" s="334" t="s">
        <v>324</v>
      </c>
      <c r="K267" s="343" t="s">
        <v>341</v>
      </c>
      <c r="L267" s="343" t="s">
        <v>105</v>
      </c>
      <c r="M267" s="343" t="s">
        <v>306</v>
      </c>
      <c r="N267" s="357" t="s">
        <v>342</v>
      </c>
      <c r="O267" s="358" t="s">
        <v>343</v>
      </c>
      <c r="P267" s="332" t="s">
        <v>344</v>
      </c>
      <c r="Q267" s="359" t="s">
        <v>345</v>
      </c>
    </row>
    <row r="268" spans="2:18" ht="15.75" thickBot="1" x14ac:dyDescent="0.3">
      <c r="B268" s="310" t="s">
        <v>346</v>
      </c>
      <c r="C268" s="299">
        <v>0.20300000000000001</v>
      </c>
      <c r="D268" s="360" t="s">
        <v>347</v>
      </c>
      <c r="E268" s="361">
        <f>E280</f>
        <v>62</v>
      </c>
      <c r="F268" s="361">
        <f>E268*C268</f>
        <v>12.586</v>
      </c>
      <c r="G268" s="320"/>
      <c r="H268" s="321"/>
      <c r="I268" s="362">
        <f>C268*(C239+C240)</f>
        <v>5.0750000000000002</v>
      </c>
      <c r="J268" s="338">
        <v>0</v>
      </c>
      <c r="K268" s="363">
        <f>I268-(I268*J268)</f>
        <v>5.0750000000000002</v>
      </c>
      <c r="L268" s="355">
        <f>K268*E268</f>
        <v>314.65000000000003</v>
      </c>
      <c r="M268" s="302">
        <f>(L268*M266)-L268</f>
        <v>56.637</v>
      </c>
      <c r="N268" s="364">
        <f>L268*M266</f>
        <v>371.28700000000003</v>
      </c>
      <c r="O268" s="355">
        <f>N268*E242</f>
        <v>0</v>
      </c>
      <c r="P268" s="310"/>
      <c r="Q268" s="302"/>
      <c r="R268" s="302"/>
    </row>
    <row r="269" spans="2:18" x14ac:dyDescent="0.25">
      <c r="B269" s="310" t="s">
        <v>346</v>
      </c>
      <c r="C269" s="299">
        <v>0.14000000000000001</v>
      </c>
      <c r="D269" s="322" t="s">
        <v>348</v>
      </c>
      <c r="E269" s="320">
        <f>E280</f>
        <v>62</v>
      </c>
      <c r="F269" s="320">
        <f>(E269*C269)*1.95</f>
        <v>16.926000000000002</v>
      </c>
      <c r="G269" s="320"/>
      <c r="H269" s="321"/>
      <c r="I269" s="310"/>
      <c r="J269" s="310"/>
      <c r="L269" s="355"/>
      <c r="N269" s="365"/>
      <c r="O269" s="310"/>
      <c r="P269" s="310"/>
    </row>
    <row r="270" spans="2:18" x14ac:dyDescent="0.25">
      <c r="B270" s="310" t="s">
        <v>349</v>
      </c>
      <c r="C270" s="299">
        <v>0.45</v>
      </c>
      <c r="D270" s="322" t="s">
        <v>347</v>
      </c>
      <c r="E270" s="320">
        <f>E281</f>
        <v>62</v>
      </c>
      <c r="F270" s="320">
        <f>E270*C270</f>
        <v>27.900000000000002</v>
      </c>
      <c r="G270" s="320"/>
      <c r="H270" s="321"/>
      <c r="I270" s="310">
        <v>0</v>
      </c>
      <c r="J270" s="310"/>
      <c r="L270" s="355">
        <f>I270*E270</f>
        <v>0</v>
      </c>
      <c r="N270" s="366"/>
      <c r="O270" s="310"/>
      <c r="P270" s="310"/>
    </row>
    <row r="271" spans="2:18" ht="15.75" thickBot="1" x14ac:dyDescent="0.3">
      <c r="B271" s="310" t="s">
        <v>350</v>
      </c>
      <c r="C271" s="298">
        <v>0</v>
      </c>
      <c r="D271" s="322" t="s">
        <v>347</v>
      </c>
      <c r="E271" s="320">
        <f>E282</f>
        <v>25</v>
      </c>
      <c r="F271" s="320">
        <f t="shared" ref="F271:F276" si="11">E271*C271</f>
        <v>0</v>
      </c>
      <c r="G271" s="320"/>
      <c r="H271" s="321"/>
      <c r="I271" s="310">
        <v>0</v>
      </c>
      <c r="J271" s="310"/>
      <c r="L271" s="355">
        <f>I271*E271</f>
        <v>0</v>
      </c>
      <c r="N271" s="366"/>
      <c r="O271" s="310"/>
      <c r="P271" s="310"/>
    </row>
    <row r="272" spans="2:18" ht="15.75" thickBot="1" x14ac:dyDescent="0.3">
      <c r="B272" s="310" t="s">
        <v>351</v>
      </c>
      <c r="C272" s="299">
        <v>0.22500000000000001</v>
      </c>
      <c r="D272" s="360" t="s">
        <v>347</v>
      </c>
      <c r="E272" s="361">
        <f>E283</f>
        <v>40</v>
      </c>
      <c r="F272" s="361">
        <f t="shared" si="11"/>
        <v>9</v>
      </c>
      <c r="G272" s="320"/>
      <c r="H272" s="321"/>
      <c r="I272" s="362">
        <v>0</v>
      </c>
      <c r="J272" s="338">
        <v>0</v>
      </c>
      <c r="K272" s="363">
        <f>I272-(I272*J272)</f>
        <v>0</v>
      </c>
      <c r="L272" s="355">
        <f>K272*E272</f>
        <v>0</v>
      </c>
      <c r="M272" s="302">
        <f>(L272*M266)-L272</f>
        <v>0</v>
      </c>
      <c r="N272" s="364">
        <f>L272*M266</f>
        <v>0</v>
      </c>
      <c r="O272" s="310"/>
      <c r="P272" s="355">
        <f>N272*E243</f>
        <v>0</v>
      </c>
      <c r="Q272" s="302">
        <f>N272*E244</f>
        <v>0</v>
      </c>
    </row>
    <row r="273" spans="2:16" x14ac:dyDescent="0.25">
      <c r="B273" s="310" t="s">
        <v>351</v>
      </c>
      <c r="C273" s="299">
        <v>0.14000000000000001</v>
      </c>
      <c r="D273" s="322" t="s">
        <v>348</v>
      </c>
      <c r="E273" s="320">
        <f>E283</f>
        <v>40</v>
      </c>
      <c r="F273" s="320">
        <f>(E273*C273)*1.5</f>
        <v>8.4</v>
      </c>
      <c r="G273" s="320"/>
      <c r="H273" s="321"/>
      <c r="I273" s="310"/>
      <c r="J273" s="310"/>
      <c r="L273" s="355"/>
      <c r="N273" s="365"/>
      <c r="O273" s="310"/>
      <c r="P273" s="310"/>
    </row>
    <row r="274" spans="2:16" x14ac:dyDescent="0.25">
      <c r="B274" s="310" t="s">
        <v>352</v>
      </c>
      <c r="C274" s="299">
        <v>0.36</v>
      </c>
      <c r="D274" s="322" t="s">
        <v>347</v>
      </c>
      <c r="E274" s="320">
        <f>F284</f>
        <v>27</v>
      </c>
      <c r="F274" s="320">
        <f t="shared" si="11"/>
        <v>9.7199999999999989</v>
      </c>
      <c r="G274" s="320"/>
      <c r="H274" s="321"/>
      <c r="I274" s="310">
        <f>C238*C274</f>
        <v>0</v>
      </c>
      <c r="J274" s="310"/>
      <c r="L274" s="355">
        <f>I274*E274</f>
        <v>0</v>
      </c>
      <c r="N274" s="366"/>
      <c r="O274" s="310"/>
      <c r="P274" s="310"/>
    </row>
    <row r="275" spans="2:16" x14ac:dyDescent="0.25">
      <c r="B275" s="310" t="s">
        <v>353</v>
      </c>
      <c r="C275" s="299">
        <v>0.36</v>
      </c>
      <c r="D275" s="322" t="s">
        <v>347</v>
      </c>
      <c r="E275" s="320">
        <f>F285</f>
        <v>30</v>
      </c>
      <c r="F275" s="320">
        <f t="shared" si="11"/>
        <v>10.799999999999999</v>
      </c>
      <c r="G275" s="320"/>
      <c r="H275" s="321"/>
      <c r="I275" s="310">
        <f>C275*C238</f>
        <v>0</v>
      </c>
      <c r="J275" s="310"/>
      <c r="L275" s="355">
        <f>I275*E275</f>
        <v>0</v>
      </c>
      <c r="N275" s="366"/>
      <c r="O275" s="310"/>
      <c r="P275" s="310"/>
    </row>
    <row r="276" spans="2:16" ht="15.75" thickBot="1" x14ac:dyDescent="0.3">
      <c r="B276" s="310" t="s">
        <v>354</v>
      </c>
      <c r="C276" s="299">
        <v>0.3</v>
      </c>
      <c r="D276" s="322" t="s">
        <v>348</v>
      </c>
      <c r="E276" s="320">
        <f>N286</f>
        <v>0</v>
      </c>
      <c r="F276" s="320">
        <f t="shared" si="11"/>
        <v>0</v>
      </c>
      <c r="G276" s="320"/>
      <c r="H276" s="321"/>
      <c r="I276" s="310">
        <f>C276*C236</f>
        <v>0</v>
      </c>
      <c r="J276" s="310"/>
      <c r="L276" s="355">
        <f>E276*I276</f>
        <v>0</v>
      </c>
      <c r="N276" s="367"/>
      <c r="O276" s="310"/>
      <c r="P276" s="310"/>
    </row>
    <row r="277" spans="2:16" ht="15.75" thickBot="1" x14ac:dyDescent="0.3">
      <c r="B277" s="310"/>
      <c r="C277" s="310"/>
      <c r="D277" s="322"/>
      <c r="E277" s="368"/>
      <c r="F277" s="368"/>
      <c r="G277" s="320"/>
      <c r="H277" s="321"/>
      <c r="I277" s="310"/>
      <c r="J277" s="310"/>
      <c r="K277" s="310"/>
      <c r="L277" s="310"/>
      <c r="M277" s="310"/>
      <c r="N277" s="310"/>
      <c r="O277" s="310"/>
      <c r="P277" s="310"/>
    </row>
    <row r="278" spans="2:16" x14ac:dyDescent="0.25">
      <c r="B278" s="369"/>
      <c r="C278" s="370"/>
      <c r="D278" s="371"/>
      <c r="E278" s="372" t="s">
        <v>355</v>
      </c>
      <c r="F278" s="373" t="s">
        <v>356</v>
      </c>
      <c r="G278" s="321"/>
      <c r="H278" s="320"/>
      <c r="I278" s="320"/>
      <c r="J278" s="320"/>
      <c r="K278" s="320"/>
      <c r="L278" s="320"/>
      <c r="M278" s="320"/>
      <c r="N278" s="320"/>
      <c r="O278" s="320"/>
    </row>
    <row r="279" spans="2:16" ht="15.75" thickBot="1" x14ac:dyDescent="0.3">
      <c r="B279" s="374" t="s">
        <v>108</v>
      </c>
      <c r="C279" s="375"/>
      <c r="D279" s="376" t="s">
        <v>28</v>
      </c>
      <c r="E279" s="377" t="s">
        <v>110</v>
      </c>
      <c r="F279" s="377" t="s">
        <v>110</v>
      </c>
      <c r="G279" s="378"/>
      <c r="H279" s="320"/>
      <c r="I279" s="321"/>
      <c r="J279" s="320"/>
      <c r="K279" s="321"/>
      <c r="L279" s="320"/>
      <c r="M279" s="321"/>
      <c r="N279" s="320"/>
      <c r="O279" s="321"/>
    </row>
    <row r="280" spans="2:16" x14ac:dyDescent="0.25">
      <c r="B280" s="310" t="s">
        <v>346</v>
      </c>
      <c r="C280" s="322"/>
      <c r="D280" s="379" t="s">
        <v>357</v>
      </c>
      <c r="E280" s="380">
        <v>62</v>
      </c>
      <c r="F280" s="381">
        <v>31</v>
      </c>
      <c r="G280" s="321"/>
      <c r="H280" s="320"/>
      <c r="I280" s="321"/>
      <c r="J280" s="320"/>
      <c r="K280" s="321"/>
      <c r="L280" s="320"/>
      <c r="M280" s="321"/>
      <c r="N280" s="320"/>
      <c r="O280" s="321"/>
    </row>
    <row r="281" spans="2:16" x14ac:dyDescent="0.25">
      <c r="B281" s="310" t="s">
        <v>349</v>
      </c>
      <c r="C281" s="322"/>
      <c r="D281" s="379" t="s">
        <v>357</v>
      </c>
      <c r="E281" s="380">
        <v>62</v>
      </c>
      <c r="F281" s="382">
        <v>39</v>
      </c>
      <c r="G281" s="321"/>
      <c r="H281" s="320"/>
      <c r="I281" s="321"/>
      <c r="J281" s="320"/>
      <c r="K281" s="321"/>
      <c r="L281" s="320"/>
      <c r="M281" s="321"/>
      <c r="N281" s="320"/>
      <c r="O281" s="321"/>
    </row>
    <row r="282" spans="2:16" x14ac:dyDescent="0.25">
      <c r="B282" s="310" t="s">
        <v>350</v>
      </c>
      <c r="C282" s="322"/>
      <c r="D282" s="379" t="s">
        <v>357</v>
      </c>
      <c r="E282" s="383">
        <v>25</v>
      </c>
      <c r="F282" s="382">
        <v>29</v>
      </c>
      <c r="G282" s="321"/>
      <c r="H282" s="320"/>
      <c r="I282" s="321"/>
      <c r="J282" s="320"/>
      <c r="K282" s="321"/>
      <c r="L282" s="320"/>
      <c r="M282" s="321"/>
      <c r="N282" s="320"/>
      <c r="O282" s="321"/>
    </row>
    <row r="283" spans="2:16" x14ac:dyDescent="0.25">
      <c r="B283" s="310" t="s">
        <v>351</v>
      </c>
      <c r="C283" s="322"/>
      <c r="D283" s="379" t="s">
        <v>357</v>
      </c>
      <c r="E283" s="380">
        <v>40</v>
      </c>
      <c r="F283" s="382">
        <v>26</v>
      </c>
      <c r="G283" s="321"/>
      <c r="H283" s="320"/>
      <c r="I283" s="321"/>
      <c r="J283" s="320"/>
      <c r="K283" s="341"/>
      <c r="L283" s="320"/>
      <c r="M283" s="321"/>
      <c r="N283" s="320"/>
      <c r="O283" s="321"/>
    </row>
    <row r="284" spans="2:16" x14ac:dyDescent="0.25">
      <c r="B284" s="310" t="s">
        <v>352</v>
      </c>
      <c r="C284" s="322"/>
      <c r="D284" s="379" t="s">
        <v>357</v>
      </c>
      <c r="E284" s="383">
        <v>48</v>
      </c>
      <c r="F284" s="382">
        <v>27</v>
      </c>
      <c r="G284" s="321"/>
      <c r="H284" s="320"/>
      <c r="I284" s="321"/>
      <c r="J284" s="320"/>
      <c r="K284" s="341"/>
      <c r="L284" s="320"/>
      <c r="M284" s="321"/>
      <c r="N284" s="320"/>
      <c r="O284" s="321"/>
    </row>
    <row r="285" spans="2:16" x14ac:dyDescent="0.25">
      <c r="B285" s="310" t="s">
        <v>353</v>
      </c>
      <c r="C285" s="322"/>
      <c r="D285" s="379" t="s">
        <v>357</v>
      </c>
      <c r="E285" s="383">
        <v>50</v>
      </c>
      <c r="F285" s="382">
        <v>30</v>
      </c>
      <c r="G285" s="321"/>
      <c r="H285" s="320"/>
      <c r="I285" s="321"/>
      <c r="J285" s="320"/>
      <c r="K285" s="341"/>
      <c r="L285" s="320"/>
      <c r="M285" s="321"/>
      <c r="N285" s="320"/>
      <c r="O285" s="321"/>
    </row>
    <row r="286" spans="2:16" x14ac:dyDescent="0.25">
      <c r="B286" s="310" t="s">
        <v>358</v>
      </c>
      <c r="C286" s="322"/>
      <c r="D286" s="379" t="s">
        <v>103</v>
      </c>
      <c r="E286" s="384">
        <v>168</v>
      </c>
      <c r="F286" s="382">
        <v>0</v>
      </c>
      <c r="G286" s="321"/>
      <c r="H286" s="320"/>
      <c r="I286" s="321"/>
      <c r="J286" s="320"/>
      <c r="K286" s="321"/>
      <c r="L286" s="320"/>
      <c r="M286" s="321"/>
      <c r="N286" s="320"/>
      <c r="O286" s="321"/>
    </row>
    <row r="287" spans="2:16" ht="15.75" thickBot="1" x14ac:dyDescent="0.3">
      <c r="B287" s="520" t="s">
        <v>359</v>
      </c>
      <c r="C287" s="341"/>
      <c r="D287" s="379" t="s">
        <v>103</v>
      </c>
      <c r="E287" s="385">
        <v>400</v>
      </c>
      <c r="F287" s="385">
        <v>0</v>
      </c>
      <c r="G287" s="321"/>
      <c r="H287" s="320"/>
      <c r="I287" s="321"/>
      <c r="J287" s="320"/>
      <c r="K287" s="341"/>
      <c r="L287" s="320"/>
      <c r="M287" s="321"/>
      <c r="N287" s="320"/>
      <c r="O287" s="321"/>
    </row>
    <row r="288" spans="2:16" x14ac:dyDescent="0.25">
      <c r="B288" s="310"/>
      <c r="C288" s="310"/>
      <c r="D288" s="310"/>
      <c r="E288" s="320"/>
      <c r="F288" s="386"/>
      <c r="G288" s="321"/>
      <c r="H288" s="320"/>
      <c r="I288" s="321"/>
      <c r="J288" s="320"/>
      <c r="K288" s="321"/>
      <c r="L288" s="320"/>
      <c r="M288" s="321"/>
      <c r="N288" s="320"/>
      <c r="O288" s="321"/>
    </row>
    <row r="289" spans="2:16" x14ac:dyDescent="0.25">
      <c r="B289" s="310"/>
      <c r="C289" s="310"/>
      <c r="D289" s="310"/>
      <c r="E289" s="320"/>
      <c r="F289" s="320"/>
      <c r="G289" s="320"/>
      <c r="H289" s="320"/>
      <c r="I289" s="320"/>
      <c r="J289" s="320"/>
      <c r="K289" s="320"/>
      <c r="L289" s="320"/>
      <c r="M289" s="320"/>
      <c r="N289" s="320"/>
      <c r="O289" s="320"/>
      <c r="P289" s="320"/>
    </row>
    <row r="290" spans="2:16" x14ac:dyDescent="0.25">
      <c r="B290" s="310"/>
      <c r="C290" s="310"/>
      <c r="D290" s="310"/>
      <c r="E290" s="320"/>
      <c r="F290" s="320"/>
      <c r="G290" s="320"/>
      <c r="H290" s="321"/>
      <c r="I290" s="310"/>
      <c r="J290" s="310"/>
      <c r="K290" s="310"/>
      <c r="L290" s="310"/>
      <c r="M290" s="310"/>
      <c r="N290" s="310"/>
      <c r="O290" s="310"/>
      <c r="P290" s="310"/>
    </row>
    <row r="291" spans="2:16" x14ac:dyDescent="0.25">
      <c r="K291" s="302"/>
    </row>
    <row r="293" spans="2:16" x14ac:dyDescent="0.25">
      <c r="K293" s="513"/>
    </row>
    <row r="294" spans="2:16" x14ac:dyDescent="0.25">
      <c r="K294" s="315"/>
    </row>
    <row r="295" spans="2:16" x14ac:dyDescent="0.25">
      <c r="K295" s="315"/>
    </row>
  </sheetData>
  <mergeCells count="1">
    <mergeCell ref="B228:E230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48777-E1C6-4E66-8DFB-7EBCE94B8822}">
  <sheetPr>
    <tabColor rgb="FFFFC000"/>
    <pageSetUpPr fitToPage="1"/>
  </sheetPr>
  <dimension ref="A1:BB125"/>
  <sheetViews>
    <sheetView topLeftCell="H127" zoomScaleNormal="100" workbookViewId="0">
      <selection activeCell="O51" sqref="O51:R56"/>
    </sheetView>
  </sheetViews>
  <sheetFormatPr defaultRowHeight="12.75" x14ac:dyDescent="0.2"/>
  <cols>
    <col min="2" max="2" width="1.42578125" customWidth="1"/>
    <col min="3" max="3" width="8.7109375" bestFit="1" customWidth="1"/>
    <col min="4" max="4" width="26.85546875" customWidth="1"/>
    <col min="5" max="5" width="13.42578125" customWidth="1"/>
    <col min="6" max="6" width="15.85546875" customWidth="1"/>
    <col min="7" max="7" width="50.28515625" customWidth="1"/>
    <col min="8" max="8" width="32.5703125" customWidth="1"/>
    <col min="9" max="9" width="30.42578125" customWidth="1"/>
    <col min="10" max="10" width="14.5703125" customWidth="1"/>
    <col min="11" max="11" width="5.28515625" customWidth="1"/>
    <col min="12" max="12" width="6.7109375" customWidth="1"/>
    <col min="13" max="13" width="36.85546875" customWidth="1"/>
    <col min="14" max="14" width="12.42578125" customWidth="1"/>
    <col min="15" max="15" width="9.42578125" bestFit="1" customWidth="1"/>
    <col min="16" max="18" width="8.28515625" bestFit="1" customWidth="1"/>
    <col min="19" max="19" width="8.28515625" customWidth="1"/>
    <col min="20" max="20" width="17.42578125" bestFit="1" customWidth="1"/>
    <col min="21" max="21" width="1.42578125" customWidth="1"/>
    <col min="23" max="25" width="8.85546875" customWidth="1"/>
    <col min="26" max="26" width="44.42578125" customWidth="1"/>
    <col min="27" max="27" width="24.5703125" customWidth="1"/>
    <col min="28" max="28" width="40.7109375" customWidth="1"/>
    <col min="29" max="29" width="10.28515625" customWidth="1"/>
    <col min="30" max="30" width="10.28515625" hidden="1" customWidth="1"/>
    <col min="31" max="31" width="25.7109375" customWidth="1"/>
    <col min="32" max="32" width="10.85546875" customWidth="1"/>
    <col min="33" max="33" width="9.42578125" bestFit="1" customWidth="1"/>
    <col min="34" max="36" width="8.28515625" bestFit="1" customWidth="1"/>
    <col min="37" max="37" width="17.42578125" bestFit="1" customWidth="1"/>
    <col min="38" max="38" width="1.42578125" customWidth="1"/>
    <col min="40" max="41" width="8.85546875" customWidth="1"/>
    <col min="42" max="42" width="16.28515625" customWidth="1"/>
    <col min="43" max="43" width="72.85546875" customWidth="1"/>
    <col min="44" max="44" width="36.28515625" customWidth="1"/>
    <col min="45" max="45" width="10.28515625" bestFit="1" customWidth="1"/>
    <col min="46" max="46" width="11.5703125" customWidth="1"/>
    <col min="47" max="47" width="10.28515625" customWidth="1"/>
    <col min="48" max="48" width="10.28515625" hidden="1" customWidth="1"/>
    <col min="49" max="49" width="25.7109375" customWidth="1"/>
    <col min="50" max="50" width="9.42578125" bestFit="1" customWidth="1"/>
    <col min="51" max="53" width="8.28515625" bestFit="1" customWidth="1"/>
    <col min="54" max="54" width="17.42578125" bestFit="1" customWidth="1"/>
  </cols>
  <sheetData>
    <row r="1" spans="3:13" ht="18" x14ac:dyDescent="0.2">
      <c r="C1" s="564">
        <v>44918</v>
      </c>
      <c r="D1" s="564"/>
    </row>
    <row r="2" spans="3:13" x14ac:dyDescent="0.2">
      <c r="G2" s="407" t="s">
        <v>360</v>
      </c>
    </row>
    <row r="3" spans="3:13" x14ac:dyDescent="0.2">
      <c r="C3" s="561" t="s">
        <v>361</v>
      </c>
      <c r="D3" s="561"/>
      <c r="E3" s="408">
        <v>5.5E-2</v>
      </c>
      <c r="G3" s="407"/>
    </row>
    <row r="4" spans="3:13" x14ac:dyDescent="0.2">
      <c r="C4" s="561" t="s">
        <v>362</v>
      </c>
      <c r="D4" s="561"/>
      <c r="E4" s="409">
        <v>0.08</v>
      </c>
      <c r="G4" s="410"/>
    </row>
    <row r="5" spans="3:13" x14ac:dyDescent="0.2">
      <c r="C5" s="561" t="s">
        <v>363</v>
      </c>
      <c r="D5" s="561"/>
      <c r="E5" s="409">
        <v>0.14000000000000001</v>
      </c>
      <c r="G5" s="410"/>
    </row>
    <row r="6" spans="3:13" x14ac:dyDescent="0.2">
      <c r="C6" s="561" t="s">
        <v>364</v>
      </c>
      <c r="D6" s="561"/>
      <c r="E6" s="408">
        <v>0.17499999999999999</v>
      </c>
      <c r="G6" s="410"/>
    </row>
    <row r="7" spans="3:13" x14ac:dyDescent="0.2">
      <c r="C7" s="561" t="s">
        <v>365</v>
      </c>
      <c r="D7" s="561"/>
      <c r="E7" s="408">
        <v>5.5E-2</v>
      </c>
      <c r="G7" s="410"/>
    </row>
    <row r="8" spans="3:13" x14ac:dyDescent="0.2">
      <c r="C8" s="561" t="s">
        <v>366</v>
      </c>
      <c r="D8" s="561"/>
      <c r="E8" s="408">
        <v>0.15</v>
      </c>
      <c r="G8" s="410"/>
    </row>
    <row r="9" spans="3:13" x14ac:dyDescent="0.2">
      <c r="C9" s="561" t="s">
        <v>367</v>
      </c>
      <c r="D9" s="561"/>
      <c r="E9" s="408">
        <v>0.6</v>
      </c>
      <c r="G9" s="410"/>
      <c r="M9" s="411"/>
    </row>
    <row r="10" spans="3:13" x14ac:dyDescent="0.2">
      <c r="C10" s="561" t="s">
        <v>368</v>
      </c>
      <c r="D10" s="561"/>
      <c r="E10" s="408">
        <v>0.15</v>
      </c>
      <c r="G10" s="412"/>
      <c r="M10" s="408"/>
    </row>
    <row r="11" spans="3:13" x14ac:dyDescent="0.2">
      <c r="C11" s="561" t="s">
        <v>368</v>
      </c>
      <c r="D11" s="561"/>
      <c r="E11" s="408">
        <v>0.3</v>
      </c>
      <c r="G11" s="412"/>
      <c r="M11" s="563"/>
    </row>
    <row r="12" spans="3:13" x14ac:dyDescent="0.2">
      <c r="C12" s="561" t="s">
        <v>368</v>
      </c>
      <c r="D12" s="561"/>
      <c r="E12" s="408">
        <v>0.6</v>
      </c>
      <c r="G12" s="412"/>
      <c r="M12" s="563"/>
    </row>
    <row r="13" spans="3:13" x14ac:dyDescent="0.2">
      <c r="C13" s="561" t="s">
        <v>368</v>
      </c>
      <c r="D13" s="561"/>
      <c r="E13" s="408">
        <v>0.9</v>
      </c>
      <c r="G13" s="412"/>
    </row>
    <row r="14" spans="3:13" x14ac:dyDescent="0.2">
      <c r="C14" s="561" t="s">
        <v>369</v>
      </c>
      <c r="D14" s="561"/>
      <c r="E14" s="409">
        <v>0.9</v>
      </c>
      <c r="G14" s="410"/>
    </row>
    <row r="15" spans="3:13" x14ac:dyDescent="0.2">
      <c r="C15" s="561" t="s">
        <v>370</v>
      </c>
      <c r="D15" s="561"/>
      <c r="E15" s="408">
        <v>0.15</v>
      </c>
      <c r="G15" s="412"/>
    </row>
    <row r="16" spans="3:13" x14ac:dyDescent="0.2">
      <c r="C16" s="561" t="s">
        <v>370</v>
      </c>
      <c r="D16" s="561"/>
      <c r="E16" s="408">
        <v>0.3</v>
      </c>
      <c r="G16" s="412"/>
    </row>
    <row r="17" spans="2:54" x14ac:dyDescent="0.2">
      <c r="C17" s="561" t="s">
        <v>370</v>
      </c>
      <c r="D17" s="561"/>
      <c r="E17" s="408">
        <v>0.6</v>
      </c>
      <c r="G17" s="412"/>
    </row>
    <row r="18" spans="2:54" x14ac:dyDescent="0.2">
      <c r="C18" s="561" t="s">
        <v>370</v>
      </c>
      <c r="D18" s="561"/>
      <c r="E18" s="408">
        <v>0.9</v>
      </c>
      <c r="G18" s="412"/>
    </row>
    <row r="19" spans="2:54" x14ac:dyDescent="0.2">
      <c r="C19" s="561" t="s">
        <v>371</v>
      </c>
      <c r="D19" s="561"/>
      <c r="E19" s="413">
        <v>1.2</v>
      </c>
      <c r="F19">
        <v>1200</v>
      </c>
      <c r="G19" s="410"/>
    </row>
    <row r="20" spans="2:54" x14ac:dyDescent="0.2">
      <c r="C20" s="561" t="s">
        <v>372</v>
      </c>
      <c r="D20" s="561"/>
      <c r="E20" s="408">
        <v>0.15</v>
      </c>
      <c r="G20" s="412"/>
    </row>
    <row r="21" spans="2:54" x14ac:dyDescent="0.2">
      <c r="C21" s="561" t="s">
        <v>372</v>
      </c>
      <c r="D21" s="561"/>
      <c r="E21" s="408">
        <v>0.3</v>
      </c>
      <c r="G21" s="412"/>
    </row>
    <row r="22" spans="2:54" x14ac:dyDescent="0.2">
      <c r="C22" s="561" t="s">
        <v>372</v>
      </c>
      <c r="D22" s="561"/>
      <c r="E22" s="408">
        <v>0.6</v>
      </c>
      <c r="G22" s="412"/>
    </row>
    <row r="23" spans="2:54" x14ac:dyDescent="0.2">
      <c r="C23" s="561" t="s">
        <v>372</v>
      </c>
      <c r="D23" s="561"/>
      <c r="E23" s="408">
        <v>0.9</v>
      </c>
      <c r="G23" s="412"/>
    </row>
    <row r="24" spans="2:54" x14ac:dyDescent="0.2">
      <c r="C24" s="561" t="s">
        <v>372</v>
      </c>
      <c r="D24" s="561"/>
      <c r="E24" s="408">
        <v>1.2</v>
      </c>
      <c r="G24" s="412"/>
    </row>
    <row r="25" spans="2:54" x14ac:dyDescent="0.2">
      <c r="C25" s="407"/>
      <c r="D25" s="407" t="s">
        <v>373</v>
      </c>
      <c r="E25" s="408">
        <v>0.2</v>
      </c>
      <c r="G25" s="412"/>
      <c r="AG25" t="s">
        <v>374</v>
      </c>
    </row>
    <row r="26" spans="2:54" x14ac:dyDescent="0.2">
      <c r="K26" s="399"/>
      <c r="L26" s="399"/>
      <c r="O26" s="557" t="s">
        <v>375</v>
      </c>
      <c r="P26" s="557"/>
      <c r="Q26" s="557"/>
      <c r="R26" s="557"/>
      <c r="S26" s="414"/>
      <c r="AD26" s="399" t="s">
        <v>376</v>
      </c>
      <c r="AG26" s="557" t="s">
        <v>375</v>
      </c>
      <c r="AH26" s="557"/>
      <c r="AI26" s="557"/>
      <c r="AJ26" s="557"/>
      <c r="AV26" s="399" t="s">
        <v>376</v>
      </c>
      <c r="AX26" s="557" t="s">
        <v>375</v>
      </c>
      <c r="AY26" s="557"/>
      <c r="AZ26" s="557"/>
      <c r="BA26" s="557"/>
    </row>
    <row r="27" spans="2:54" ht="15" x14ac:dyDescent="0.25">
      <c r="B27" s="415"/>
      <c r="C27" s="416" t="s">
        <v>377</v>
      </c>
      <c r="D27" s="416" t="s">
        <v>378</v>
      </c>
      <c r="E27" s="416" t="s">
        <v>379</v>
      </c>
      <c r="F27" s="416" t="s">
        <v>380</v>
      </c>
      <c r="G27" s="416" t="s">
        <v>381</v>
      </c>
      <c r="H27" s="416" t="s">
        <v>382</v>
      </c>
      <c r="I27" s="416" t="s">
        <v>383</v>
      </c>
      <c r="J27" s="416" t="s">
        <v>384</v>
      </c>
      <c r="K27" s="416"/>
      <c r="L27" s="416"/>
      <c r="M27" s="416" t="s">
        <v>385</v>
      </c>
      <c r="N27" s="416"/>
      <c r="O27" s="416" t="s">
        <v>386</v>
      </c>
      <c r="P27" s="416" t="s">
        <v>387</v>
      </c>
      <c r="Q27" s="416" t="s">
        <v>388</v>
      </c>
      <c r="R27" s="416" t="s">
        <v>389</v>
      </c>
      <c r="S27" s="416"/>
      <c r="T27" s="416" t="s">
        <v>390</v>
      </c>
      <c r="U27" s="415"/>
      <c r="V27" s="416" t="s">
        <v>377</v>
      </c>
      <c r="W27" s="416" t="s">
        <v>378</v>
      </c>
      <c r="X27" s="416" t="s">
        <v>379</v>
      </c>
      <c r="Y27" s="416" t="s">
        <v>380</v>
      </c>
      <c r="Z27" s="416" t="s">
        <v>381</v>
      </c>
      <c r="AA27" s="416" t="s">
        <v>382</v>
      </c>
      <c r="AB27" s="416" t="s">
        <v>383</v>
      </c>
      <c r="AC27" s="416" t="s">
        <v>384</v>
      </c>
      <c r="AD27" s="416"/>
      <c r="AE27" s="416" t="s">
        <v>391</v>
      </c>
      <c r="AF27" s="416"/>
      <c r="AG27" s="416" t="s">
        <v>386</v>
      </c>
      <c r="AH27" s="416" t="s">
        <v>387</v>
      </c>
      <c r="AI27" s="416" t="s">
        <v>388</v>
      </c>
      <c r="AJ27" s="416" t="s">
        <v>389</v>
      </c>
      <c r="AK27" s="416" t="s">
        <v>390</v>
      </c>
      <c r="AL27" s="415"/>
      <c r="AM27" s="416" t="s">
        <v>377</v>
      </c>
      <c r="AN27" s="416" t="s">
        <v>378</v>
      </c>
      <c r="AO27" s="416" t="s">
        <v>379</v>
      </c>
      <c r="AP27" s="416" t="s">
        <v>380</v>
      </c>
      <c r="AQ27" s="416" t="s">
        <v>381</v>
      </c>
      <c r="AR27" s="416" t="s">
        <v>382</v>
      </c>
      <c r="AS27" s="416" t="s">
        <v>383</v>
      </c>
      <c r="AT27" s="416" t="s">
        <v>384</v>
      </c>
      <c r="AV27" s="416"/>
      <c r="AW27" s="416" t="s">
        <v>385</v>
      </c>
      <c r="AX27" s="416" t="s">
        <v>386</v>
      </c>
      <c r="AY27" s="416" t="s">
        <v>387</v>
      </c>
      <c r="AZ27" s="416" t="s">
        <v>388</v>
      </c>
      <c r="BA27" s="416" t="s">
        <v>389</v>
      </c>
      <c r="BB27" s="416" t="s">
        <v>390</v>
      </c>
    </row>
    <row r="28" spans="2:54" ht="15" x14ac:dyDescent="0.25">
      <c r="B28" s="415"/>
      <c r="C28" s="508">
        <v>1</v>
      </c>
      <c r="D28" s="534"/>
      <c r="E28" s="419"/>
      <c r="F28" s="535"/>
      <c r="G28" s="535"/>
      <c r="H28" s="535"/>
      <c r="I28" s="418"/>
      <c r="J28" s="419">
        <f>E28-I28</f>
        <v>0</v>
      </c>
      <c r="K28" s="420"/>
      <c r="L28" s="420"/>
      <c r="M28" s="420">
        <f>J28-0.45-0.05</f>
        <v>-0.5</v>
      </c>
      <c r="N28" s="420"/>
      <c r="O28" s="421"/>
      <c r="P28" s="421"/>
      <c r="Q28" s="421"/>
      <c r="R28" s="421"/>
      <c r="S28" s="421"/>
      <c r="T28" s="421">
        <f t="shared" ref="T28:T47" si="0">M28-(O28*$E$10)-(P28*$E$11)-(Q28*$E$12)-(R28*$E$13)</f>
        <v>-0.5</v>
      </c>
      <c r="U28" s="415"/>
      <c r="V28" s="417">
        <v>21</v>
      </c>
      <c r="W28" s="534"/>
      <c r="X28" s="419"/>
      <c r="Y28" s="535"/>
      <c r="Z28" s="535"/>
      <c r="AA28" s="535"/>
      <c r="AB28" s="418"/>
      <c r="AC28" s="419">
        <v>0.98599999999999999</v>
      </c>
      <c r="AD28" s="420">
        <v>1</v>
      </c>
      <c r="AE28" s="420">
        <f>AC28-$E$3-0.3</f>
        <v>0.63100000000000001</v>
      </c>
      <c r="AF28" s="420"/>
      <c r="AG28" s="421"/>
      <c r="AH28" s="421"/>
      <c r="AI28" s="421">
        <v>1</v>
      </c>
      <c r="AJ28" s="421"/>
      <c r="AK28" s="421">
        <f>AE28-(AG28*$E$25)-(AH28*$E$11)-(AI28*$E$12)-(AJ28*$E$13)</f>
        <v>3.1000000000000028E-2</v>
      </c>
      <c r="AL28" s="415"/>
      <c r="AM28" s="417">
        <v>40</v>
      </c>
      <c r="AN28" s="521" t="s">
        <v>392</v>
      </c>
      <c r="AO28" s="425"/>
      <c r="AP28" s="508"/>
      <c r="AQ28" s="423"/>
      <c r="AR28" s="424"/>
      <c r="AS28" s="418"/>
      <c r="AT28" s="419"/>
      <c r="AU28" s="420"/>
      <c r="AV28" s="420">
        <f>AT28-$E$9-$E$8</f>
        <v>-0.75</v>
      </c>
      <c r="AW28" s="420">
        <f>AT28-$E$5-$E$19</f>
        <v>-1.3399999999999999</v>
      </c>
      <c r="AX28" s="421"/>
      <c r="AY28" s="421"/>
      <c r="AZ28" s="421"/>
      <c r="BA28" s="421"/>
      <c r="BB28" s="421">
        <f>AW28-(AX28*$E$25)-(AY28*$E$11)-(AZ28*$E$12)-(BA28*$E$13)</f>
        <v>-1.3399999999999999</v>
      </c>
    </row>
    <row r="29" spans="2:54" ht="15" x14ac:dyDescent="0.25">
      <c r="B29" s="415"/>
      <c r="C29" s="417">
        <v>2</v>
      </c>
      <c r="D29" s="534"/>
      <c r="E29" s="419"/>
      <c r="F29" s="535"/>
      <c r="G29" s="535"/>
      <c r="H29" s="535"/>
      <c r="I29" s="418"/>
      <c r="J29" s="419">
        <f>E29-I29</f>
        <v>0</v>
      </c>
      <c r="K29" s="420"/>
      <c r="L29" s="420"/>
      <c r="M29" s="420">
        <f>J29-$E$9-$E$3</f>
        <v>-0.65500000000000003</v>
      </c>
      <c r="N29" s="420"/>
      <c r="O29" s="421"/>
      <c r="P29" s="421"/>
      <c r="Q29" s="421"/>
      <c r="R29" s="421"/>
      <c r="S29" s="421"/>
      <c r="T29" s="421">
        <f t="shared" si="0"/>
        <v>-0.65500000000000003</v>
      </c>
      <c r="U29" s="415"/>
      <c r="V29" s="417">
        <v>22</v>
      </c>
      <c r="W29" s="534"/>
      <c r="X29" s="419"/>
      <c r="Y29" s="535"/>
      <c r="Z29" s="535"/>
      <c r="AA29" s="535"/>
      <c r="AB29" s="418"/>
      <c r="AC29" s="419">
        <v>0.94899999999999995</v>
      </c>
      <c r="AD29" s="419">
        <f t="shared" ref="AD29" si="1">Y29-AC29</f>
        <v>-0.94899999999999995</v>
      </c>
      <c r="AE29" s="420">
        <f>AC29-$E$3-0.3</f>
        <v>0.59399999999999986</v>
      </c>
      <c r="AF29" s="420"/>
      <c r="AG29" s="421"/>
      <c r="AH29" s="421"/>
      <c r="AI29" s="421">
        <v>1</v>
      </c>
      <c r="AJ29" s="421"/>
      <c r="AK29" s="421">
        <f>AE29-(AG29*$E$10)-(AH29*$E$11)-(AI29*$E$12)-(AJ29*$E$13)</f>
        <v>-6.0000000000001164E-3</v>
      </c>
      <c r="AL29" s="415"/>
      <c r="AM29" s="410">
        <v>42</v>
      </c>
      <c r="AN29" s="507" t="s">
        <v>393</v>
      </c>
      <c r="AO29" s="419"/>
      <c r="AP29" s="508"/>
      <c r="AQ29" s="508"/>
      <c r="AR29" s="423"/>
      <c r="AS29" s="418"/>
      <c r="AT29" s="419"/>
      <c r="AU29" s="420"/>
      <c r="AV29" s="420">
        <f t="shared" ref="AV29:AV35" si="2">AT29-$E$9-$E$8</f>
        <v>-0.75</v>
      </c>
      <c r="AW29" s="420">
        <f>AT29-$E$5-$E$19</f>
        <v>-1.3399999999999999</v>
      </c>
      <c r="AX29" s="421"/>
      <c r="AY29" s="421"/>
      <c r="AZ29" s="421"/>
      <c r="BA29" s="421"/>
      <c r="BB29" s="421">
        <f>AW29-(AX29*$E$10)-(AY29*$E$11)-(AZ29*$E$12)-(BA29*$E$13)</f>
        <v>-1.3399999999999999</v>
      </c>
    </row>
    <row r="30" spans="2:54" ht="15" x14ac:dyDescent="0.25">
      <c r="B30" s="415"/>
      <c r="C30" s="417">
        <v>3</v>
      </c>
      <c r="D30" s="534"/>
      <c r="E30" s="419"/>
      <c r="F30" s="535"/>
      <c r="G30" s="535"/>
      <c r="H30" s="535"/>
      <c r="I30" s="522"/>
      <c r="J30" s="419">
        <f>E30-I30</f>
        <v>0</v>
      </c>
      <c r="K30" s="523"/>
      <c r="L30" s="523"/>
      <c r="M30" s="420">
        <f>J30-$E$3-$E$9</f>
        <v>-0.65500000000000003</v>
      </c>
      <c r="N30" s="420"/>
      <c r="O30" s="421"/>
      <c r="P30" s="421"/>
      <c r="Q30" s="421"/>
      <c r="R30" s="421"/>
      <c r="S30" s="421"/>
      <c r="T30" s="421">
        <f t="shared" si="0"/>
        <v>-0.65500000000000003</v>
      </c>
      <c r="U30" s="415"/>
      <c r="V30" s="417">
        <v>23</v>
      </c>
      <c r="W30" s="531"/>
      <c r="X30" s="419"/>
      <c r="Y30" s="508"/>
      <c r="Z30" s="532"/>
      <c r="AA30" s="532"/>
      <c r="AB30" s="418"/>
      <c r="AC30" s="419">
        <f>X30-AB30</f>
        <v>0</v>
      </c>
      <c r="AD30" s="420"/>
      <c r="AE30" s="420">
        <f t="shared" ref="AE30:AE41" si="3">AC30-$E$4-$E$14</f>
        <v>-0.98</v>
      </c>
      <c r="AF30" s="420"/>
      <c r="AG30" s="421"/>
      <c r="AH30" s="421"/>
      <c r="AI30" s="421"/>
      <c r="AJ30" s="421"/>
      <c r="AK30" s="421">
        <f t="shared" ref="AK30:AK31" si="4">AE30-(AG30*$E$10)-(AH30*$E$11)-(AI30*$E$12)-(AJ30*$E$13)</f>
        <v>-0.98</v>
      </c>
      <c r="AL30" s="415"/>
      <c r="AM30" s="417">
        <v>43</v>
      </c>
      <c r="AN30" s="422"/>
      <c r="AO30" s="425"/>
      <c r="AP30" s="417"/>
      <c r="AQ30" s="423"/>
      <c r="AR30" s="423"/>
      <c r="AS30" s="418"/>
      <c r="AT30" s="419"/>
      <c r="AU30" s="420"/>
      <c r="AV30" s="420">
        <f t="shared" si="2"/>
        <v>-0.75</v>
      </c>
      <c r="AW30" s="420">
        <f>AT30-$E$4-$E$14</f>
        <v>-0.98</v>
      </c>
      <c r="AX30" s="421"/>
      <c r="AY30" s="421"/>
      <c r="AZ30" s="421"/>
      <c r="BA30" s="421"/>
      <c r="BB30" s="421">
        <f>AW30-(AX30*$E$10)-(AY30*$E$11)-(AZ30*$E$12)-(BA30*$E$13)</f>
        <v>-0.98</v>
      </c>
    </row>
    <row r="31" spans="2:54" ht="15" x14ac:dyDescent="0.25">
      <c r="B31" s="415"/>
      <c r="C31" s="417">
        <v>4</v>
      </c>
      <c r="D31" s="534"/>
      <c r="E31" s="419"/>
      <c r="F31" s="535"/>
      <c r="G31" s="535"/>
      <c r="H31" s="535"/>
      <c r="I31" s="522"/>
      <c r="J31" s="419">
        <f t="shared" ref="J31:J45" si="5">E31-I31</f>
        <v>0</v>
      </c>
      <c r="K31" s="523"/>
      <c r="L31" s="523"/>
      <c r="M31" s="420">
        <f>J31-$E$6-$E$23-$E$4</f>
        <v>-1.155</v>
      </c>
      <c r="N31" s="420"/>
      <c r="O31" s="421"/>
      <c r="P31" s="421"/>
      <c r="Q31" s="421"/>
      <c r="R31" s="421"/>
      <c r="S31" s="421"/>
      <c r="T31" s="421">
        <f t="shared" si="0"/>
        <v>-1.155</v>
      </c>
      <c r="U31" s="415"/>
      <c r="V31" s="417">
        <v>24</v>
      </c>
      <c r="W31" s="507"/>
      <c r="X31" s="419"/>
      <c r="Y31" s="508"/>
      <c r="Z31" s="508"/>
      <c r="AA31" s="508"/>
      <c r="AB31" s="418"/>
      <c r="AC31" s="419"/>
      <c r="AD31" s="420">
        <v>2.1000000000000014</v>
      </c>
      <c r="AE31" s="420">
        <f t="shared" si="3"/>
        <v>-0.98</v>
      </c>
      <c r="AF31" s="420"/>
      <c r="AG31" s="421"/>
      <c r="AH31" s="421"/>
      <c r="AI31" s="421"/>
      <c r="AJ31" s="421"/>
      <c r="AK31" s="421">
        <f t="shared" si="4"/>
        <v>-0.98</v>
      </c>
      <c r="AL31" s="415"/>
      <c r="AM31" s="410">
        <v>44</v>
      </c>
      <c r="AN31" s="422"/>
      <c r="AO31" s="425"/>
      <c r="AP31" s="426"/>
      <c r="AQ31" s="423"/>
      <c r="AR31" s="423"/>
      <c r="AS31" s="418"/>
      <c r="AT31" s="419"/>
      <c r="AU31" s="420"/>
      <c r="AV31" s="420">
        <f t="shared" si="2"/>
        <v>-0.75</v>
      </c>
      <c r="AW31" s="420">
        <f>AT31-$E$4-$E$14</f>
        <v>-0.98</v>
      </c>
      <c r="AX31" s="421"/>
      <c r="AY31" s="421"/>
      <c r="AZ31" s="421"/>
      <c r="BA31" s="421"/>
      <c r="BB31" s="421">
        <f>AW31-(AX31*$E$10)-(AY31*$E$11)-(AZ31*$E$12)-(BA31*$E$13)</f>
        <v>-0.98</v>
      </c>
    </row>
    <row r="32" spans="2:54" ht="15" x14ac:dyDescent="0.25">
      <c r="B32" s="415"/>
      <c r="C32" s="417">
        <v>5</v>
      </c>
      <c r="D32" s="534"/>
      <c r="E32" s="419"/>
      <c r="F32" s="535"/>
      <c r="G32" s="535"/>
      <c r="H32" s="535"/>
      <c r="I32" s="522"/>
      <c r="J32" s="419">
        <f t="shared" si="5"/>
        <v>0</v>
      </c>
      <c r="K32" s="523"/>
      <c r="L32" s="523"/>
      <c r="M32" s="420">
        <f>J32-$E$3-$E$9</f>
        <v>-0.65500000000000003</v>
      </c>
      <c r="N32" s="420"/>
      <c r="O32" s="421"/>
      <c r="P32" s="421"/>
      <c r="Q32" s="421"/>
      <c r="R32" s="421"/>
      <c r="S32" s="421"/>
      <c r="T32" s="421">
        <f t="shared" si="0"/>
        <v>-0.65500000000000003</v>
      </c>
      <c r="U32" s="415"/>
      <c r="V32" s="417">
        <v>25</v>
      </c>
      <c r="W32" s="507"/>
      <c r="X32" s="419"/>
      <c r="Y32" s="508"/>
      <c r="Z32" s="508"/>
      <c r="AA32" s="508"/>
      <c r="AB32" s="418"/>
      <c r="AC32" s="419"/>
      <c r="AD32" s="420">
        <v>0.85999999999999943</v>
      </c>
      <c r="AE32" s="420">
        <f t="shared" si="3"/>
        <v>-0.98</v>
      </c>
      <c r="AG32" s="421"/>
      <c r="AH32" s="421"/>
      <c r="AI32" s="421"/>
      <c r="AJ32" s="421"/>
      <c r="AK32" s="421">
        <f>AE32-(AG32*$E$25)-(AH32*$E$11)-(AI32*$E$12)-(AJ32*$E$13)</f>
        <v>-0.98</v>
      </c>
      <c r="AL32" s="415"/>
      <c r="AM32" s="417">
        <v>45</v>
      </c>
      <c r="AN32" s="422"/>
      <c r="AO32" s="425"/>
      <c r="AP32" s="426"/>
      <c r="AQ32" s="426"/>
      <c r="AR32" s="426"/>
      <c r="AS32" s="418"/>
      <c r="AT32" s="419"/>
      <c r="AU32" s="420"/>
      <c r="AV32" s="420">
        <f t="shared" si="2"/>
        <v>-0.75</v>
      </c>
      <c r="AW32" s="421"/>
      <c r="AX32" s="421"/>
      <c r="AY32" s="421"/>
      <c r="AZ32" s="421"/>
      <c r="BA32" s="421"/>
      <c r="BB32" s="421"/>
    </row>
    <row r="33" spans="1:54" ht="15" x14ac:dyDescent="0.25">
      <c r="B33" s="415"/>
      <c r="C33" s="417">
        <v>6</v>
      </c>
      <c r="D33" s="534"/>
      <c r="E33" s="419"/>
      <c r="F33" s="535"/>
      <c r="G33" s="535"/>
      <c r="H33" s="535"/>
      <c r="I33" s="522"/>
      <c r="J33" s="522">
        <f t="shared" si="5"/>
        <v>0</v>
      </c>
      <c r="K33" s="523"/>
      <c r="L33" s="523"/>
      <c r="M33" s="420">
        <f>J33-$E$3-$E$9</f>
        <v>-0.65500000000000003</v>
      </c>
      <c r="N33" s="420"/>
      <c r="O33" s="421"/>
      <c r="P33" s="421"/>
      <c r="Q33" s="421"/>
      <c r="R33" s="421"/>
      <c r="S33" s="421"/>
      <c r="T33" s="421">
        <f t="shared" si="0"/>
        <v>-0.65500000000000003</v>
      </c>
      <c r="U33" s="415"/>
      <c r="V33" s="417">
        <v>26</v>
      </c>
      <c r="W33" s="507"/>
      <c r="X33" s="419"/>
      <c r="Y33" s="508"/>
      <c r="Z33" s="508"/>
      <c r="AA33" s="423"/>
      <c r="AB33" s="418"/>
      <c r="AC33" s="419"/>
      <c r="AD33" s="420">
        <v>2.259999999999998</v>
      </c>
      <c r="AE33" s="420">
        <f t="shared" si="3"/>
        <v>-0.98</v>
      </c>
      <c r="AF33" s="420"/>
      <c r="AG33" s="421"/>
      <c r="AH33" s="421"/>
      <c r="AI33" s="421"/>
      <c r="AJ33" s="421"/>
      <c r="AK33" s="421">
        <f>AE33-(AG33*$E$25)-(AH33*$E$11)-(AI33*$E$12)-(AJ33*$E$13)</f>
        <v>-0.98</v>
      </c>
      <c r="AL33" s="415"/>
      <c r="AM33" s="410">
        <v>46</v>
      </c>
      <c r="AN33" s="422"/>
      <c r="AO33" s="425"/>
      <c r="AP33" s="558"/>
      <c r="AQ33" s="558"/>
      <c r="AR33" s="558"/>
      <c r="AS33" s="418"/>
      <c r="AT33" s="419"/>
      <c r="AU33" s="420"/>
      <c r="AV33" s="420">
        <f t="shared" si="2"/>
        <v>-0.75</v>
      </c>
      <c r="AW33" s="421"/>
      <c r="AX33" s="421"/>
      <c r="AY33" s="421"/>
      <c r="AZ33" s="421"/>
      <c r="BA33" s="421"/>
      <c r="BB33" s="421"/>
    </row>
    <row r="34" spans="1:54" ht="15" x14ac:dyDescent="0.25">
      <c r="B34" s="415"/>
      <c r="C34" s="417">
        <v>7</v>
      </c>
      <c r="D34" s="534"/>
      <c r="E34" s="419"/>
      <c r="F34" s="508"/>
      <c r="G34" s="535"/>
      <c r="H34" s="508"/>
      <c r="I34" s="522"/>
      <c r="J34" s="419">
        <f t="shared" si="5"/>
        <v>0</v>
      </c>
      <c r="K34" s="523"/>
      <c r="L34" s="523"/>
      <c r="M34" s="420">
        <f t="shared" ref="M34" si="6">J34-$E$4-$E$14</f>
        <v>-0.98</v>
      </c>
      <c r="N34" s="420"/>
      <c r="O34" s="421"/>
      <c r="P34" s="421"/>
      <c r="Q34" s="421"/>
      <c r="R34" s="421"/>
      <c r="S34" s="421"/>
      <c r="T34" s="421">
        <f t="shared" si="0"/>
        <v>-0.98</v>
      </c>
      <c r="U34" s="415"/>
      <c r="V34" s="417">
        <v>27</v>
      </c>
      <c r="W34" s="507"/>
      <c r="X34" s="419"/>
      <c r="Y34" s="508"/>
      <c r="Z34" s="508"/>
      <c r="AA34" s="423"/>
      <c r="AB34" s="418"/>
      <c r="AC34" s="419"/>
      <c r="AD34" s="420">
        <v>1.9600000000000009</v>
      </c>
      <c r="AE34" s="420">
        <f t="shared" si="3"/>
        <v>-0.98</v>
      </c>
      <c r="AF34" s="420"/>
      <c r="AG34" s="421"/>
      <c r="AH34" s="421"/>
      <c r="AI34" s="421"/>
      <c r="AJ34" s="421"/>
      <c r="AK34" s="421">
        <f t="shared" ref="AK34:AK39" si="7">AE34-(AG34*$E$25)-(AH34*$E$11)-(AI34*$E$12)-(AJ34*$E$13)</f>
        <v>-0.98</v>
      </c>
      <c r="AL34" s="415"/>
      <c r="AM34" s="417">
        <v>47</v>
      </c>
      <c r="AN34" s="422"/>
      <c r="AO34" s="425"/>
      <c r="AP34" s="417"/>
      <c r="AQ34" s="417"/>
      <c r="AR34" s="417"/>
      <c r="AS34" s="418"/>
      <c r="AT34" s="419"/>
      <c r="AU34" s="420"/>
      <c r="AV34" s="420">
        <f t="shared" si="2"/>
        <v>-0.75</v>
      </c>
      <c r="AW34" s="421"/>
      <c r="AX34" s="421"/>
      <c r="AY34" s="421"/>
      <c r="AZ34" s="421"/>
      <c r="BA34" s="421"/>
      <c r="BB34" s="421"/>
    </row>
    <row r="35" spans="1:54" ht="15" x14ac:dyDescent="0.25">
      <c r="B35" s="415"/>
      <c r="C35" s="417">
        <v>8</v>
      </c>
      <c r="D35" s="534"/>
      <c r="E35" s="419"/>
      <c r="F35" s="535"/>
      <c r="G35" s="535"/>
      <c r="H35" s="535"/>
      <c r="I35" s="522"/>
      <c r="J35" s="522">
        <f t="shared" si="5"/>
        <v>0</v>
      </c>
      <c r="K35" s="523"/>
      <c r="L35" s="523"/>
      <c r="M35" s="420">
        <f>J35-$E$3-$E$9</f>
        <v>-0.65500000000000003</v>
      </c>
      <c r="N35" s="420"/>
      <c r="O35" s="421"/>
      <c r="P35" s="421"/>
      <c r="Q35" s="421"/>
      <c r="R35" s="421"/>
      <c r="S35" s="421"/>
      <c r="T35" s="421">
        <f t="shared" si="0"/>
        <v>-0.65500000000000003</v>
      </c>
      <c r="U35" s="415"/>
      <c r="V35" s="417">
        <v>28</v>
      </c>
      <c r="W35" s="507"/>
      <c r="X35" s="419"/>
      <c r="Y35" s="508"/>
      <c r="Z35" s="508"/>
      <c r="AA35" s="508"/>
      <c r="AB35" s="418"/>
      <c r="AC35" s="419"/>
      <c r="AD35" s="420">
        <v>2.1000000000000014</v>
      </c>
      <c r="AE35" s="420">
        <f t="shared" si="3"/>
        <v>-0.98</v>
      </c>
      <c r="AG35" s="421"/>
      <c r="AH35" s="421"/>
      <c r="AI35" s="421"/>
      <c r="AJ35" s="421"/>
      <c r="AK35" s="421">
        <f t="shared" si="7"/>
        <v>-0.98</v>
      </c>
      <c r="AL35" s="415"/>
      <c r="AM35" s="410">
        <v>48</v>
      </c>
      <c r="AN35" s="422"/>
      <c r="AO35" s="425"/>
      <c r="AP35" s="417"/>
      <c r="AQ35" s="417"/>
      <c r="AR35" s="423"/>
      <c r="AS35" s="418"/>
      <c r="AT35" s="419"/>
      <c r="AU35" s="420"/>
      <c r="AV35" s="420">
        <f t="shared" si="2"/>
        <v>-0.75</v>
      </c>
      <c r="AW35" s="421"/>
      <c r="AX35" s="421"/>
      <c r="AY35" s="421"/>
      <c r="AZ35" s="421"/>
      <c r="BA35" s="421"/>
      <c r="BB35" s="421"/>
    </row>
    <row r="36" spans="1:54" ht="15" x14ac:dyDescent="0.25">
      <c r="B36" s="415"/>
      <c r="C36" s="417">
        <v>9</v>
      </c>
      <c r="D36" s="534"/>
      <c r="E36" s="419"/>
      <c r="F36" s="535"/>
      <c r="G36" s="535"/>
      <c r="H36" s="535"/>
      <c r="I36" s="522"/>
      <c r="J36" s="522">
        <f t="shared" si="5"/>
        <v>0</v>
      </c>
      <c r="K36" s="523"/>
      <c r="L36" s="523"/>
      <c r="M36" s="420">
        <f>J36-$E$6-$E$23-$E$4</f>
        <v>-1.155</v>
      </c>
      <c r="N36" s="420"/>
      <c r="O36" s="421"/>
      <c r="P36" s="421"/>
      <c r="Q36" s="421"/>
      <c r="R36" s="421"/>
      <c r="S36" s="421"/>
      <c r="T36" s="421">
        <f t="shared" si="0"/>
        <v>-1.155</v>
      </c>
      <c r="U36" s="415"/>
      <c r="V36" s="417"/>
      <c r="W36" s="507"/>
      <c r="X36" s="419"/>
      <c r="Y36" s="508"/>
      <c r="Z36" s="508"/>
      <c r="AA36" s="508"/>
      <c r="AB36" s="418"/>
      <c r="AC36" s="419"/>
      <c r="AD36" s="420">
        <v>2.1000000000000014</v>
      </c>
      <c r="AE36" s="420">
        <f t="shared" si="3"/>
        <v>-0.98</v>
      </c>
      <c r="AF36" s="420"/>
      <c r="AG36" s="421"/>
      <c r="AH36" s="421"/>
      <c r="AI36" s="421"/>
      <c r="AJ36" s="421"/>
      <c r="AK36" s="421">
        <f t="shared" si="7"/>
        <v>-0.98</v>
      </c>
      <c r="AL36" s="415"/>
      <c r="AN36" s="422"/>
      <c r="AO36" s="417"/>
      <c r="AP36" s="417"/>
      <c r="AQ36" s="417"/>
      <c r="AR36" s="417"/>
      <c r="AS36" s="417"/>
      <c r="AT36" s="427"/>
      <c r="AU36" s="420"/>
      <c r="AV36" s="420"/>
      <c r="AW36" s="420"/>
      <c r="AX36" s="421"/>
      <c r="AY36" s="421"/>
      <c r="AZ36" s="421"/>
      <c r="BA36" s="421"/>
      <c r="BB36" s="421"/>
    </row>
    <row r="37" spans="1:54" ht="15" x14ac:dyDescent="0.25">
      <c r="A37" s="428"/>
      <c r="B37" s="415"/>
      <c r="C37" s="417">
        <v>10</v>
      </c>
      <c r="D37" s="534"/>
      <c r="E37" s="419"/>
      <c r="F37" s="535"/>
      <c r="G37" s="535"/>
      <c r="H37" s="535"/>
      <c r="I37" s="522"/>
      <c r="J37" s="522">
        <f t="shared" si="5"/>
        <v>0</v>
      </c>
      <c r="K37" s="523"/>
      <c r="L37" s="523"/>
      <c r="M37" s="420">
        <f>J37-$E$3-$E$9</f>
        <v>-0.65500000000000003</v>
      </c>
      <c r="N37" s="420"/>
      <c r="O37" s="421"/>
      <c r="P37" s="421"/>
      <c r="Q37" s="421"/>
      <c r="R37" s="421"/>
      <c r="S37" s="421"/>
      <c r="T37" s="421">
        <f t="shared" si="0"/>
        <v>-0.65500000000000003</v>
      </c>
      <c r="U37" s="415"/>
      <c r="V37" s="417"/>
      <c r="W37" s="507"/>
      <c r="X37" s="419"/>
      <c r="Y37" s="508"/>
      <c r="Z37" s="508"/>
      <c r="AA37" s="423"/>
      <c r="AB37" s="418"/>
      <c r="AC37" s="419"/>
      <c r="AD37" s="420">
        <v>2.1000000000000014</v>
      </c>
      <c r="AE37" s="420">
        <f t="shared" si="3"/>
        <v>-0.98</v>
      </c>
      <c r="AF37" s="420"/>
      <c r="AG37" s="421"/>
      <c r="AH37" s="421"/>
      <c r="AI37" s="421"/>
      <c r="AJ37" s="421"/>
      <c r="AK37" s="421">
        <f t="shared" si="7"/>
        <v>-0.98</v>
      </c>
      <c r="AL37" s="415"/>
      <c r="AN37" s="422"/>
      <c r="AO37" s="417"/>
      <c r="AP37" s="417"/>
      <c r="AQ37" s="417"/>
      <c r="AR37" s="417"/>
      <c r="AS37" s="417"/>
      <c r="AT37" s="427"/>
      <c r="AU37" s="420"/>
      <c r="AV37" s="420"/>
      <c r="AW37" s="420"/>
      <c r="AX37" s="421"/>
      <c r="AY37" s="421"/>
      <c r="AZ37" s="421"/>
      <c r="BA37" s="421"/>
      <c r="BB37" s="421"/>
    </row>
    <row r="38" spans="1:54" ht="15" x14ac:dyDescent="0.25">
      <c r="B38" s="415"/>
      <c r="C38" s="417">
        <v>11</v>
      </c>
      <c r="D38" s="534"/>
      <c r="E38" s="419"/>
      <c r="F38" s="535"/>
      <c r="G38" s="535"/>
      <c r="H38" s="535"/>
      <c r="I38" s="508"/>
      <c r="J38" s="522">
        <f t="shared" si="5"/>
        <v>0</v>
      </c>
      <c r="K38" s="523"/>
      <c r="L38" s="523"/>
      <c r="M38" s="420">
        <f>J38-$E$3-$E$9</f>
        <v>-0.65500000000000003</v>
      </c>
      <c r="O38" s="421"/>
      <c r="P38" s="421"/>
      <c r="Q38" s="421"/>
      <c r="R38" s="421"/>
      <c r="T38" s="421">
        <f t="shared" si="0"/>
        <v>-0.65500000000000003</v>
      </c>
      <c r="U38" s="415"/>
      <c r="V38" s="417"/>
      <c r="W38" s="507"/>
      <c r="X38" s="419"/>
      <c r="Y38" s="508"/>
      <c r="Z38" s="508"/>
      <c r="AA38" s="423"/>
      <c r="AB38" s="418"/>
      <c r="AC38" s="419"/>
      <c r="AD38" s="420">
        <v>2.1000000000000014</v>
      </c>
      <c r="AE38" s="420">
        <f t="shared" si="3"/>
        <v>-0.98</v>
      </c>
      <c r="AF38" s="420"/>
      <c r="AG38" s="421"/>
      <c r="AH38" s="421"/>
      <c r="AI38" s="421"/>
      <c r="AJ38" s="421"/>
      <c r="AK38" s="421">
        <f t="shared" si="7"/>
        <v>-0.98</v>
      </c>
      <c r="AL38" s="415"/>
      <c r="AN38" s="422"/>
    </row>
    <row r="39" spans="1:54" ht="15" x14ac:dyDescent="0.25">
      <c r="B39" s="415"/>
      <c r="C39" s="417">
        <v>12</v>
      </c>
      <c r="D39" s="534"/>
      <c r="E39" s="419"/>
      <c r="F39" s="535"/>
      <c r="G39" s="535"/>
      <c r="H39" s="535"/>
      <c r="I39" s="508"/>
      <c r="J39" s="522">
        <f t="shared" si="5"/>
        <v>0</v>
      </c>
      <c r="K39" s="523"/>
      <c r="L39" s="523"/>
      <c r="M39" s="420">
        <f>J39-0.45-$E$3</f>
        <v>-0.505</v>
      </c>
      <c r="O39" s="421"/>
      <c r="P39" s="421"/>
      <c r="Q39" s="421"/>
      <c r="R39" s="421"/>
      <c r="T39" s="421">
        <f t="shared" si="0"/>
        <v>-0.505</v>
      </c>
      <c r="U39" s="415"/>
      <c r="V39" s="417"/>
      <c r="W39" s="507"/>
      <c r="X39" s="419"/>
      <c r="Y39" s="508"/>
      <c r="Z39" s="508"/>
      <c r="AA39" s="423"/>
      <c r="AB39" s="418"/>
      <c r="AC39" s="419"/>
      <c r="AD39" s="420">
        <v>2.1000000000000014</v>
      </c>
      <c r="AE39" s="420">
        <f t="shared" si="3"/>
        <v>-0.98</v>
      </c>
      <c r="AF39" s="420"/>
      <c r="AG39" s="421"/>
      <c r="AH39" s="421"/>
      <c r="AI39" s="421"/>
      <c r="AJ39" s="421"/>
      <c r="AK39" s="421">
        <f t="shared" si="7"/>
        <v>-0.98</v>
      </c>
      <c r="AL39" s="415"/>
      <c r="AN39" s="422"/>
    </row>
    <row r="40" spans="1:54" ht="15" x14ac:dyDescent="0.25">
      <c r="B40" s="415"/>
      <c r="C40" s="417">
        <v>13</v>
      </c>
      <c r="D40" s="534"/>
      <c r="E40" s="419"/>
      <c r="F40" s="535"/>
      <c r="G40" s="535"/>
      <c r="H40" s="535"/>
      <c r="I40" s="522"/>
      <c r="J40" s="522">
        <v>0.76700000000000002</v>
      </c>
      <c r="K40" s="523"/>
      <c r="L40" s="523"/>
      <c r="M40" s="420">
        <f>J40-0.45-$E$3</f>
        <v>0.26200000000000001</v>
      </c>
      <c r="O40" s="421"/>
      <c r="P40" s="421"/>
      <c r="Q40" s="421"/>
      <c r="R40" s="421"/>
      <c r="S40" s="421"/>
      <c r="T40" s="421">
        <f t="shared" si="0"/>
        <v>0.26200000000000001</v>
      </c>
      <c r="U40" s="415"/>
      <c r="V40" s="417"/>
      <c r="W40" s="507"/>
      <c r="X40" s="419"/>
      <c r="Y40" s="508"/>
      <c r="Z40" s="508"/>
      <c r="AA40" s="423"/>
      <c r="AB40" s="418"/>
      <c r="AC40" s="419"/>
      <c r="AD40" s="420">
        <v>2.1000000000000014</v>
      </c>
      <c r="AE40" s="420">
        <f t="shared" si="3"/>
        <v>-0.98</v>
      </c>
      <c r="AF40" s="420"/>
      <c r="AG40" s="421"/>
      <c r="AH40" s="421"/>
      <c r="AI40" s="421"/>
      <c r="AJ40" s="421"/>
      <c r="AK40" s="421">
        <f>AE40-(AG40*$E$10)-(AH40*$E$11)-(AI40*$E$12)-(AJ40*$E$13)</f>
        <v>-0.98</v>
      </c>
      <c r="AL40" s="415"/>
      <c r="AN40" s="422"/>
    </row>
    <row r="41" spans="1:54" ht="15" x14ac:dyDescent="0.25">
      <c r="B41" s="415"/>
      <c r="C41" s="417">
        <v>14</v>
      </c>
      <c r="D41" s="534"/>
      <c r="E41" s="419"/>
      <c r="F41" s="535"/>
      <c r="G41" s="535"/>
      <c r="H41" s="535"/>
      <c r="I41" s="522"/>
      <c r="J41" s="522">
        <v>0.88200000000000001</v>
      </c>
      <c r="K41" s="523"/>
      <c r="L41" s="523"/>
      <c r="M41" s="420">
        <f>J41-0.45-$E$3</f>
        <v>0.377</v>
      </c>
      <c r="O41" s="421"/>
      <c r="P41" s="421"/>
      <c r="Q41" s="421"/>
      <c r="R41" s="421"/>
      <c r="T41" s="421">
        <f t="shared" si="0"/>
        <v>0.377</v>
      </c>
      <c r="U41" s="415"/>
      <c r="V41" s="417"/>
      <c r="W41" s="507"/>
      <c r="X41" s="419"/>
      <c r="Y41" s="508"/>
      <c r="Z41" s="508"/>
      <c r="AA41" s="508"/>
      <c r="AB41" s="418"/>
      <c r="AC41" s="419"/>
      <c r="AD41" s="420">
        <v>2.1000000000000014</v>
      </c>
      <c r="AE41" s="420">
        <f t="shared" si="3"/>
        <v>-0.98</v>
      </c>
      <c r="AG41" s="421"/>
      <c r="AH41" s="421"/>
      <c r="AI41" s="421"/>
      <c r="AJ41" s="421"/>
      <c r="AK41" s="421">
        <f>AE41-(AG41*$E$25)-(AH41*$E$11)-(AI41*$E$12)-(AJ41*$E$13)</f>
        <v>-0.98</v>
      </c>
      <c r="AL41" s="415"/>
      <c r="AN41" s="422"/>
    </row>
    <row r="42" spans="1:54" ht="15" x14ac:dyDescent="0.25">
      <c r="B42" s="415"/>
      <c r="C42" s="417">
        <v>15</v>
      </c>
      <c r="D42" s="534"/>
      <c r="E42" s="419"/>
      <c r="F42" s="535"/>
      <c r="G42" s="535"/>
      <c r="H42" s="535"/>
      <c r="I42" s="522"/>
      <c r="J42" s="522">
        <v>1.2909999999999999</v>
      </c>
      <c r="K42" s="523"/>
      <c r="L42" s="523"/>
      <c r="M42" s="420">
        <f>J42-$E$3-$E$9</f>
        <v>0.63600000000000001</v>
      </c>
      <c r="O42" s="421"/>
      <c r="P42" s="421"/>
      <c r="Q42" s="421"/>
      <c r="R42" s="421"/>
      <c r="T42" s="421">
        <f t="shared" si="0"/>
        <v>0.63600000000000001</v>
      </c>
      <c r="U42" s="415"/>
      <c r="V42" s="417"/>
      <c r="W42" s="507"/>
      <c r="X42" s="419"/>
      <c r="Y42" s="508"/>
      <c r="Z42" s="508"/>
      <c r="AA42" s="508"/>
      <c r="AB42" s="418"/>
      <c r="AC42" s="419"/>
      <c r="AD42" s="420">
        <v>2.1000000000000014</v>
      </c>
      <c r="AE42" s="420">
        <f t="shared" ref="AE42:AE46" si="8">AC42-$E$4-$E$14</f>
        <v>-0.98</v>
      </c>
      <c r="AF42" s="420"/>
      <c r="AG42" s="421"/>
      <c r="AH42" s="421"/>
      <c r="AI42" s="421"/>
      <c r="AJ42" s="421"/>
      <c r="AK42" s="421">
        <f t="shared" ref="AK42:AK47" si="9">AE42-(AG42*$E$10)-(AH42*$E$11)-(AI42*$E$12)-(AJ42*$E$13)</f>
        <v>-0.98</v>
      </c>
      <c r="AL42" s="415"/>
      <c r="AN42" s="422"/>
    </row>
    <row r="43" spans="1:54" ht="15" x14ac:dyDescent="0.25">
      <c r="B43" s="415"/>
      <c r="C43" s="417">
        <v>16</v>
      </c>
      <c r="D43" s="534"/>
      <c r="E43" s="419"/>
      <c r="F43" s="535"/>
      <c r="G43" s="535"/>
      <c r="H43" s="535"/>
      <c r="I43" s="508"/>
      <c r="J43" s="522">
        <v>0.96899999999999997</v>
      </c>
      <c r="K43" s="523"/>
      <c r="L43" s="523"/>
      <c r="M43" s="420">
        <f>J43-0.45-$E$3</f>
        <v>0.46399999999999991</v>
      </c>
      <c r="O43" s="421"/>
      <c r="P43" s="421"/>
      <c r="Q43" s="421"/>
      <c r="R43" s="421"/>
      <c r="T43" s="421">
        <f t="shared" si="0"/>
        <v>0.46399999999999991</v>
      </c>
      <c r="U43" s="415"/>
      <c r="V43" s="417"/>
      <c r="W43" s="507"/>
      <c r="X43" s="419"/>
      <c r="Y43" s="508"/>
      <c r="Z43" s="508"/>
      <c r="AA43" s="508"/>
      <c r="AB43" s="418"/>
      <c r="AC43" s="419"/>
      <c r="AD43" s="420">
        <v>2.1000000000000014</v>
      </c>
      <c r="AE43" s="420">
        <f t="shared" si="8"/>
        <v>-0.98</v>
      </c>
      <c r="AF43" s="420"/>
      <c r="AG43" s="421"/>
      <c r="AH43" s="421"/>
      <c r="AI43" s="421"/>
      <c r="AJ43" s="421"/>
      <c r="AK43" s="421">
        <f t="shared" si="9"/>
        <v>-0.98</v>
      </c>
      <c r="AL43" s="415"/>
      <c r="AN43" s="422"/>
    </row>
    <row r="44" spans="1:54" ht="15" x14ac:dyDescent="0.25">
      <c r="B44" s="415"/>
      <c r="C44" s="417">
        <v>17</v>
      </c>
      <c r="D44" s="534"/>
      <c r="E44" s="419"/>
      <c r="F44" s="535"/>
      <c r="G44" s="535"/>
      <c r="H44" s="508"/>
      <c r="I44" s="522"/>
      <c r="J44" s="419">
        <f t="shared" si="5"/>
        <v>0</v>
      </c>
      <c r="K44" s="420"/>
      <c r="L44" s="420"/>
      <c r="M44" s="420">
        <f t="shared" ref="M44:M46" si="10">J44-$E$4-$E$14</f>
        <v>-0.98</v>
      </c>
      <c r="O44" s="421"/>
      <c r="P44" s="421"/>
      <c r="Q44" s="421"/>
      <c r="R44" s="421"/>
      <c r="T44" s="421">
        <f t="shared" si="0"/>
        <v>-0.98</v>
      </c>
      <c r="U44" s="415"/>
      <c r="V44" s="417"/>
      <c r="W44" s="507"/>
      <c r="X44" s="419"/>
      <c r="Y44" s="508"/>
      <c r="Z44" s="508"/>
      <c r="AA44" s="508"/>
      <c r="AB44" s="418"/>
      <c r="AC44" s="419"/>
      <c r="AD44" s="420">
        <v>2.1000000000000014</v>
      </c>
      <c r="AE44" s="420">
        <f t="shared" si="8"/>
        <v>-0.98</v>
      </c>
      <c r="AF44" s="420"/>
      <c r="AG44" s="421"/>
      <c r="AH44" s="421"/>
      <c r="AI44" s="421"/>
      <c r="AJ44" s="421"/>
      <c r="AK44" s="421">
        <f t="shared" si="9"/>
        <v>-0.98</v>
      </c>
      <c r="AL44" s="415"/>
      <c r="AN44" s="422"/>
    </row>
    <row r="45" spans="1:54" ht="15" x14ac:dyDescent="0.25">
      <c r="B45" s="415"/>
      <c r="C45" s="417">
        <v>18</v>
      </c>
      <c r="D45" s="534"/>
      <c r="E45" s="419"/>
      <c r="F45" s="508"/>
      <c r="G45" s="535"/>
      <c r="H45" s="508"/>
      <c r="I45" s="427"/>
      <c r="J45" s="419">
        <f t="shared" si="5"/>
        <v>0</v>
      </c>
      <c r="K45" s="420"/>
      <c r="L45" s="420"/>
      <c r="M45" s="420">
        <f t="shared" si="10"/>
        <v>-0.98</v>
      </c>
      <c r="O45" s="421"/>
      <c r="P45" s="421"/>
      <c r="Q45" s="421"/>
      <c r="R45" s="421"/>
      <c r="T45" s="421">
        <f t="shared" si="0"/>
        <v>-0.98</v>
      </c>
      <c r="U45" s="415"/>
      <c r="V45" s="417"/>
      <c r="W45" s="422"/>
      <c r="X45" s="419"/>
      <c r="Y45" s="508"/>
      <c r="Z45" s="508"/>
      <c r="AA45" s="508"/>
      <c r="AB45" s="418"/>
      <c r="AC45" s="419"/>
      <c r="AD45" s="420">
        <v>2.1000000000000014</v>
      </c>
      <c r="AE45" s="420">
        <f t="shared" si="8"/>
        <v>-0.98</v>
      </c>
      <c r="AF45" s="420"/>
      <c r="AG45" s="421"/>
      <c r="AH45" s="421"/>
      <c r="AI45" s="421"/>
      <c r="AJ45" s="421"/>
      <c r="AK45" s="421">
        <f t="shared" si="9"/>
        <v>-0.98</v>
      </c>
      <c r="AL45" s="415"/>
      <c r="AN45" s="422"/>
    </row>
    <row r="46" spans="1:54" ht="15" x14ac:dyDescent="0.25">
      <c r="B46" s="415"/>
      <c r="C46" s="417">
        <v>19</v>
      </c>
      <c r="D46" s="534"/>
      <c r="E46" s="419"/>
      <c r="F46" s="508"/>
      <c r="G46" s="535"/>
      <c r="H46" s="535"/>
      <c r="I46" s="522"/>
      <c r="J46" s="419">
        <v>2.5099999999999998</v>
      </c>
      <c r="K46" s="420"/>
      <c r="L46" s="420"/>
      <c r="M46" s="420">
        <f t="shared" si="10"/>
        <v>1.5299999999999998</v>
      </c>
      <c r="O46" s="421"/>
      <c r="P46" s="421"/>
      <c r="Q46" s="421"/>
      <c r="R46" s="421"/>
      <c r="S46" s="426"/>
      <c r="T46" s="421">
        <f t="shared" si="0"/>
        <v>1.5299999999999998</v>
      </c>
      <c r="U46" s="415"/>
      <c r="V46" s="417"/>
      <c r="W46" s="507"/>
      <c r="X46" s="417"/>
      <c r="Y46" s="508"/>
      <c r="Z46" s="508"/>
      <c r="AA46" s="508"/>
      <c r="AB46" s="418"/>
      <c r="AC46" s="419"/>
      <c r="AD46" s="420">
        <v>2.1000000000000014</v>
      </c>
      <c r="AE46" s="420">
        <f t="shared" si="8"/>
        <v>-0.98</v>
      </c>
      <c r="AF46" s="420"/>
      <c r="AG46" s="421"/>
      <c r="AH46" s="421"/>
      <c r="AI46" s="421"/>
      <c r="AJ46" s="421"/>
      <c r="AK46" s="421">
        <f t="shared" si="9"/>
        <v>-0.98</v>
      </c>
      <c r="AL46" s="415"/>
      <c r="AM46" s="417"/>
      <c r="AN46" s="422"/>
      <c r="AO46" s="417"/>
      <c r="AP46" s="417"/>
      <c r="AQ46" s="417"/>
      <c r="AR46" s="417"/>
      <c r="AS46" s="417"/>
      <c r="AT46" s="427"/>
      <c r="AU46" s="420"/>
      <c r="AV46" s="420"/>
      <c r="AW46" s="420"/>
      <c r="AX46" s="421"/>
      <c r="AY46" s="421"/>
      <c r="AZ46" s="421"/>
      <c r="BA46" s="421"/>
      <c r="BB46" s="421"/>
    </row>
    <row r="47" spans="1:54" ht="15" x14ac:dyDescent="0.25">
      <c r="B47" s="415"/>
      <c r="C47" s="417">
        <v>20</v>
      </c>
      <c r="D47" s="534"/>
      <c r="E47" s="419"/>
      <c r="F47" s="535"/>
      <c r="G47" s="535"/>
      <c r="H47" s="535"/>
      <c r="I47" s="427"/>
      <c r="J47" s="419">
        <v>0.61499999999999999</v>
      </c>
      <c r="K47" s="420"/>
      <c r="L47" s="420"/>
      <c r="M47" s="420">
        <f>J47-$E$3-$E$9</f>
        <v>-4.0000000000000036E-2</v>
      </c>
      <c r="N47" s="421"/>
      <c r="O47" s="421"/>
      <c r="Q47" s="479"/>
      <c r="S47" s="426"/>
      <c r="T47" s="421">
        <f t="shared" si="0"/>
        <v>-4.0000000000000036E-2</v>
      </c>
      <c r="U47" s="415"/>
      <c r="V47" s="417"/>
      <c r="W47" s="507"/>
      <c r="X47" s="417"/>
      <c r="Y47" s="508"/>
      <c r="Z47" s="508"/>
      <c r="AA47" s="508"/>
      <c r="AB47" s="418"/>
      <c r="AC47" s="419"/>
      <c r="AD47" s="420">
        <v>2.1000000000000014</v>
      </c>
      <c r="AE47" s="420">
        <f>AC47-0.045-$E$14</f>
        <v>-0.94500000000000006</v>
      </c>
      <c r="AG47" s="421"/>
      <c r="AH47" s="421"/>
      <c r="AI47" s="421"/>
      <c r="AJ47" s="421"/>
      <c r="AK47" s="421">
        <f t="shared" si="9"/>
        <v>-0.94500000000000006</v>
      </c>
      <c r="AL47" s="415"/>
      <c r="AM47" s="417"/>
      <c r="AN47" s="422"/>
      <c r="AO47" s="417"/>
      <c r="AP47" s="417"/>
      <c r="AQ47" s="417"/>
      <c r="AR47" s="417"/>
      <c r="AS47" s="417"/>
      <c r="AT47" s="427"/>
      <c r="AU47" s="420"/>
      <c r="AV47" s="420"/>
      <c r="AW47" s="420"/>
      <c r="AX47" s="421"/>
      <c r="AY47" s="421"/>
      <c r="AZ47" s="421"/>
      <c r="BA47" s="421"/>
      <c r="BB47" s="421"/>
    </row>
    <row r="48" spans="1:54" ht="15" x14ac:dyDescent="0.25">
      <c r="B48" s="415"/>
      <c r="C48" s="417"/>
      <c r="D48" s="422"/>
      <c r="E48" s="419"/>
      <c r="F48" s="508"/>
      <c r="G48" s="508"/>
      <c r="H48" s="508"/>
      <c r="I48" s="427"/>
      <c r="J48" s="420"/>
      <c r="K48" s="420"/>
      <c r="L48" s="420"/>
      <c r="M48" s="420"/>
      <c r="N48" s="421"/>
      <c r="S48" s="426"/>
      <c r="T48" s="426"/>
      <c r="V48" s="417"/>
      <c r="W48" s="422"/>
      <c r="X48" s="417"/>
      <c r="Y48" s="417"/>
      <c r="Z48" s="417"/>
      <c r="AA48" s="423"/>
      <c r="AB48" s="427"/>
      <c r="AC48" s="419"/>
      <c r="AD48" s="420"/>
      <c r="AE48" s="420"/>
      <c r="AF48" s="420"/>
      <c r="AG48" s="421"/>
      <c r="AH48" s="421"/>
      <c r="AI48" s="421"/>
      <c r="AJ48" s="421"/>
      <c r="AK48" s="421"/>
      <c r="AM48" s="417"/>
      <c r="AN48" s="422"/>
      <c r="AO48" s="417"/>
      <c r="AP48" s="417"/>
      <c r="AQ48" s="417"/>
      <c r="AR48" s="417"/>
      <c r="AS48" s="417"/>
      <c r="AT48" s="427"/>
      <c r="AU48" s="420"/>
      <c r="AV48" s="420"/>
      <c r="AW48" s="420"/>
      <c r="AX48" s="421"/>
      <c r="AY48" s="421"/>
      <c r="AZ48" s="421"/>
      <c r="BA48" s="421"/>
      <c r="BB48" s="421"/>
    </row>
    <row r="49" spans="2:54" ht="15" x14ac:dyDescent="0.25">
      <c r="B49" s="415"/>
      <c r="C49" s="417"/>
      <c r="D49" s="422"/>
      <c r="E49" s="419"/>
      <c r="F49" s="417"/>
      <c r="G49" s="417"/>
      <c r="H49" s="417"/>
      <c r="I49" s="427"/>
      <c r="J49" s="420"/>
      <c r="K49" s="420"/>
      <c r="L49" s="420"/>
      <c r="M49" s="420"/>
      <c r="N49" s="421"/>
      <c r="S49" s="426"/>
      <c r="T49" s="426"/>
      <c r="V49" s="417"/>
      <c r="W49" s="422"/>
      <c r="X49" s="417"/>
      <c r="Y49" s="417"/>
      <c r="Z49" s="417"/>
      <c r="AA49" s="423"/>
      <c r="AB49" s="427"/>
      <c r="AC49" s="419"/>
      <c r="AD49" s="420"/>
      <c r="AG49" s="421"/>
      <c r="AH49" s="421"/>
      <c r="AI49" s="421"/>
      <c r="AJ49" s="421"/>
      <c r="AK49" s="421"/>
      <c r="AM49" s="417"/>
      <c r="AN49" s="422"/>
      <c r="AO49" s="417"/>
      <c r="AP49" s="417"/>
      <c r="AQ49" s="417"/>
      <c r="AR49" s="417"/>
      <c r="AS49" s="417"/>
      <c r="AT49" s="427"/>
      <c r="AU49" s="420"/>
      <c r="AV49" s="420"/>
      <c r="AW49" s="420"/>
      <c r="AX49" s="421"/>
      <c r="AY49" s="421"/>
      <c r="AZ49" s="421"/>
      <c r="BA49" s="421"/>
      <c r="BB49" s="421"/>
    </row>
    <row r="50" spans="2:54" ht="15" x14ac:dyDescent="0.25">
      <c r="C50" s="417"/>
      <c r="D50" s="417"/>
      <c r="E50" s="417"/>
      <c r="F50" s="429"/>
      <c r="G50" s="429"/>
      <c r="H50" s="426"/>
      <c r="I50" s="426"/>
      <c r="J50" s="426"/>
      <c r="K50" s="426"/>
      <c r="L50" s="524"/>
      <c r="M50" s="430" t="s">
        <v>396</v>
      </c>
      <c r="N50" s="430"/>
      <c r="O50" s="416" t="s">
        <v>386</v>
      </c>
      <c r="P50" s="416" t="s">
        <v>387</v>
      </c>
      <c r="Q50" s="416" t="s">
        <v>388</v>
      </c>
      <c r="R50" s="416" t="s">
        <v>389</v>
      </c>
      <c r="S50" s="416"/>
      <c r="T50" s="426"/>
      <c r="V50" s="417"/>
      <c r="W50" s="417"/>
      <c r="X50" s="417"/>
      <c r="Y50" s="417"/>
      <c r="Z50" s="417"/>
      <c r="AA50" s="417"/>
      <c r="AB50" s="427"/>
      <c r="AC50" s="420"/>
      <c r="AD50" s="420"/>
      <c r="AE50" s="430" t="s">
        <v>397</v>
      </c>
      <c r="AF50" s="430"/>
      <c r="AG50" s="416" t="s">
        <v>386</v>
      </c>
      <c r="AH50" s="416" t="s">
        <v>387</v>
      </c>
      <c r="AI50" s="416" t="s">
        <v>388</v>
      </c>
      <c r="AJ50" s="416" t="s">
        <v>389</v>
      </c>
      <c r="AK50" s="421"/>
      <c r="AM50" s="417"/>
      <c r="AN50" s="417"/>
      <c r="AO50" s="417"/>
      <c r="AP50" s="417"/>
      <c r="AQ50" s="417"/>
      <c r="AR50" s="417"/>
      <c r="AS50" s="417"/>
      <c r="AT50" s="427"/>
      <c r="AU50" s="420"/>
      <c r="AV50" s="420"/>
      <c r="AW50" s="430" t="s">
        <v>397</v>
      </c>
      <c r="AX50" s="416" t="s">
        <v>386</v>
      </c>
      <c r="AY50" s="416" t="s">
        <v>387</v>
      </c>
      <c r="AZ50" s="416" t="s">
        <v>388</v>
      </c>
      <c r="BA50" s="416" t="s">
        <v>389</v>
      </c>
      <c r="BB50" s="421"/>
    </row>
    <row r="51" spans="2:54" ht="15" x14ac:dyDescent="0.25">
      <c r="C51" s="417"/>
      <c r="D51" s="417"/>
      <c r="E51" s="417"/>
      <c r="F51" s="429"/>
      <c r="G51" s="429"/>
      <c r="H51" s="426"/>
      <c r="I51" s="426"/>
      <c r="J51" s="536" t="s">
        <v>1258</v>
      </c>
      <c r="K51" s="426"/>
      <c r="L51" s="524"/>
      <c r="M51" s="430"/>
      <c r="N51" s="430"/>
      <c r="O51" s="416"/>
      <c r="P51" s="416"/>
      <c r="Q51" s="416"/>
      <c r="R51" s="416"/>
      <c r="S51" s="416"/>
      <c r="T51" s="426"/>
      <c r="V51" s="417"/>
      <c r="W51" s="417"/>
      <c r="X51" s="417"/>
      <c r="Y51" s="417"/>
      <c r="Z51" s="417"/>
      <c r="AA51" s="417"/>
      <c r="AB51" s="427"/>
      <c r="AC51" s="420"/>
      <c r="AD51" s="420"/>
      <c r="AE51" s="430"/>
      <c r="AF51" s="430"/>
      <c r="AG51" s="416"/>
      <c r="AH51" s="416"/>
      <c r="AI51" s="416"/>
      <c r="AJ51" s="416"/>
      <c r="AK51" s="421"/>
      <c r="AM51" s="417"/>
      <c r="AN51" s="417"/>
      <c r="AO51" s="417"/>
      <c r="AP51" s="417"/>
      <c r="AQ51" s="417"/>
      <c r="AR51" s="417"/>
      <c r="AS51" s="417"/>
      <c r="AT51" s="427"/>
      <c r="AU51" s="420"/>
      <c r="AV51" s="420"/>
      <c r="AW51" s="430"/>
      <c r="AX51" s="416"/>
      <c r="AY51" s="416"/>
      <c r="AZ51" s="416"/>
      <c r="BA51" s="416"/>
      <c r="BB51" s="421"/>
    </row>
    <row r="52" spans="2:54" x14ac:dyDescent="0.2">
      <c r="J52" s="431" t="s">
        <v>1257</v>
      </c>
      <c r="M52" s="407"/>
      <c r="N52" s="407"/>
      <c r="O52" s="478"/>
      <c r="P52" s="432"/>
      <c r="Q52" s="432"/>
      <c r="R52" s="432"/>
      <c r="S52" s="432"/>
      <c r="AB52" s="433" t="s">
        <v>398</v>
      </c>
      <c r="AC52" s="431" t="s">
        <v>399</v>
      </c>
      <c r="AE52" s="407"/>
      <c r="AF52" s="407"/>
      <c r="AG52" s="434">
        <f>SUM(AG47,AG31,AG40)</f>
        <v>0</v>
      </c>
      <c r="AH52" s="434">
        <f t="shared" ref="AH52:AJ52" si="11">SUM(AH47,AH31,AH40)</f>
        <v>0</v>
      </c>
      <c r="AI52" s="434">
        <f t="shared" si="11"/>
        <v>0</v>
      </c>
      <c r="AJ52" s="434">
        <f t="shared" si="11"/>
        <v>0</v>
      </c>
      <c r="AT52" s="433" t="s">
        <v>398</v>
      </c>
      <c r="AU52" s="431" t="s">
        <v>399</v>
      </c>
      <c r="AW52" s="407"/>
      <c r="AX52" s="435"/>
      <c r="AY52" s="435"/>
      <c r="AZ52" s="435"/>
      <c r="BA52" s="435"/>
    </row>
    <row r="53" spans="2:54" x14ac:dyDescent="0.2">
      <c r="I53" s="399"/>
      <c r="J53" s="431" t="s">
        <v>400</v>
      </c>
      <c r="K53" s="436"/>
      <c r="L53" s="479"/>
      <c r="M53" s="410"/>
      <c r="N53" s="433" t="s">
        <v>401</v>
      </c>
      <c r="O53" s="436"/>
      <c r="P53" s="435"/>
      <c r="Q53" s="435"/>
      <c r="R53" s="435"/>
      <c r="S53" s="412"/>
      <c r="AB53" s="399"/>
      <c r="AC53" s="437">
        <v>1050</v>
      </c>
      <c r="AD53" s="436"/>
      <c r="AE53" s="407"/>
      <c r="AF53" s="407"/>
      <c r="AG53" s="435">
        <f>SUM(AG41:AG44,AG32:AG37,AG28)</f>
        <v>0</v>
      </c>
      <c r="AH53" s="435">
        <f>SUM(AH41:AH44,AH32:AH37,AH28)</f>
        <v>0</v>
      </c>
      <c r="AI53" s="435">
        <f t="shared" ref="AI53:AJ53" si="12">SUM(AI41:AI44,AI32:AI37,AI28)</f>
        <v>1</v>
      </c>
      <c r="AJ53" s="435">
        <f t="shared" si="12"/>
        <v>0</v>
      </c>
      <c r="AT53" s="399"/>
      <c r="AU53" s="437">
        <v>1050</v>
      </c>
      <c r="AV53" s="436"/>
      <c r="AW53" s="407">
        <f>COUNTA(AR28:AR29)</f>
        <v>0</v>
      </c>
      <c r="AX53" s="435">
        <f>SUM(AX28:AX29)</f>
        <v>0</v>
      </c>
      <c r="AY53" s="435">
        <f t="shared" ref="AY53:BA53" si="13">SUM(AY28:AY29)</f>
        <v>0</v>
      </c>
      <c r="AZ53" s="435">
        <f t="shared" si="13"/>
        <v>0</v>
      </c>
      <c r="BA53" s="435">
        <f t="shared" si="13"/>
        <v>0</v>
      </c>
    </row>
    <row r="54" spans="2:54" x14ac:dyDescent="0.2">
      <c r="I54" s="399"/>
      <c r="J54" s="431" t="s">
        <v>402</v>
      </c>
      <c r="K54" s="436"/>
      <c r="L54" s="479"/>
      <c r="M54" s="407"/>
      <c r="N54" s="433" t="s">
        <v>403</v>
      </c>
      <c r="O54" s="436"/>
      <c r="P54" s="435"/>
      <c r="Q54" s="435"/>
      <c r="R54" s="435"/>
      <c r="S54" s="412"/>
      <c r="AB54" s="399"/>
      <c r="AC54" s="437">
        <v>1200</v>
      </c>
      <c r="AD54" s="436"/>
      <c r="AE54" s="407"/>
      <c r="AF54" s="407"/>
      <c r="AG54" s="407">
        <f>COUNTA(AG38:AG39,AG45)</f>
        <v>0</v>
      </c>
      <c r="AH54" s="407">
        <f t="shared" ref="AH54:AJ54" si="14">COUNTA(AH38:AH39,AH45)</f>
        <v>0</v>
      </c>
      <c r="AI54" s="407">
        <f t="shared" si="14"/>
        <v>0</v>
      </c>
      <c r="AJ54" s="407">
        <f t="shared" si="14"/>
        <v>0</v>
      </c>
      <c r="AT54" s="399"/>
      <c r="AU54" s="437">
        <v>1200</v>
      </c>
      <c r="AV54" s="436"/>
      <c r="AW54" s="407"/>
      <c r="AX54" s="412"/>
      <c r="AY54" s="412"/>
      <c r="AZ54" s="412"/>
      <c r="BA54" s="412"/>
    </row>
    <row r="55" spans="2:54" x14ac:dyDescent="0.2">
      <c r="I55" s="399"/>
      <c r="J55" s="431" t="s">
        <v>404</v>
      </c>
      <c r="K55" s="436"/>
      <c r="L55" s="479"/>
      <c r="M55" s="407"/>
      <c r="N55" s="433" t="s">
        <v>398</v>
      </c>
      <c r="O55" s="436"/>
      <c r="P55" s="435"/>
      <c r="Q55" s="435"/>
      <c r="R55" s="435"/>
      <c r="S55" s="412"/>
      <c r="AB55" s="399"/>
      <c r="AC55" s="437"/>
      <c r="AD55" s="436"/>
      <c r="AE55" s="407"/>
      <c r="AF55" s="407"/>
      <c r="AG55" s="407"/>
      <c r="AH55" s="407"/>
      <c r="AI55" s="407"/>
      <c r="AJ55" s="407"/>
      <c r="AT55" s="399"/>
      <c r="AU55" s="437"/>
      <c r="AV55" s="436"/>
      <c r="AW55" s="407"/>
      <c r="AX55" s="412"/>
      <c r="AY55" s="412"/>
      <c r="AZ55" s="412"/>
      <c r="BA55" s="412"/>
    </row>
    <row r="56" spans="2:54" x14ac:dyDescent="0.2">
      <c r="J56" s="437" t="s">
        <v>1256</v>
      </c>
      <c r="K56" s="436"/>
      <c r="L56" s="479"/>
      <c r="M56" s="407"/>
      <c r="N56" s="407" t="s">
        <v>410</v>
      </c>
      <c r="O56" s="435"/>
      <c r="P56" s="435"/>
      <c r="Q56" s="435"/>
      <c r="R56" s="435"/>
    </row>
    <row r="57" spans="2:54" x14ac:dyDescent="0.2">
      <c r="J57" s="437" t="s">
        <v>406</v>
      </c>
      <c r="M57" s="407"/>
      <c r="N57" s="407" t="s">
        <v>407</v>
      </c>
      <c r="O57" s="435"/>
      <c r="P57" s="435"/>
      <c r="Q57" s="435"/>
      <c r="R57" s="435"/>
    </row>
    <row r="58" spans="2:54" x14ac:dyDescent="0.2">
      <c r="I58" s="559" t="s">
        <v>408</v>
      </c>
      <c r="J58" s="437" t="s">
        <v>409</v>
      </c>
      <c r="M58" s="407"/>
      <c r="N58" s="407" t="s">
        <v>407</v>
      </c>
      <c r="O58" s="436"/>
      <c r="P58" s="436"/>
      <c r="Q58" s="436"/>
      <c r="R58" s="436"/>
      <c r="S58" s="436"/>
      <c r="AB58" s="559" t="s">
        <v>408</v>
      </c>
      <c r="AC58" s="431" t="s">
        <v>402</v>
      </c>
      <c r="AD58" s="439"/>
      <c r="AE58" s="407"/>
      <c r="AF58" s="407"/>
      <c r="AG58" s="436"/>
      <c r="AH58" s="436"/>
      <c r="AI58" s="436"/>
      <c r="AJ58" s="436"/>
      <c r="AT58" s="559" t="s">
        <v>408</v>
      </c>
      <c r="AU58" s="431" t="s">
        <v>402</v>
      </c>
      <c r="AV58" s="439"/>
      <c r="AW58" s="407"/>
      <c r="AX58" s="436"/>
      <c r="AY58" s="436"/>
      <c r="AZ58" s="436"/>
      <c r="BA58" s="436"/>
    </row>
    <row r="59" spans="2:54" x14ac:dyDescent="0.2">
      <c r="I59" s="559"/>
      <c r="J59" s="437">
        <v>2100</v>
      </c>
      <c r="M59" s="407"/>
      <c r="N59" s="407" t="s">
        <v>410</v>
      </c>
      <c r="O59" s="436"/>
      <c r="P59" s="436"/>
      <c r="Q59" s="436"/>
      <c r="R59" s="436"/>
      <c r="S59" s="436"/>
      <c r="AB59" s="559"/>
      <c r="AC59" s="431" t="s">
        <v>399</v>
      </c>
      <c r="AD59" s="436"/>
      <c r="AE59" s="407"/>
      <c r="AF59" s="407"/>
      <c r="AG59" s="436"/>
      <c r="AH59" s="436"/>
      <c r="AI59" s="436"/>
      <c r="AJ59" s="436"/>
      <c r="AT59" s="559"/>
      <c r="AU59" s="431" t="s">
        <v>399</v>
      </c>
      <c r="AV59" s="436"/>
      <c r="AW59" s="407"/>
      <c r="AX59" s="436"/>
      <c r="AY59" s="436"/>
      <c r="AZ59" s="436"/>
      <c r="BA59" s="436"/>
    </row>
    <row r="60" spans="2:54" x14ac:dyDescent="0.2">
      <c r="I60" s="559"/>
      <c r="J60" s="437">
        <v>2100</v>
      </c>
      <c r="M60" s="407"/>
      <c r="N60" s="407" t="s">
        <v>411</v>
      </c>
      <c r="O60" s="436"/>
      <c r="P60" s="436"/>
      <c r="Q60" s="436"/>
      <c r="R60" s="436"/>
      <c r="S60" s="436"/>
      <c r="AB60" s="438"/>
      <c r="AC60" s="437">
        <v>1050</v>
      </c>
      <c r="AD60" s="436"/>
      <c r="AE60" s="407"/>
      <c r="AF60" s="407"/>
      <c r="AG60" s="436"/>
      <c r="AH60" s="436"/>
      <c r="AI60" s="436"/>
      <c r="AJ60" s="436"/>
      <c r="AT60" s="438"/>
      <c r="AU60" s="437">
        <v>1050</v>
      </c>
      <c r="AV60" s="436"/>
      <c r="AW60" s="407"/>
      <c r="AX60" s="436"/>
      <c r="AY60" s="436"/>
      <c r="AZ60" s="436"/>
      <c r="BA60" s="436"/>
    </row>
    <row r="61" spans="2:54" x14ac:dyDescent="0.2">
      <c r="J61" s="437">
        <v>2100</v>
      </c>
      <c r="M61" s="410"/>
      <c r="N61" s="407" t="s">
        <v>412</v>
      </c>
    </row>
    <row r="62" spans="2:54" x14ac:dyDescent="0.2">
      <c r="J62" s="437"/>
      <c r="M62" s="410"/>
      <c r="N62" s="407"/>
    </row>
    <row r="63" spans="2:54" x14ac:dyDescent="0.2">
      <c r="J63" s="437"/>
      <c r="M63" s="410"/>
      <c r="N63" s="407"/>
    </row>
    <row r="64" spans="2:54" x14ac:dyDescent="0.2">
      <c r="O64" t="s">
        <v>413</v>
      </c>
    </row>
    <row r="65" spans="9:18" ht="5.45" customHeight="1" x14ac:dyDescent="0.2">
      <c r="I65" s="440"/>
      <c r="J65" s="440"/>
      <c r="K65" s="440"/>
      <c r="L65" s="440"/>
      <c r="M65" s="440"/>
      <c r="N65" s="440"/>
      <c r="O65" s="440"/>
      <c r="P65" s="440"/>
      <c r="Q65" s="440"/>
      <c r="R65" s="440"/>
    </row>
    <row r="66" spans="9:18" ht="15" x14ac:dyDescent="0.25">
      <c r="M66" s="430" t="s">
        <v>396</v>
      </c>
      <c r="N66" s="430"/>
      <c r="O66" s="416" t="s">
        <v>386</v>
      </c>
      <c r="P66" s="416" t="s">
        <v>387</v>
      </c>
      <c r="Q66" s="416" t="s">
        <v>388</v>
      </c>
      <c r="R66" s="416" t="s">
        <v>389</v>
      </c>
    </row>
    <row r="67" spans="9:18" x14ac:dyDescent="0.2">
      <c r="I67" s="560" t="s">
        <v>414</v>
      </c>
      <c r="J67" s="431" t="s">
        <v>399</v>
      </c>
      <c r="M67" s="442"/>
      <c r="N67" s="433" t="s">
        <v>403</v>
      </c>
      <c r="O67" s="412"/>
      <c r="P67" s="412"/>
      <c r="Q67" s="412"/>
      <c r="R67" s="412"/>
    </row>
    <row r="68" spans="9:18" x14ac:dyDescent="0.2">
      <c r="I68" s="560"/>
      <c r="J68" s="431" t="s">
        <v>399</v>
      </c>
      <c r="M68" s="443"/>
      <c r="N68" s="433" t="s">
        <v>398</v>
      </c>
      <c r="O68" s="412">
        <v>0</v>
      </c>
      <c r="P68" s="412">
        <v>0</v>
      </c>
      <c r="Q68" s="412">
        <v>0</v>
      </c>
      <c r="R68" s="412">
        <v>0</v>
      </c>
    </row>
    <row r="69" spans="9:18" x14ac:dyDescent="0.2">
      <c r="I69" s="560"/>
      <c r="J69" s="437" t="s">
        <v>415</v>
      </c>
      <c r="M69" s="443"/>
      <c r="N69" s="433"/>
      <c r="O69" s="412">
        <v>0</v>
      </c>
      <c r="P69" s="412">
        <v>0</v>
      </c>
      <c r="Q69" s="412">
        <f>Q56+AI53+AZ53</f>
        <v>1</v>
      </c>
      <c r="R69" s="412">
        <f>R56+AJ53+BA53</f>
        <v>0</v>
      </c>
    </row>
    <row r="70" spans="9:18" x14ac:dyDescent="0.2">
      <c r="I70" s="441"/>
      <c r="J70" s="437" t="s">
        <v>416</v>
      </c>
      <c r="M70" s="443"/>
      <c r="N70" s="433"/>
      <c r="O70" s="412">
        <v>0</v>
      </c>
      <c r="P70" s="412">
        <v>0</v>
      </c>
      <c r="Q70" s="412">
        <f>Q57+AI54+AZ54</f>
        <v>0</v>
      </c>
      <c r="R70" s="412">
        <f>R57+AJ54+BA54</f>
        <v>0</v>
      </c>
    </row>
    <row r="73" spans="9:18" x14ac:dyDescent="0.2">
      <c r="J73" s="408" t="s">
        <v>417</v>
      </c>
      <c r="K73" t="s">
        <v>418</v>
      </c>
      <c r="M73" s="410"/>
      <c r="N73" s="433" t="s">
        <v>405</v>
      </c>
      <c r="O73" s="412"/>
      <c r="P73" s="412"/>
      <c r="Q73" s="412">
        <f t="shared" ref="Q73:R73" si="15">Q69+Q70</f>
        <v>1</v>
      </c>
      <c r="R73" s="412">
        <f t="shared" si="15"/>
        <v>0</v>
      </c>
    </row>
    <row r="76" spans="9:18" x14ac:dyDescent="0.2">
      <c r="I76" s="440"/>
      <c r="J76" s="440"/>
      <c r="K76" s="440"/>
      <c r="L76" s="440"/>
      <c r="M76" s="440"/>
      <c r="N76" s="440"/>
      <c r="O76" s="440"/>
      <c r="P76" s="440"/>
      <c r="Q76" s="440"/>
      <c r="R76" s="440"/>
    </row>
    <row r="77" spans="9:18" ht="15" x14ac:dyDescent="0.25">
      <c r="M77" s="430" t="s">
        <v>419</v>
      </c>
      <c r="N77" s="430"/>
      <c r="O77" s="416"/>
      <c r="P77" s="416"/>
      <c r="Q77" s="416"/>
      <c r="R77" s="416"/>
    </row>
    <row r="78" spans="9:18" ht="15" x14ac:dyDescent="0.25">
      <c r="I78" s="560" t="s">
        <v>414</v>
      </c>
      <c r="J78" s="500" t="s">
        <v>420</v>
      </c>
      <c r="L78" s="410">
        <f>COUNTA(G28,G39,G40,G41,G43)</f>
        <v>0</v>
      </c>
      <c r="M78" s="407" t="s">
        <v>421</v>
      </c>
      <c r="N78" s="430"/>
      <c r="O78" s="444" t="s">
        <v>422</v>
      </c>
      <c r="P78" s="416"/>
      <c r="Q78" s="416"/>
      <c r="R78" s="416"/>
    </row>
    <row r="79" spans="9:18" x14ac:dyDescent="0.2">
      <c r="I79" s="560"/>
      <c r="J79" s="431" t="s">
        <v>395</v>
      </c>
      <c r="L79">
        <f>COUNTA(G30,G32,G37,G38)</f>
        <v>0</v>
      </c>
      <c r="M79" s="407" t="s">
        <v>421</v>
      </c>
      <c r="N79" s="407"/>
      <c r="O79" s="444" t="s">
        <v>422</v>
      </c>
      <c r="Q79" s="412"/>
      <c r="R79" s="412"/>
    </row>
    <row r="80" spans="9:18" x14ac:dyDescent="0.2">
      <c r="I80" s="560"/>
      <c r="J80" s="431" t="s">
        <v>423</v>
      </c>
      <c r="L80">
        <f>COUNTA(G29,G31,G33,G35,G42,G47)</f>
        <v>0</v>
      </c>
      <c r="M80" s="407" t="s">
        <v>424</v>
      </c>
      <c r="N80" s="407"/>
      <c r="O80" s="444" t="s">
        <v>425</v>
      </c>
      <c r="Q80" s="412"/>
      <c r="R80" s="412"/>
    </row>
    <row r="81" spans="9:18" x14ac:dyDescent="0.2">
      <c r="I81" s="560"/>
      <c r="J81" s="431" t="s">
        <v>426</v>
      </c>
      <c r="M81" s="433" t="s">
        <v>427</v>
      </c>
      <c r="N81" s="407"/>
      <c r="O81" s="444" t="s">
        <v>422</v>
      </c>
      <c r="P81" s="412"/>
      <c r="Q81" s="412"/>
      <c r="R81" s="412"/>
    </row>
    <row r="82" spans="9:18" x14ac:dyDescent="0.2">
      <c r="I82" s="560"/>
      <c r="J82" s="431" t="s">
        <v>426</v>
      </c>
      <c r="L82">
        <f>COUNTA(G31)</f>
        <v>0</v>
      </c>
      <c r="M82" s="407" t="s">
        <v>424</v>
      </c>
      <c r="N82" s="407"/>
      <c r="O82" s="444" t="s">
        <v>422</v>
      </c>
      <c r="P82" s="412"/>
      <c r="Q82" s="412"/>
      <c r="R82" s="412"/>
    </row>
    <row r="83" spans="9:18" x14ac:dyDescent="0.2">
      <c r="I83" s="560"/>
      <c r="J83" s="431" t="s">
        <v>394</v>
      </c>
      <c r="L83" s="410">
        <f>COUNTA(G46)</f>
        <v>0</v>
      </c>
      <c r="M83" s="407" t="s">
        <v>424</v>
      </c>
      <c r="N83" s="407"/>
      <c r="O83" s="444" t="s">
        <v>422</v>
      </c>
      <c r="P83" s="412"/>
      <c r="Q83" s="412"/>
      <c r="R83" s="412"/>
    </row>
    <row r="84" spans="9:18" x14ac:dyDescent="0.2">
      <c r="I84" s="560"/>
      <c r="J84" s="431" t="s">
        <v>1259</v>
      </c>
      <c r="L84" s="410">
        <f>COUNTA(G36)</f>
        <v>0</v>
      </c>
      <c r="M84" s="433" t="s">
        <v>1260</v>
      </c>
      <c r="N84" s="407"/>
      <c r="O84" s="444" t="s">
        <v>425</v>
      </c>
      <c r="P84" s="412"/>
      <c r="Q84" s="412"/>
      <c r="R84" s="412"/>
    </row>
    <row r="85" spans="9:18" x14ac:dyDescent="0.2">
      <c r="I85" s="560"/>
      <c r="J85" s="431" t="s">
        <v>428</v>
      </c>
      <c r="L85">
        <f>COUNTA(H31,H36)</f>
        <v>0</v>
      </c>
      <c r="M85" s="433" t="s">
        <v>429</v>
      </c>
      <c r="N85" s="410"/>
      <c r="O85" s="444" t="s">
        <v>430</v>
      </c>
      <c r="P85" s="412"/>
      <c r="Q85" s="412"/>
      <c r="R85" s="412"/>
    </row>
    <row r="86" spans="9:18" x14ac:dyDescent="0.2">
      <c r="I86" s="560"/>
      <c r="J86" s="431" t="s">
        <v>431</v>
      </c>
      <c r="M86" s="433" t="s">
        <v>432</v>
      </c>
      <c r="N86" s="410"/>
      <c r="O86" s="444" t="s">
        <v>422</v>
      </c>
      <c r="P86" s="412"/>
      <c r="Q86" s="412"/>
      <c r="R86" s="412"/>
    </row>
    <row r="87" spans="9:18" x14ac:dyDescent="0.2">
      <c r="I87" s="560"/>
      <c r="J87" s="431" t="s">
        <v>433</v>
      </c>
      <c r="M87" s="433" t="s">
        <v>432</v>
      </c>
      <c r="N87" s="410"/>
      <c r="O87" s="444" t="s">
        <v>422</v>
      </c>
      <c r="P87" s="412"/>
      <c r="Q87" s="412"/>
      <c r="R87" s="412"/>
    </row>
    <row r="88" spans="9:18" x14ac:dyDescent="0.2">
      <c r="I88" s="560"/>
      <c r="J88" s="431" t="s">
        <v>434</v>
      </c>
      <c r="M88" s="433"/>
      <c r="N88" s="410"/>
      <c r="O88" s="444"/>
      <c r="P88" s="412"/>
      <c r="Q88" s="412"/>
      <c r="R88" s="412"/>
    </row>
    <row r="89" spans="9:18" x14ac:dyDescent="0.2">
      <c r="I89" s="560"/>
      <c r="J89" s="431"/>
      <c r="M89" s="445" t="s">
        <v>435</v>
      </c>
      <c r="N89" s="433"/>
      <c r="O89" s="446" t="s">
        <v>436</v>
      </c>
      <c r="R89" s="412"/>
    </row>
    <row r="90" spans="9:18" x14ac:dyDescent="0.2">
      <c r="I90" s="560"/>
      <c r="J90" s="431"/>
      <c r="L90" s="410"/>
      <c r="M90" s="431" t="s">
        <v>1255</v>
      </c>
      <c r="N90" s="433"/>
      <c r="O90" s="446"/>
      <c r="R90" s="412"/>
    </row>
    <row r="91" spans="9:18" x14ac:dyDescent="0.2">
      <c r="I91" s="560"/>
      <c r="J91" s="431"/>
      <c r="L91" s="410"/>
      <c r="M91" s="411" t="s">
        <v>1254</v>
      </c>
      <c r="N91" s="433"/>
      <c r="O91" s="446"/>
      <c r="R91" s="412"/>
    </row>
    <row r="92" spans="9:18" x14ac:dyDescent="0.2">
      <c r="I92" s="560"/>
      <c r="J92" s="431"/>
      <c r="M92" s="433" t="s">
        <v>282</v>
      </c>
      <c r="N92" s="410"/>
      <c r="O92" s="444"/>
      <c r="P92" s="412"/>
      <c r="Q92" s="412"/>
      <c r="R92" s="412"/>
    </row>
    <row r="93" spans="9:18" x14ac:dyDescent="0.2">
      <c r="I93" s="560"/>
      <c r="J93" s="431"/>
      <c r="M93" s="433"/>
      <c r="N93" s="433"/>
      <c r="O93" s="446"/>
      <c r="R93" s="412"/>
    </row>
    <row r="95" spans="9:18" ht="5.45" customHeight="1" x14ac:dyDescent="0.2">
      <c r="I95" s="440"/>
      <c r="J95" s="440"/>
      <c r="K95" s="440"/>
      <c r="L95" s="440"/>
      <c r="M95" s="440"/>
      <c r="N95" s="440"/>
      <c r="O95" s="440"/>
      <c r="P95" s="440"/>
      <c r="Q95" s="440"/>
      <c r="R95" s="440"/>
    </row>
    <row r="96" spans="9:18" x14ac:dyDescent="0.2">
      <c r="I96" s="447"/>
      <c r="J96" s="448"/>
      <c r="K96" s="447"/>
      <c r="L96" s="447"/>
      <c r="M96" s="449" t="s">
        <v>437</v>
      </c>
      <c r="N96" s="450"/>
      <c r="O96" s="451" t="s">
        <v>438</v>
      </c>
      <c r="P96" s="452"/>
      <c r="Q96" s="452"/>
      <c r="R96" s="452"/>
    </row>
    <row r="97" spans="9:18" x14ac:dyDescent="0.2">
      <c r="I97" s="447"/>
      <c r="J97" s="447"/>
      <c r="K97" s="447"/>
      <c r="L97" s="447"/>
      <c r="M97" s="447"/>
      <c r="N97" s="447"/>
      <c r="O97" s="447"/>
      <c r="P97" s="447"/>
      <c r="Q97" s="447"/>
      <c r="R97" s="447"/>
    </row>
    <row r="98" spans="9:18" ht="5.45" customHeight="1" x14ac:dyDescent="0.2">
      <c r="I98" s="453"/>
      <c r="J98" s="453"/>
      <c r="K98" s="453"/>
      <c r="L98" s="453"/>
      <c r="M98" s="453"/>
      <c r="N98" s="453"/>
      <c r="O98" s="453"/>
      <c r="P98" s="453"/>
      <c r="Q98" s="453"/>
      <c r="R98" s="453"/>
    </row>
    <row r="99" spans="9:18" ht="15" x14ac:dyDescent="0.25">
      <c r="I99" s="447"/>
      <c r="J99" s="447"/>
      <c r="K99" s="447"/>
      <c r="L99" s="447"/>
      <c r="M99" s="454" t="s">
        <v>396</v>
      </c>
      <c r="N99" s="454"/>
      <c r="O99" s="455" t="s">
        <v>386</v>
      </c>
      <c r="P99" s="455" t="s">
        <v>387</v>
      </c>
      <c r="Q99" s="455" t="s">
        <v>388</v>
      </c>
      <c r="R99" s="455" t="s">
        <v>389</v>
      </c>
    </row>
    <row r="100" spans="9:18" x14ac:dyDescent="0.2">
      <c r="I100" s="562" t="s">
        <v>439</v>
      </c>
      <c r="J100" s="448" t="s">
        <v>402</v>
      </c>
      <c r="K100" s="447"/>
      <c r="L100" s="447"/>
      <c r="M100" s="456"/>
      <c r="N100" s="456" t="s">
        <v>403</v>
      </c>
      <c r="O100" s="452"/>
      <c r="P100" s="452"/>
      <c r="Q100" s="452"/>
      <c r="R100" s="452"/>
    </row>
    <row r="101" spans="9:18" x14ac:dyDescent="0.2">
      <c r="I101" s="562"/>
      <c r="J101" s="448" t="s">
        <v>404</v>
      </c>
      <c r="K101" s="447"/>
      <c r="L101" s="447"/>
      <c r="M101" s="456"/>
      <c r="N101" s="456" t="s">
        <v>398</v>
      </c>
      <c r="O101" s="452"/>
      <c r="P101" s="452"/>
      <c r="Q101" s="452"/>
      <c r="R101" s="452"/>
    </row>
    <row r="102" spans="9:18" x14ac:dyDescent="0.2">
      <c r="I102" s="562"/>
      <c r="J102" s="448" t="s">
        <v>399</v>
      </c>
      <c r="K102" s="447"/>
      <c r="L102" s="447"/>
      <c r="M102" s="456"/>
      <c r="N102" s="456" t="s">
        <v>403</v>
      </c>
      <c r="O102" s="452"/>
      <c r="P102" s="452"/>
      <c r="Q102" s="452"/>
      <c r="R102" s="452"/>
    </row>
    <row r="103" spans="9:18" x14ac:dyDescent="0.2">
      <c r="I103" s="562"/>
      <c r="J103" s="448" t="s">
        <v>399</v>
      </c>
      <c r="K103" s="447"/>
      <c r="L103" s="447"/>
      <c r="M103" s="456"/>
      <c r="N103" s="456" t="s">
        <v>398</v>
      </c>
      <c r="O103" s="452"/>
      <c r="P103" s="452"/>
      <c r="Q103" s="452"/>
      <c r="R103" s="452"/>
    </row>
    <row r="104" spans="9:18" x14ac:dyDescent="0.2">
      <c r="I104" s="562"/>
      <c r="J104" s="457">
        <v>1050</v>
      </c>
      <c r="K104" s="447"/>
      <c r="L104" s="447"/>
      <c r="M104" s="456"/>
      <c r="N104" s="456" t="s">
        <v>440</v>
      </c>
      <c r="O104" s="452"/>
      <c r="P104" s="452"/>
      <c r="Q104" s="458"/>
      <c r="R104" s="458"/>
    </row>
    <row r="105" spans="9:18" ht="5.45" customHeight="1" x14ac:dyDescent="0.2">
      <c r="I105" s="453"/>
      <c r="J105" s="453"/>
      <c r="K105" s="453"/>
      <c r="L105" s="453"/>
      <c r="M105" s="453"/>
      <c r="N105" s="453"/>
      <c r="O105" s="453"/>
      <c r="P105" s="453"/>
      <c r="Q105" s="453"/>
      <c r="R105" s="453"/>
    </row>
    <row r="106" spans="9:18" ht="15" x14ac:dyDescent="0.25">
      <c r="I106" s="447"/>
      <c r="J106" s="447"/>
      <c r="K106" s="447"/>
      <c r="L106" s="447"/>
      <c r="M106" s="454" t="s">
        <v>419</v>
      </c>
      <c r="N106" s="454"/>
      <c r="O106" s="455"/>
      <c r="P106" s="455"/>
      <c r="Q106" s="455"/>
      <c r="R106" s="455"/>
    </row>
    <row r="107" spans="9:18" x14ac:dyDescent="0.2">
      <c r="I107" s="556" t="s">
        <v>441</v>
      </c>
      <c r="J107" s="448" t="s">
        <v>402</v>
      </c>
      <c r="K107" s="447"/>
      <c r="L107" s="447"/>
      <c r="M107" s="456" t="s">
        <v>432</v>
      </c>
      <c r="N107" s="450"/>
      <c r="O107" s="451" t="s">
        <v>442</v>
      </c>
      <c r="P107" s="452"/>
      <c r="Q107" s="452"/>
      <c r="R107" s="452"/>
    </row>
    <row r="108" spans="9:18" x14ac:dyDescent="0.2">
      <c r="I108" s="556"/>
      <c r="J108" s="448" t="s">
        <v>402</v>
      </c>
      <c r="K108" s="447"/>
      <c r="L108" s="447"/>
      <c r="M108" s="456" t="s">
        <v>432</v>
      </c>
      <c r="N108" s="450"/>
      <c r="O108" s="451" t="s">
        <v>443</v>
      </c>
      <c r="P108" s="452"/>
      <c r="Q108" s="452"/>
      <c r="R108" s="452"/>
    </row>
    <row r="109" spans="9:18" x14ac:dyDescent="0.2">
      <c r="I109" s="556"/>
      <c r="J109" s="448" t="s">
        <v>402</v>
      </c>
      <c r="K109" s="447"/>
      <c r="L109" s="447"/>
      <c r="M109" s="456" t="s">
        <v>444</v>
      </c>
      <c r="N109" s="450"/>
      <c r="O109" s="451" t="s">
        <v>443</v>
      </c>
      <c r="P109" s="452"/>
      <c r="Q109" s="452"/>
      <c r="R109" s="452"/>
    </row>
    <row r="110" spans="9:18" x14ac:dyDescent="0.2">
      <c r="I110" s="556"/>
      <c r="J110" s="448" t="s">
        <v>402</v>
      </c>
      <c r="K110" s="447"/>
      <c r="L110" s="447"/>
      <c r="M110" s="456" t="s">
        <v>445</v>
      </c>
      <c r="N110" s="450"/>
      <c r="O110" s="451" t="s">
        <v>446</v>
      </c>
      <c r="P110" s="452"/>
      <c r="Q110" s="452"/>
      <c r="R110" s="452"/>
    </row>
    <row r="111" spans="9:18" x14ac:dyDescent="0.2">
      <c r="I111" s="556"/>
      <c r="J111" s="448" t="s">
        <v>399</v>
      </c>
      <c r="K111" s="447"/>
      <c r="L111" s="447"/>
      <c r="M111" s="456" t="s">
        <v>432</v>
      </c>
      <c r="N111" s="450"/>
      <c r="O111" s="451" t="s">
        <v>442</v>
      </c>
      <c r="P111" s="452"/>
      <c r="Q111" s="452"/>
      <c r="R111" s="452"/>
    </row>
    <row r="112" spans="9:18" x14ac:dyDescent="0.2">
      <c r="I112" s="556"/>
      <c r="J112" s="448" t="s">
        <v>399</v>
      </c>
      <c r="K112" s="447"/>
      <c r="L112" s="447"/>
      <c r="M112" s="456" t="s">
        <v>432</v>
      </c>
      <c r="N112" s="450"/>
      <c r="O112" s="451" t="s">
        <v>447</v>
      </c>
      <c r="P112" s="452"/>
      <c r="Q112" s="452"/>
      <c r="R112" s="452"/>
    </row>
    <row r="113" spans="9:18" x14ac:dyDescent="0.2">
      <c r="I113" s="556"/>
      <c r="J113" s="448" t="s">
        <v>404</v>
      </c>
      <c r="K113" s="447"/>
      <c r="L113" s="447"/>
      <c r="M113" s="456" t="s">
        <v>432</v>
      </c>
      <c r="N113" s="450"/>
      <c r="O113" s="451" t="s">
        <v>447</v>
      </c>
      <c r="P113" s="452"/>
      <c r="Q113" s="452"/>
      <c r="R113" s="452"/>
    </row>
    <row r="114" spans="9:18" x14ac:dyDescent="0.2">
      <c r="I114" s="556"/>
      <c r="J114" s="448" t="s">
        <v>428</v>
      </c>
      <c r="K114" s="447"/>
      <c r="L114" s="447"/>
      <c r="M114" s="456" t="s">
        <v>429</v>
      </c>
      <c r="N114" s="459"/>
      <c r="O114" s="451" t="s">
        <v>430</v>
      </c>
      <c r="P114" s="452"/>
      <c r="Q114" s="452"/>
      <c r="R114" s="452"/>
    </row>
    <row r="115" spans="9:18" x14ac:dyDescent="0.2">
      <c r="I115" s="447"/>
      <c r="J115" s="447"/>
      <c r="K115" s="447"/>
      <c r="L115" s="447"/>
      <c r="M115" s="447"/>
      <c r="N115" s="447"/>
      <c r="O115" s="447"/>
      <c r="P115" s="447"/>
      <c r="Q115" s="447"/>
      <c r="R115" s="447"/>
    </row>
    <row r="116" spans="9:18" ht="5.45" customHeight="1" x14ac:dyDescent="0.2">
      <c r="I116" s="453"/>
      <c r="J116" s="453"/>
      <c r="K116" s="453"/>
      <c r="L116" s="453"/>
      <c r="M116" s="453"/>
      <c r="N116" s="453"/>
      <c r="O116" s="453"/>
      <c r="P116" s="453"/>
      <c r="Q116" s="453"/>
      <c r="R116" s="453"/>
    </row>
    <row r="117" spans="9:18" ht="15" x14ac:dyDescent="0.25">
      <c r="I117" s="447"/>
      <c r="J117" s="447"/>
      <c r="K117" s="447"/>
      <c r="L117" s="447"/>
      <c r="M117" s="454" t="s">
        <v>419</v>
      </c>
      <c r="N117" s="454"/>
      <c r="O117" s="455"/>
      <c r="P117" s="455"/>
      <c r="Q117" s="455"/>
      <c r="R117" s="455"/>
    </row>
    <row r="118" spans="9:18" x14ac:dyDescent="0.2">
      <c r="I118" s="556" t="s">
        <v>448</v>
      </c>
      <c r="J118" s="448" t="s">
        <v>402</v>
      </c>
      <c r="K118" s="447"/>
      <c r="L118" s="447"/>
      <c r="M118" s="456" t="s">
        <v>432</v>
      </c>
      <c r="N118" s="450"/>
      <c r="O118" s="451" t="s">
        <v>442</v>
      </c>
      <c r="P118" s="452"/>
      <c r="Q118" s="452"/>
      <c r="R118" s="452"/>
    </row>
    <row r="119" spans="9:18" x14ac:dyDescent="0.2">
      <c r="I119" s="556"/>
      <c r="J119" s="448" t="s">
        <v>402</v>
      </c>
      <c r="K119" s="447"/>
      <c r="L119" s="447"/>
      <c r="M119" s="456" t="s">
        <v>432</v>
      </c>
      <c r="N119" s="450"/>
      <c r="O119" s="451" t="s">
        <v>443</v>
      </c>
      <c r="P119" s="452"/>
      <c r="Q119" s="452"/>
      <c r="R119" s="452"/>
    </row>
    <row r="120" spans="9:18" x14ac:dyDescent="0.2">
      <c r="I120" s="556"/>
      <c r="J120" s="448" t="s">
        <v>402</v>
      </c>
      <c r="K120" s="447"/>
      <c r="L120" s="447"/>
      <c r="M120" s="456" t="s">
        <v>444</v>
      </c>
      <c r="N120" s="450"/>
      <c r="O120" s="451" t="s">
        <v>443</v>
      </c>
      <c r="P120" s="452"/>
      <c r="Q120" s="452"/>
      <c r="R120" s="452"/>
    </row>
    <row r="121" spans="9:18" x14ac:dyDescent="0.2">
      <c r="I121" s="556"/>
      <c r="J121" s="448" t="s">
        <v>402</v>
      </c>
      <c r="K121" s="447"/>
      <c r="L121" s="447"/>
      <c r="M121" s="456" t="s">
        <v>445</v>
      </c>
      <c r="N121" s="450"/>
      <c r="O121" s="451" t="s">
        <v>446</v>
      </c>
      <c r="P121" s="452"/>
      <c r="Q121" s="452"/>
      <c r="R121" s="452"/>
    </row>
    <row r="122" spans="9:18" x14ac:dyDescent="0.2">
      <c r="I122" s="556"/>
      <c r="J122" s="448" t="s">
        <v>399</v>
      </c>
      <c r="K122" s="447"/>
      <c r="L122" s="447"/>
      <c r="M122" s="456" t="s">
        <v>432</v>
      </c>
      <c r="N122" s="450"/>
      <c r="O122" s="451" t="s">
        <v>442</v>
      </c>
      <c r="P122" s="452"/>
      <c r="Q122" s="452"/>
      <c r="R122" s="452"/>
    </row>
    <row r="123" spans="9:18" x14ac:dyDescent="0.2">
      <c r="I123" s="556"/>
      <c r="J123" s="448" t="s">
        <v>399</v>
      </c>
      <c r="K123" s="447"/>
      <c r="L123" s="447"/>
      <c r="M123" s="456" t="s">
        <v>432</v>
      </c>
      <c r="N123" s="450"/>
      <c r="O123" s="451" t="s">
        <v>447</v>
      </c>
      <c r="P123" s="452"/>
      <c r="Q123" s="452"/>
      <c r="R123" s="452"/>
    </row>
    <row r="124" spans="9:18" x14ac:dyDescent="0.2">
      <c r="I124" s="556"/>
      <c r="J124" s="448" t="s">
        <v>404</v>
      </c>
      <c r="K124" s="447"/>
      <c r="L124" s="447"/>
      <c r="M124" s="456" t="s">
        <v>432</v>
      </c>
      <c r="N124" s="450"/>
      <c r="O124" s="451" t="s">
        <v>447</v>
      </c>
      <c r="P124" s="452"/>
      <c r="Q124" s="452"/>
      <c r="R124" s="452"/>
    </row>
    <row r="125" spans="9:18" x14ac:dyDescent="0.2">
      <c r="I125" s="556"/>
      <c r="J125" s="448" t="s">
        <v>428</v>
      </c>
      <c r="K125" s="447"/>
      <c r="L125" s="447"/>
      <c r="M125" s="456" t="s">
        <v>429</v>
      </c>
      <c r="N125" s="450"/>
      <c r="O125" s="451" t="s">
        <v>430</v>
      </c>
      <c r="P125" s="452"/>
      <c r="Q125" s="452"/>
      <c r="R125" s="452"/>
    </row>
  </sheetData>
  <mergeCells count="36">
    <mergeCell ref="M11:M12"/>
    <mergeCell ref="C12:D12"/>
    <mergeCell ref="C19:D19"/>
    <mergeCell ref="C7:D7"/>
    <mergeCell ref="C1:D1"/>
    <mergeCell ref="C3:D3"/>
    <mergeCell ref="C4:D4"/>
    <mergeCell ref="C5:D5"/>
    <mergeCell ref="C6:D6"/>
    <mergeCell ref="C18:D18"/>
    <mergeCell ref="C8:D8"/>
    <mergeCell ref="C9:D9"/>
    <mergeCell ref="C10:D10"/>
    <mergeCell ref="C11:D11"/>
    <mergeCell ref="C13:D13"/>
    <mergeCell ref="C14:D14"/>
    <mergeCell ref="C15:D15"/>
    <mergeCell ref="C16:D16"/>
    <mergeCell ref="C17:D17"/>
    <mergeCell ref="C20:D20"/>
    <mergeCell ref="C21:D21"/>
    <mergeCell ref="C22:D22"/>
    <mergeCell ref="C23:D23"/>
    <mergeCell ref="C24:D24"/>
    <mergeCell ref="I100:I104"/>
    <mergeCell ref="I107:I114"/>
    <mergeCell ref="I118:I125"/>
    <mergeCell ref="O26:R26"/>
    <mergeCell ref="AG26:AJ26"/>
    <mergeCell ref="AX26:BA26"/>
    <mergeCell ref="AP33:AR33"/>
    <mergeCell ref="I58:I60"/>
    <mergeCell ref="AB58:AB59"/>
    <mergeCell ref="AT58:AT59"/>
    <mergeCell ref="I67:I69"/>
    <mergeCell ref="I78:I9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68FD-0F7C-4D5D-897D-8039FF0F3C74}">
  <sheetPr>
    <tabColor rgb="FFFFC000"/>
  </sheetPr>
  <dimension ref="A1:M28"/>
  <sheetViews>
    <sheetView workbookViewId="0">
      <selection activeCell="H27" sqref="H27"/>
    </sheetView>
  </sheetViews>
  <sheetFormatPr defaultRowHeight="12.75" x14ac:dyDescent="0.2"/>
  <cols>
    <col min="1" max="1" width="15.7109375" customWidth="1"/>
    <col min="2" max="2" width="14.28515625" customWidth="1"/>
    <col min="3" max="3" width="42.7109375" customWidth="1"/>
    <col min="4" max="4" width="37.42578125" customWidth="1"/>
    <col min="5" max="5" width="18.42578125" customWidth="1"/>
    <col min="6" max="6" width="19.42578125" customWidth="1"/>
    <col min="7" max="7" width="22.85546875" customWidth="1"/>
    <col min="8" max="8" width="21.42578125" customWidth="1"/>
    <col min="9" max="9" width="9.140625" customWidth="1"/>
    <col min="10" max="10" width="18.28515625" customWidth="1"/>
    <col min="11" max="11" width="15.42578125" customWidth="1"/>
    <col min="13" max="13" width="16.140625" customWidth="1"/>
  </cols>
  <sheetData>
    <row r="1" spans="1:13" ht="13.5" thickBot="1" x14ac:dyDescent="0.25"/>
    <row r="2" spans="1:13" ht="21" thickBot="1" x14ac:dyDescent="0.25">
      <c r="A2" s="393"/>
      <c r="B2" s="565" t="s">
        <v>449</v>
      </c>
      <c r="C2" s="565"/>
      <c r="D2" s="565"/>
      <c r="E2" s="565"/>
      <c r="F2" s="565"/>
      <c r="G2" s="565"/>
      <c r="H2" s="565"/>
      <c r="I2" s="565"/>
      <c r="J2" s="566"/>
      <c r="K2" s="566"/>
      <c r="L2" s="566"/>
      <c r="M2" s="566"/>
    </row>
    <row r="3" spans="1:13" ht="28.5" customHeight="1" thickBot="1" x14ac:dyDescent="0.25">
      <c r="A3" s="485" t="s">
        <v>450</v>
      </c>
      <c r="B3" s="486" t="s">
        <v>451</v>
      </c>
      <c r="C3" s="487" t="s">
        <v>452</v>
      </c>
      <c r="D3" s="488" t="s">
        <v>429</v>
      </c>
      <c r="E3" s="489" t="s">
        <v>453</v>
      </c>
      <c r="F3" s="489" t="s">
        <v>454</v>
      </c>
      <c r="G3" s="489" t="s">
        <v>455</v>
      </c>
      <c r="H3" s="489" t="s">
        <v>456</v>
      </c>
      <c r="I3" s="489"/>
      <c r="J3" s="395" t="s">
        <v>457</v>
      </c>
      <c r="K3" s="396" t="s">
        <v>458</v>
      </c>
      <c r="L3" s="397"/>
      <c r="M3" s="394"/>
    </row>
    <row r="4" spans="1:13" ht="15" thickTop="1" thickBot="1" x14ac:dyDescent="0.25">
      <c r="A4" s="491"/>
      <c r="B4" s="492"/>
      <c r="C4" s="493"/>
      <c r="D4" s="493"/>
      <c r="E4" s="492"/>
      <c r="F4" s="494"/>
      <c r="G4" s="494"/>
      <c r="H4" s="494">
        <f>F4+G4</f>
        <v>0</v>
      </c>
      <c r="I4" s="495"/>
      <c r="J4" s="484">
        <v>2.1</v>
      </c>
      <c r="K4" s="398">
        <f>PI()*(J4/2)^2</f>
        <v>3.4636059005827469</v>
      </c>
      <c r="L4" s="399" t="s">
        <v>313</v>
      </c>
    </row>
    <row r="5" spans="1:13" ht="15.75" thickBot="1" x14ac:dyDescent="0.3">
      <c r="A5" s="525"/>
      <c r="B5" s="419"/>
      <c r="C5" s="498"/>
      <c r="D5" s="493"/>
      <c r="E5" s="492"/>
      <c r="F5" s="492"/>
      <c r="G5" s="492"/>
      <c r="H5" s="492"/>
      <c r="I5" s="492"/>
      <c r="J5" s="484">
        <v>2.6</v>
      </c>
      <c r="K5" s="398">
        <f>PI()*(J5/2)^2</f>
        <v>5.3092915845667505</v>
      </c>
      <c r="L5" s="399" t="s">
        <v>313</v>
      </c>
    </row>
    <row r="6" spans="1:13" ht="15.75" thickBot="1" x14ac:dyDescent="0.3">
      <c r="A6" s="507"/>
      <c r="B6" s="494"/>
      <c r="C6" s="498"/>
      <c r="D6" s="493"/>
      <c r="E6" s="492"/>
      <c r="F6" s="492"/>
      <c r="G6" s="492"/>
      <c r="H6" s="492"/>
      <c r="I6" s="492"/>
      <c r="J6" s="484"/>
      <c r="K6" s="398">
        <f>PI()*(J6/2)^2</f>
        <v>0</v>
      </c>
      <c r="L6" s="399" t="s">
        <v>313</v>
      </c>
    </row>
    <row r="7" spans="1:13" ht="15" x14ac:dyDescent="0.25">
      <c r="A7" s="525"/>
      <c r="B7" s="494"/>
      <c r="C7" s="498"/>
      <c r="D7" s="493"/>
      <c r="E7" s="492"/>
      <c r="F7" s="492"/>
      <c r="G7" s="492"/>
      <c r="H7" s="492"/>
      <c r="I7" s="492"/>
      <c r="J7" s="484"/>
      <c r="K7" s="398">
        <f>PI()*(J7/2)^2</f>
        <v>0</v>
      </c>
      <c r="L7" s="399" t="s">
        <v>313</v>
      </c>
    </row>
    <row r="8" spans="1:13" ht="15" x14ac:dyDescent="0.25">
      <c r="A8" s="496"/>
      <c r="B8" s="494"/>
      <c r="C8" s="498"/>
      <c r="D8" s="493"/>
      <c r="E8" s="492"/>
      <c r="F8" s="492"/>
      <c r="G8" s="492"/>
      <c r="H8" s="492"/>
      <c r="I8" s="492"/>
      <c r="L8" s="399"/>
    </row>
    <row r="9" spans="1:13" ht="15.75" thickBot="1" x14ac:dyDescent="0.3">
      <c r="A9" s="496"/>
      <c r="B9" s="494"/>
      <c r="C9" s="498"/>
      <c r="D9" s="493"/>
      <c r="E9" s="492"/>
      <c r="F9" s="492"/>
      <c r="G9" s="492"/>
      <c r="H9" s="492"/>
      <c r="I9" s="492"/>
    </row>
    <row r="10" spans="1:13" ht="15" x14ac:dyDescent="0.25">
      <c r="A10" s="496"/>
      <c r="B10" s="494"/>
      <c r="C10" s="498"/>
      <c r="D10" s="493"/>
      <c r="E10" s="492"/>
      <c r="F10" s="492"/>
      <c r="G10" s="492"/>
      <c r="H10" s="492"/>
      <c r="I10" s="492"/>
      <c r="J10" s="484">
        <v>32</v>
      </c>
      <c r="K10" s="398" t="s">
        <v>459</v>
      </c>
      <c r="L10" s="400">
        <v>290</v>
      </c>
      <c r="M10" s="398" t="s">
        <v>460</v>
      </c>
    </row>
    <row r="11" spans="1:13" ht="15" x14ac:dyDescent="0.25">
      <c r="A11" s="496"/>
      <c r="B11" s="494"/>
      <c r="C11" s="498"/>
      <c r="D11" s="493"/>
      <c r="E11" s="492"/>
      <c r="F11" s="492"/>
      <c r="G11" s="492"/>
      <c r="H11" s="492"/>
      <c r="I11" s="492"/>
    </row>
    <row r="12" spans="1:13" ht="15" x14ac:dyDescent="0.25">
      <c r="A12" s="496"/>
      <c r="B12" s="494"/>
      <c r="C12" s="498"/>
      <c r="D12" s="493"/>
      <c r="E12" s="492"/>
      <c r="F12" s="492"/>
      <c r="G12" s="492"/>
      <c r="H12" s="492"/>
      <c r="I12" s="492"/>
    </row>
    <row r="13" spans="1:13" ht="15" x14ac:dyDescent="0.25">
      <c r="A13" s="496"/>
      <c r="B13" s="494"/>
      <c r="C13" s="498"/>
      <c r="D13" s="493"/>
      <c r="E13" s="492"/>
      <c r="F13" s="492"/>
      <c r="G13" s="492"/>
      <c r="H13" s="492"/>
      <c r="I13" s="492"/>
    </row>
    <row r="14" spans="1:13" ht="15" x14ac:dyDescent="0.25">
      <c r="A14" s="496"/>
      <c r="B14" s="494"/>
      <c r="C14" s="498"/>
      <c r="D14" s="493"/>
      <c r="E14" s="492"/>
      <c r="F14" s="492"/>
      <c r="G14" s="492"/>
      <c r="H14" s="492"/>
      <c r="I14" s="492"/>
    </row>
    <row r="15" spans="1:13" ht="15" x14ac:dyDescent="0.25">
      <c r="A15" s="496"/>
      <c r="B15" s="494"/>
      <c r="C15" s="498"/>
      <c r="D15" s="493"/>
      <c r="E15" s="492"/>
      <c r="F15" s="492"/>
      <c r="G15" s="492"/>
      <c r="H15" s="492"/>
      <c r="I15" s="492"/>
    </row>
    <row r="16" spans="1:13" ht="15" x14ac:dyDescent="0.25">
      <c r="A16" s="497"/>
      <c r="B16" s="494"/>
      <c r="C16" s="498"/>
      <c r="D16" s="493"/>
      <c r="E16" s="492"/>
      <c r="F16" s="492"/>
      <c r="G16" s="492"/>
      <c r="H16" s="492"/>
      <c r="I16" s="492"/>
    </row>
    <row r="17" spans="1:12" ht="15" x14ac:dyDescent="0.25">
      <c r="A17" s="497"/>
      <c r="B17" s="494"/>
      <c r="C17" s="493"/>
      <c r="D17" s="493"/>
      <c r="E17" s="492"/>
      <c r="F17" s="492"/>
      <c r="G17" s="492"/>
      <c r="H17" s="492"/>
      <c r="I17" s="492"/>
    </row>
    <row r="18" spans="1:12" ht="15" x14ac:dyDescent="0.25">
      <c r="A18" s="497"/>
      <c r="B18" s="494"/>
      <c r="C18" s="493"/>
      <c r="D18" s="493"/>
      <c r="E18" s="492"/>
      <c r="F18" s="492"/>
      <c r="G18" s="492"/>
      <c r="H18" s="492"/>
      <c r="I18" s="492"/>
    </row>
    <row r="19" spans="1:12" ht="15" x14ac:dyDescent="0.25">
      <c r="A19" s="497"/>
      <c r="B19" s="494"/>
      <c r="C19" s="493"/>
      <c r="D19" s="493"/>
      <c r="E19" s="492"/>
      <c r="F19" s="492"/>
      <c r="G19" s="492"/>
      <c r="H19" s="492"/>
      <c r="I19" s="492"/>
    </row>
    <row r="20" spans="1:12" ht="15" x14ac:dyDescent="0.25">
      <c r="A20" s="497"/>
      <c r="B20" s="494"/>
      <c r="C20" s="493"/>
      <c r="D20" s="493"/>
      <c r="E20" s="492"/>
      <c r="F20" s="492"/>
      <c r="G20" s="492"/>
      <c r="H20" s="492"/>
      <c r="I20" s="492"/>
    </row>
    <row r="21" spans="1:12" ht="15" x14ac:dyDescent="0.25">
      <c r="A21" s="497"/>
      <c r="B21" s="494"/>
      <c r="C21" s="493"/>
      <c r="D21" s="493"/>
      <c r="E21" s="492"/>
      <c r="F21" s="492"/>
      <c r="G21" s="492"/>
      <c r="H21" s="492"/>
      <c r="I21" s="492"/>
    </row>
    <row r="22" spans="1:12" ht="13.5" x14ac:dyDescent="0.2">
      <c r="A22" s="495"/>
      <c r="B22" s="494"/>
      <c r="C22" s="495"/>
      <c r="D22" s="495"/>
      <c r="E22" s="495"/>
      <c r="F22" s="495"/>
      <c r="G22" s="492"/>
      <c r="H22" s="495"/>
      <c r="I22" s="495"/>
    </row>
    <row r="23" spans="1:12" ht="13.5" x14ac:dyDescent="0.2">
      <c r="A23" s="491"/>
      <c r="B23" s="492"/>
      <c r="C23" s="493"/>
      <c r="D23" s="493"/>
      <c r="E23" s="492"/>
      <c r="F23" s="494"/>
      <c r="G23" s="492"/>
      <c r="H23" s="494"/>
      <c r="I23" s="494"/>
    </row>
    <row r="24" spans="1:12" ht="15" x14ac:dyDescent="0.25">
      <c r="A24" s="496"/>
      <c r="B24" s="494"/>
      <c r="C24" s="493"/>
      <c r="D24" s="493"/>
      <c r="E24" s="492"/>
      <c r="F24" s="492"/>
      <c r="G24" s="492"/>
      <c r="H24" s="492"/>
      <c r="I24" s="492"/>
      <c r="L24" s="436">
        <f>H24-G24</f>
        <v>0</v>
      </c>
    </row>
    <row r="25" spans="1:12" ht="15" x14ac:dyDescent="0.25">
      <c r="A25" s="496"/>
      <c r="B25" s="495"/>
      <c r="C25" s="493"/>
      <c r="D25" s="493"/>
      <c r="E25" s="492"/>
      <c r="F25" s="492"/>
      <c r="G25" s="492"/>
      <c r="H25" s="492"/>
      <c r="I25" s="492"/>
    </row>
    <row r="26" spans="1:12" ht="15" x14ac:dyDescent="0.25">
      <c r="A26" s="496"/>
      <c r="B26" s="494"/>
      <c r="C26" s="493"/>
      <c r="D26" s="493"/>
      <c r="E26" s="492"/>
      <c r="F26" s="492"/>
      <c r="G26" s="492"/>
      <c r="H26" s="492"/>
      <c r="I26" s="492"/>
    </row>
    <row r="27" spans="1:12" ht="15" x14ac:dyDescent="0.2">
      <c r="H27" s="490">
        <f>SUM(H4:H16)</f>
        <v>0</v>
      </c>
      <c r="I27" s="399" t="s">
        <v>348</v>
      </c>
      <c r="J27" s="401">
        <f>H27*L10</f>
        <v>0</v>
      </c>
    </row>
    <row r="28" spans="1:12" x14ac:dyDescent="0.2">
      <c r="A28" s="405"/>
    </row>
  </sheetData>
  <mergeCells count="2">
    <mergeCell ref="B2:I2"/>
    <mergeCell ref="J2:M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D82-B350-49BF-AC44-D40C2350A83E}">
  <sheetPr>
    <tabColor rgb="FF7030A0"/>
    <pageSetUpPr fitToPage="1"/>
  </sheetPr>
  <dimension ref="A1:EI77"/>
  <sheetViews>
    <sheetView zoomScale="70" zoomScaleNormal="70" zoomScaleSheetLayoutView="70" workbookViewId="0">
      <pane xSplit="2" ySplit="2" topLeftCell="C3" activePane="bottomRight" state="frozen"/>
      <selection pane="topRight" activeCell="D1" sqref="D1"/>
      <selection pane="bottomLeft" activeCell="A3" sqref="A3"/>
      <selection pane="bottomRight" activeCell="BP17" sqref="BO17:BP17"/>
    </sheetView>
  </sheetViews>
  <sheetFormatPr defaultColWidth="8.85546875" defaultRowHeight="15" x14ac:dyDescent="0.25"/>
  <cols>
    <col min="1" max="1" width="34.140625" style="211" customWidth="1"/>
    <col min="2" max="2" width="41.7109375" style="211" customWidth="1"/>
    <col min="3" max="3" width="8.28515625" style="262" bestFit="1" customWidth="1"/>
    <col min="4" max="8" width="3.7109375" style="211" customWidth="1"/>
    <col min="9" max="10" width="3.7109375" style="263" customWidth="1"/>
    <col min="11" max="15" width="3.7109375" style="211" customWidth="1"/>
    <col min="16" max="17" width="3.7109375" style="263" customWidth="1"/>
    <col min="18" max="22" width="3.7109375" style="211" customWidth="1"/>
    <col min="23" max="24" width="3.7109375" style="263" customWidth="1"/>
    <col min="25" max="29" width="3.7109375" style="211" customWidth="1"/>
    <col min="30" max="31" width="3.7109375" style="263" customWidth="1"/>
    <col min="32" max="36" width="3.7109375" style="211" customWidth="1"/>
    <col min="37" max="38" width="3.7109375" style="263" customWidth="1"/>
    <col min="39" max="43" width="3.7109375" style="211" customWidth="1"/>
    <col min="44" max="45" width="3.7109375" style="263" customWidth="1"/>
    <col min="46" max="50" width="3.7109375" style="211" customWidth="1"/>
    <col min="51" max="52" width="3.7109375" style="263" customWidth="1"/>
    <col min="53" max="57" width="3.7109375" style="211" customWidth="1"/>
    <col min="58" max="59" width="3.7109375" style="263" customWidth="1"/>
    <col min="60" max="64" width="3.7109375" style="211" customWidth="1"/>
    <col min="65" max="66" width="3.7109375" style="263" customWidth="1"/>
    <col min="67" max="71" width="3.7109375" style="211" customWidth="1"/>
    <col min="72" max="73" width="3.7109375" style="263" customWidth="1"/>
    <col min="74" max="78" width="3.7109375" style="211" customWidth="1"/>
    <col min="79" max="80" width="3.7109375" style="263" customWidth="1"/>
    <col min="81" max="85" width="3.7109375" style="211" customWidth="1"/>
    <col min="86" max="87" width="3.7109375" style="263" customWidth="1"/>
    <col min="88" max="92" width="3.7109375" style="211" customWidth="1"/>
    <col min="93" max="94" width="3.7109375" style="263" customWidth="1"/>
    <col min="95" max="99" width="3.7109375" style="211" customWidth="1"/>
    <col min="100" max="101" width="3.7109375" style="263" customWidth="1"/>
    <col min="102" max="106" width="3.7109375" style="211" customWidth="1"/>
    <col min="107" max="108" width="3.7109375" style="263" customWidth="1"/>
    <col min="109" max="113" width="3.7109375" style="211" customWidth="1"/>
    <col min="114" max="115" width="3.7109375" style="263" customWidth="1"/>
    <col min="116" max="120" width="3.7109375" style="211" customWidth="1"/>
    <col min="121" max="122" width="3.7109375" style="263" customWidth="1"/>
    <col min="123" max="16384" width="8.85546875" style="211"/>
  </cols>
  <sheetData>
    <row r="1" spans="1:122" ht="21" x14ac:dyDescent="0.25">
      <c r="A1" s="574" t="s">
        <v>461</v>
      </c>
      <c r="B1" s="575"/>
      <c r="C1" s="210"/>
      <c r="D1" s="567" t="s">
        <v>462</v>
      </c>
      <c r="E1" s="568"/>
      <c r="F1" s="568"/>
      <c r="G1" s="568"/>
      <c r="H1" s="568"/>
      <c r="I1" s="568"/>
      <c r="J1" s="568"/>
      <c r="K1" s="568"/>
      <c r="L1" s="568"/>
      <c r="M1" s="568"/>
      <c r="N1" s="568"/>
      <c r="O1" s="568"/>
      <c r="P1" s="568"/>
      <c r="Q1" s="568"/>
      <c r="R1" s="568"/>
      <c r="S1" s="568"/>
      <c r="T1" s="568"/>
      <c r="U1" s="568"/>
      <c r="V1" s="568"/>
      <c r="W1" s="568"/>
      <c r="X1" s="568"/>
      <c r="Y1" s="568"/>
      <c r="Z1" s="568"/>
      <c r="AA1" s="568"/>
      <c r="AB1" s="568"/>
      <c r="AC1" s="568"/>
      <c r="AD1" s="568"/>
      <c r="AE1" s="580"/>
      <c r="AF1" s="567" t="s">
        <v>463</v>
      </c>
      <c r="AG1" s="568"/>
      <c r="AH1" s="568"/>
      <c r="AI1" s="568"/>
      <c r="AJ1" s="568"/>
      <c r="AK1" s="568"/>
      <c r="AL1" s="568"/>
      <c r="AM1" s="568"/>
      <c r="AN1" s="568"/>
      <c r="AO1" s="568"/>
      <c r="AP1" s="568"/>
      <c r="AQ1" s="568"/>
      <c r="AR1" s="568"/>
      <c r="AS1" s="568"/>
      <c r="AT1" s="568"/>
      <c r="AU1" s="568"/>
      <c r="AV1" s="568"/>
      <c r="AW1" s="568"/>
      <c r="AX1" s="568"/>
      <c r="AY1" s="568"/>
      <c r="AZ1" s="568"/>
      <c r="BA1" s="568"/>
      <c r="BB1" s="568"/>
      <c r="BC1" s="568"/>
      <c r="BD1" s="568"/>
      <c r="BE1" s="568"/>
      <c r="BF1" s="568"/>
      <c r="BG1" s="580"/>
      <c r="BH1" s="567" t="s">
        <v>464</v>
      </c>
      <c r="BI1" s="568"/>
      <c r="BJ1" s="568"/>
      <c r="BK1" s="568"/>
      <c r="BL1" s="568"/>
      <c r="BM1" s="568"/>
      <c r="BN1" s="568"/>
      <c r="BO1" s="568"/>
      <c r="BP1" s="568"/>
      <c r="BQ1" s="568"/>
      <c r="BR1" s="568"/>
      <c r="BS1" s="568"/>
      <c r="BT1" s="568"/>
      <c r="BU1" s="568"/>
      <c r="BV1" s="568"/>
      <c r="BW1" s="568"/>
      <c r="BX1" s="568"/>
      <c r="BY1" s="568"/>
      <c r="BZ1" s="568"/>
      <c r="CA1" s="568"/>
      <c r="CB1" s="568"/>
      <c r="CC1" s="568"/>
      <c r="CD1" s="568"/>
      <c r="CE1" s="568"/>
      <c r="CF1" s="568"/>
      <c r="CG1" s="568"/>
      <c r="CH1" s="568"/>
      <c r="CI1" s="580"/>
      <c r="CJ1" s="567" t="s">
        <v>465</v>
      </c>
      <c r="CK1" s="568"/>
      <c r="CL1" s="568"/>
      <c r="CM1" s="568"/>
      <c r="CN1" s="568"/>
      <c r="CO1" s="568"/>
      <c r="CP1" s="568"/>
      <c r="CQ1" s="568"/>
      <c r="CR1" s="568"/>
      <c r="CS1" s="568"/>
      <c r="CT1" s="568"/>
      <c r="CU1" s="568"/>
      <c r="CV1" s="568"/>
      <c r="CW1" s="568"/>
      <c r="CX1" s="568"/>
      <c r="CY1" s="568"/>
      <c r="CZ1" s="568"/>
      <c r="DA1" s="568"/>
      <c r="DB1" s="568"/>
      <c r="DC1" s="568"/>
      <c r="DD1" s="568"/>
      <c r="DE1" s="568"/>
      <c r="DF1" s="568"/>
      <c r="DG1" s="568"/>
      <c r="DH1" s="568"/>
      <c r="DI1" s="568"/>
      <c r="DJ1" s="568"/>
      <c r="DK1" s="580"/>
      <c r="DL1" s="567" t="s">
        <v>466</v>
      </c>
      <c r="DM1" s="568"/>
      <c r="DN1" s="568"/>
      <c r="DO1" s="568"/>
      <c r="DP1" s="568"/>
      <c r="DQ1" s="568"/>
      <c r="DR1" s="568"/>
    </row>
    <row r="2" spans="1:122" ht="21" x14ac:dyDescent="0.25">
      <c r="A2" s="576"/>
      <c r="B2" s="577"/>
      <c r="C2" s="212"/>
      <c r="D2" s="572" t="s">
        <v>467</v>
      </c>
      <c r="E2" s="573"/>
      <c r="F2" s="573"/>
      <c r="G2" s="573"/>
      <c r="H2" s="573"/>
      <c r="I2" s="573"/>
      <c r="J2" s="573"/>
      <c r="K2" s="573" t="s">
        <v>468</v>
      </c>
      <c r="L2" s="573"/>
      <c r="M2" s="573"/>
      <c r="N2" s="573"/>
      <c r="O2" s="573"/>
      <c r="P2" s="573"/>
      <c r="Q2" s="573"/>
      <c r="R2" s="573" t="s">
        <v>469</v>
      </c>
      <c r="S2" s="573"/>
      <c r="T2" s="573"/>
      <c r="U2" s="573"/>
      <c r="V2" s="573"/>
      <c r="W2" s="573"/>
      <c r="X2" s="573"/>
      <c r="Y2" s="572" t="s">
        <v>470</v>
      </c>
      <c r="Z2" s="573"/>
      <c r="AA2" s="573"/>
      <c r="AB2" s="573"/>
      <c r="AC2" s="573"/>
      <c r="AD2" s="573"/>
      <c r="AE2" s="573"/>
      <c r="AF2" s="572" t="s">
        <v>471</v>
      </c>
      <c r="AG2" s="573"/>
      <c r="AH2" s="573"/>
      <c r="AI2" s="573"/>
      <c r="AJ2" s="573"/>
      <c r="AK2" s="573"/>
      <c r="AL2" s="573"/>
      <c r="AM2" s="572" t="s">
        <v>472</v>
      </c>
      <c r="AN2" s="573"/>
      <c r="AO2" s="573"/>
      <c r="AP2" s="573"/>
      <c r="AQ2" s="573"/>
      <c r="AR2" s="573"/>
      <c r="AS2" s="573"/>
      <c r="AT2" s="572" t="s">
        <v>473</v>
      </c>
      <c r="AU2" s="573"/>
      <c r="AV2" s="573"/>
      <c r="AW2" s="573"/>
      <c r="AX2" s="573"/>
      <c r="AY2" s="573"/>
      <c r="AZ2" s="573"/>
      <c r="BA2" s="572" t="s">
        <v>474</v>
      </c>
      <c r="BB2" s="573"/>
      <c r="BC2" s="573"/>
      <c r="BD2" s="573"/>
      <c r="BE2" s="573"/>
      <c r="BF2" s="573"/>
      <c r="BG2" s="573"/>
      <c r="BH2" s="572" t="s">
        <v>475</v>
      </c>
      <c r="BI2" s="573"/>
      <c r="BJ2" s="573"/>
      <c r="BK2" s="573"/>
      <c r="BL2" s="573"/>
      <c r="BM2" s="573"/>
      <c r="BN2" s="573"/>
      <c r="BO2" s="572" t="s">
        <v>476</v>
      </c>
      <c r="BP2" s="573"/>
      <c r="BQ2" s="573"/>
      <c r="BR2" s="573"/>
      <c r="BS2" s="573"/>
      <c r="BT2" s="573"/>
      <c r="BU2" s="573"/>
      <c r="BV2" s="572" t="s">
        <v>477</v>
      </c>
      <c r="BW2" s="573"/>
      <c r="BX2" s="573"/>
      <c r="BY2" s="573"/>
      <c r="BZ2" s="573"/>
      <c r="CA2" s="573"/>
      <c r="CB2" s="573"/>
      <c r="CC2" s="572" t="s">
        <v>478</v>
      </c>
      <c r="CD2" s="573"/>
      <c r="CE2" s="573"/>
      <c r="CF2" s="573"/>
      <c r="CG2" s="573"/>
      <c r="CH2" s="573"/>
      <c r="CI2" s="573"/>
      <c r="CJ2" s="572" t="s">
        <v>479</v>
      </c>
      <c r="CK2" s="573"/>
      <c r="CL2" s="573"/>
      <c r="CM2" s="573"/>
      <c r="CN2" s="573"/>
      <c r="CO2" s="573"/>
      <c r="CP2" s="573"/>
      <c r="CQ2" s="572" t="s">
        <v>480</v>
      </c>
      <c r="CR2" s="573"/>
      <c r="CS2" s="573"/>
      <c r="CT2" s="573"/>
      <c r="CU2" s="573"/>
      <c r="CV2" s="573"/>
      <c r="CW2" s="573"/>
      <c r="CX2" s="572" t="s">
        <v>481</v>
      </c>
      <c r="CY2" s="573"/>
      <c r="CZ2" s="573"/>
      <c r="DA2" s="573"/>
      <c r="DB2" s="573"/>
      <c r="DC2" s="573"/>
      <c r="DD2" s="573"/>
      <c r="DE2" s="572" t="s">
        <v>482</v>
      </c>
      <c r="DF2" s="573"/>
      <c r="DG2" s="573"/>
      <c r="DH2" s="573"/>
      <c r="DI2" s="573"/>
      <c r="DJ2" s="573"/>
      <c r="DK2" s="573"/>
      <c r="DL2" s="572" t="s">
        <v>483</v>
      </c>
      <c r="DM2" s="573"/>
      <c r="DN2" s="573"/>
      <c r="DO2" s="573"/>
      <c r="DP2" s="573"/>
      <c r="DQ2" s="573"/>
      <c r="DR2" s="573"/>
    </row>
    <row r="3" spans="1:122" ht="21.75" thickBot="1" x14ac:dyDescent="0.3">
      <c r="A3" s="578"/>
      <c r="B3" s="579"/>
      <c r="C3" s="212"/>
      <c r="D3" s="213" t="s">
        <v>484</v>
      </c>
      <c r="E3" s="213" t="s">
        <v>485</v>
      </c>
      <c r="F3" s="213" t="s">
        <v>321</v>
      </c>
      <c r="G3" s="213" t="s">
        <v>486</v>
      </c>
      <c r="H3" s="213" t="s">
        <v>487</v>
      </c>
      <c r="I3" s="214" t="s">
        <v>488</v>
      </c>
      <c r="J3" s="214" t="s">
        <v>489</v>
      </c>
      <c r="K3" s="213" t="s">
        <v>484</v>
      </c>
      <c r="L3" s="213" t="s">
        <v>485</v>
      </c>
      <c r="M3" s="213" t="s">
        <v>321</v>
      </c>
      <c r="N3" s="213" t="s">
        <v>486</v>
      </c>
      <c r="O3" s="213" t="s">
        <v>487</v>
      </c>
      <c r="P3" s="214" t="s">
        <v>488</v>
      </c>
      <c r="Q3" s="214" t="s">
        <v>489</v>
      </c>
      <c r="R3" s="213" t="s">
        <v>484</v>
      </c>
      <c r="S3" s="213" t="s">
        <v>485</v>
      </c>
      <c r="T3" s="213" t="s">
        <v>321</v>
      </c>
      <c r="U3" s="213" t="s">
        <v>486</v>
      </c>
      <c r="V3" s="213" t="s">
        <v>487</v>
      </c>
      <c r="W3" s="214" t="s">
        <v>488</v>
      </c>
      <c r="X3" s="214" t="s">
        <v>489</v>
      </c>
      <c r="Y3" s="213" t="s">
        <v>484</v>
      </c>
      <c r="Z3" s="213" t="s">
        <v>485</v>
      </c>
      <c r="AA3" s="213" t="s">
        <v>321</v>
      </c>
      <c r="AB3" s="213" t="s">
        <v>486</v>
      </c>
      <c r="AC3" s="213" t="s">
        <v>487</v>
      </c>
      <c r="AD3" s="214" t="s">
        <v>488</v>
      </c>
      <c r="AE3" s="214" t="s">
        <v>489</v>
      </c>
      <c r="AF3" s="213" t="s">
        <v>484</v>
      </c>
      <c r="AG3" s="213" t="s">
        <v>485</v>
      </c>
      <c r="AH3" s="213" t="s">
        <v>321</v>
      </c>
      <c r="AI3" s="213" t="s">
        <v>486</v>
      </c>
      <c r="AJ3" s="213" t="s">
        <v>487</v>
      </c>
      <c r="AK3" s="214" t="s">
        <v>488</v>
      </c>
      <c r="AL3" s="214" t="s">
        <v>489</v>
      </c>
      <c r="AM3" s="213" t="s">
        <v>484</v>
      </c>
      <c r="AN3" s="213" t="s">
        <v>485</v>
      </c>
      <c r="AO3" s="213" t="s">
        <v>321</v>
      </c>
      <c r="AP3" s="213" t="s">
        <v>486</v>
      </c>
      <c r="AQ3" s="213" t="s">
        <v>487</v>
      </c>
      <c r="AR3" s="214" t="s">
        <v>488</v>
      </c>
      <c r="AS3" s="214" t="s">
        <v>489</v>
      </c>
      <c r="AT3" s="213" t="s">
        <v>484</v>
      </c>
      <c r="AU3" s="213" t="s">
        <v>485</v>
      </c>
      <c r="AV3" s="213" t="s">
        <v>321</v>
      </c>
      <c r="AW3" s="213" t="s">
        <v>486</v>
      </c>
      <c r="AX3" s="213" t="s">
        <v>487</v>
      </c>
      <c r="AY3" s="214" t="s">
        <v>488</v>
      </c>
      <c r="AZ3" s="214" t="s">
        <v>489</v>
      </c>
      <c r="BA3" s="213" t="s">
        <v>484</v>
      </c>
      <c r="BB3" s="213" t="s">
        <v>485</v>
      </c>
      <c r="BC3" s="213" t="s">
        <v>321</v>
      </c>
      <c r="BD3" s="213" t="s">
        <v>486</v>
      </c>
      <c r="BE3" s="213" t="s">
        <v>487</v>
      </c>
      <c r="BF3" s="214" t="s">
        <v>488</v>
      </c>
      <c r="BG3" s="214" t="s">
        <v>489</v>
      </c>
      <c r="BH3" s="213" t="s">
        <v>484</v>
      </c>
      <c r="BI3" s="213" t="s">
        <v>485</v>
      </c>
      <c r="BJ3" s="213" t="s">
        <v>321</v>
      </c>
      <c r="BK3" s="213" t="s">
        <v>486</v>
      </c>
      <c r="BL3" s="213" t="s">
        <v>487</v>
      </c>
      <c r="BM3" s="214" t="s">
        <v>488</v>
      </c>
      <c r="BN3" s="214" t="s">
        <v>489</v>
      </c>
      <c r="BO3" s="213" t="s">
        <v>484</v>
      </c>
      <c r="BP3" s="213" t="s">
        <v>485</v>
      </c>
      <c r="BQ3" s="213" t="s">
        <v>321</v>
      </c>
      <c r="BR3" s="213" t="s">
        <v>486</v>
      </c>
      <c r="BS3" s="213" t="s">
        <v>487</v>
      </c>
      <c r="BT3" s="214" t="s">
        <v>488</v>
      </c>
      <c r="BU3" s="214" t="s">
        <v>489</v>
      </c>
      <c r="BV3" s="213" t="s">
        <v>484</v>
      </c>
      <c r="BW3" s="213" t="s">
        <v>485</v>
      </c>
      <c r="BX3" s="213" t="s">
        <v>321</v>
      </c>
      <c r="BY3" s="213" t="s">
        <v>486</v>
      </c>
      <c r="BZ3" s="213" t="s">
        <v>487</v>
      </c>
      <c r="CA3" s="214" t="s">
        <v>488</v>
      </c>
      <c r="CB3" s="214" t="s">
        <v>489</v>
      </c>
      <c r="CC3" s="213" t="s">
        <v>484</v>
      </c>
      <c r="CD3" s="213" t="s">
        <v>485</v>
      </c>
      <c r="CE3" s="213" t="s">
        <v>321</v>
      </c>
      <c r="CF3" s="213" t="s">
        <v>486</v>
      </c>
      <c r="CG3" s="213" t="s">
        <v>487</v>
      </c>
      <c r="CH3" s="214" t="s">
        <v>488</v>
      </c>
      <c r="CI3" s="214" t="s">
        <v>489</v>
      </c>
      <c r="CJ3" s="213" t="s">
        <v>484</v>
      </c>
      <c r="CK3" s="213" t="s">
        <v>485</v>
      </c>
      <c r="CL3" s="213" t="s">
        <v>321</v>
      </c>
      <c r="CM3" s="213" t="s">
        <v>486</v>
      </c>
      <c r="CN3" s="213" t="s">
        <v>487</v>
      </c>
      <c r="CO3" s="214" t="s">
        <v>488</v>
      </c>
      <c r="CP3" s="214" t="s">
        <v>489</v>
      </c>
      <c r="CQ3" s="213" t="s">
        <v>484</v>
      </c>
      <c r="CR3" s="213" t="s">
        <v>485</v>
      </c>
      <c r="CS3" s="213" t="s">
        <v>321</v>
      </c>
      <c r="CT3" s="213" t="s">
        <v>486</v>
      </c>
      <c r="CU3" s="213" t="s">
        <v>487</v>
      </c>
      <c r="CV3" s="214" t="s">
        <v>488</v>
      </c>
      <c r="CW3" s="214" t="s">
        <v>489</v>
      </c>
      <c r="CX3" s="213" t="s">
        <v>484</v>
      </c>
      <c r="CY3" s="213" t="s">
        <v>485</v>
      </c>
      <c r="CZ3" s="213" t="s">
        <v>321</v>
      </c>
      <c r="DA3" s="213" t="s">
        <v>486</v>
      </c>
      <c r="DB3" s="213" t="s">
        <v>487</v>
      </c>
      <c r="DC3" s="214" t="s">
        <v>488</v>
      </c>
      <c r="DD3" s="214" t="s">
        <v>489</v>
      </c>
      <c r="DE3" s="213" t="s">
        <v>484</v>
      </c>
      <c r="DF3" s="213" t="s">
        <v>485</v>
      </c>
      <c r="DG3" s="213" t="s">
        <v>321</v>
      </c>
      <c r="DH3" s="213" t="s">
        <v>486</v>
      </c>
      <c r="DI3" s="213" t="s">
        <v>487</v>
      </c>
      <c r="DJ3" s="214" t="s">
        <v>488</v>
      </c>
      <c r="DK3" s="214" t="s">
        <v>489</v>
      </c>
      <c r="DL3" s="213" t="s">
        <v>484</v>
      </c>
      <c r="DM3" s="213" t="s">
        <v>485</v>
      </c>
      <c r="DN3" s="213" t="s">
        <v>321</v>
      </c>
      <c r="DO3" s="213" t="s">
        <v>486</v>
      </c>
      <c r="DP3" s="213" t="s">
        <v>487</v>
      </c>
      <c r="DQ3" s="214" t="s">
        <v>488</v>
      </c>
      <c r="DR3" s="214" t="s">
        <v>489</v>
      </c>
    </row>
    <row r="4" spans="1:122" s="217" customFormat="1" ht="16.899999999999999" customHeight="1" thickBot="1" x14ac:dyDescent="0.3">
      <c r="A4" s="569"/>
      <c r="B4" s="570"/>
      <c r="C4" s="215"/>
      <c r="D4" s="216">
        <v>4</v>
      </c>
      <c r="E4" s="216">
        <v>5</v>
      </c>
      <c r="F4" s="216">
        <v>6</v>
      </c>
      <c r="G4" s="216">
        <v>7</v>
      </c>
      <c r="H4" s="216">
        <v>8</v>
      </c>
      <c r="I4" s="216">
        <v>9</v>
      </c>
      <c r="J4" s="216">
        <v>10</v>
      </c>
      <c r="K4" s="216">
        <v>11</v>
      </c>
      <c r="L4" s="216">
        <v>12</v>
      </c>
      <c r="M4" s="216">
        <v>13</v>
      </c>
      <c r="N4" s="216">
        <v>14</v>
      </c>
      <c r="O4" s="216">
        <v>15</v>
      </c>
      <c r="P4" s="216">
        <v>16</v>
      </c>
      <c r="Q4" s="216">
        <v>17</v>
      </c>
      <c r="R4" s="216">
        <v>18</v>
      </c>
      <c r="S4" s="216">
        <v>19</v>
      </c>
      <c r="T4" s="216">
        <v>20</v>
      </c>
      <c r="U4" s="216">
        <v>21</v>
      </c>
      <c r="V4" s="216">
        <v>22</v>
      </c>
      <c r="W4" s="216">
        <v>23</v>
      </c>
      <c r="X4" s="216">
        <v>24</v>
      </c>
      <c r="Y4" s="216">
        <v>25</v>
      </c>
      <c r="Z4" s="216">
        <v>26</v>
      </c>
      <c r="AA4" s="216">
        <v>27</v>
      </c>
      <c r="AB4" s="216">
        <v>28</v>
      </c>
      <c r="AC4" s="216">
        <v>29</v>
      </c>
      <c r="AD4" s="216">
        <v>30</v>
      </c>
      <c r="AE4" s="216">
        <v>1</v>
      </c>
      <c r="AF4" s="216">
        <v>2</v>
      </c>
      <c r="AG4" s="216">
        <v>3</v>
      </c>
      <c r="AH4" s="216">
        <v>4</v>
      </c>
      <c r="AI4" s="216">
        <v>5</v>
      </c>
      <c r="AJ4" s="216">
        <v>6</v>
      </c>
      <c r="AK4" s="216">
        <v>7</v>
      </c>
      <c r="AL4" s="216">
        <v>8</v>
      </c>
      <c r="AM4" s="216">
        <v>9</v>
      </c>
      <c r="AN4" s="216">
        <v>10</v>
      </c>
      <c r="AO4" s="216">
        <v>11</v>
      </c>
      <c r="AP4" s="216">
        <v>12</v>
      </c>
      <c r="AQ4" s="216">
        <v>13</v>
      </c>
      <c r="AR4" s="216">
        <v>14</v>
      </c>
      <c r="AS4" s="216">
        <v>15</v>
      </c>
      <c r="AT4" s="216">
        <v>16</v>
      </c>
      <c r="AU4" s="216">
        <v>17</v>
      </c>
      <c r="AV4" s="216">
        <v>18</v>
      </c>
      <c r="AW4" s="216">
        <v>19</v>
      </c>
      <c r="AX4" s="216">
        <v>20</v>
      </c>
      <c r="AY4" s="216">
        <v>21</v>
      </c>
      <c r="AZ4" s="216">
        <v>22</v>
      </c>
      <c r="BA4" s="216">
        <v>23</v>
      </c>
      <c r="BB4" s="216">
        <v>24</v>
      </c>
      <c r="BC4" s="216">
        <v>25</v>
      </c>
      <c r="BD4" s="216">
        <v>26</v>
      </c>
      <c r="BE4" s="216">
        <v>27</v>
      </c>
      <c r="BF4" s="216">
        <v>28</v>
      </c>
      <c r="BG4" s="216">
        <v>29</v>
      </c>
      <c r="BH4" s="216">
        <v>30</v>
      </c>
      <c r="BI4" s="216">
        <v>31</v>
      </c>
      <c r="BJ4" s="216">
        <v>1</v>
      </c>
      <c r="BK4" s="216">
        <v>2</v>
      </c>
      <c r="BL4" s="216">
        <v>3</v>
      </c>
      <c r="BM4" s="216">
        <v>4</v>
      </c>
      <c r="BN4" s="216">
        <v>5</v>
      </c>
      <c r="BO4" s="216">
        <v>6</v>
      </c>
      <c r="BP4" s="216">
        <v>7</v>
      </c>
      <c r="BQ4" s="216">
        <v>8</v>
      </c>
      <c r="BR4" s="216">
        <v>9</v>
      </c>
      <c r="BS4" s="216">
        <v>10</v>
      </c>
      <c r="BT4" s="216">
        <v>11</v>
      </c>
      <c r="BU4" s="216">
        <v>12</v>
      </c>
      <c r="BV4" s="216">
        <v>13</v>
      </c>
      <c r="BW4" s="216">
        <v>14</v>
      </c>
      <c r="BX4" s="216">
        <v>15</v>
      </c>
      <c r="BY4" s="216">
        <v>16</v>
      </c>
      <c r="BZ4" s="216">
        <v>17</v>
      </c>
      <c r="CA4" s="216">
        <v>18</v>
      </c>
      <c r="CB4" s="216">
        <v>19</v>
      </c>
      <c r="CC4" s="216">
        <v>20</v>
      </c>
      <c r="CD4" s="216">
        <v>21</v>
      </c>
      <c r="CE4" s="216">
        <v>22</v>
      </c>
      <c r="CF4" s="216">
        <v>23</v>
      </c>
      <c r="CG4" s="216">
        <v>24</v>
      </c>
      <c r="CH4" s="216">
        <v>25</v>
      </c>
      <c r="CI4" s="216">
        <v>26</v>
      </c>
      <c r="CJ4" s="216">
        <v>27</v>
      </c>
      <c r="CK4" s="216">
        <v>28</v>
      </c>
      <c r="CL4" s="216">
        <v>29</v>
      </c>
      <c r="CM4" s="216">
        <v>30</v>
      </c>
      <c r="CN4" s="216">
        <v>1</v>
      </c>
      <c r="CO4" s="216">
        <v>2</v>
      </c>
      <c r="CP4" s="216">
        <v>3</v>
      </c>
      <c r="CQ4" s="216">
        <v>4</v>
      </c>
      <c r="CR4" s="216">
        <v>5</v>
      </c>
      <c r="CS4" s="216">
        <v>6</v>
      </c>
      <c r="CT4" s="216">
        <v>7</v>
      </c>
      <c r="CU4" s="216">
        <v>8</v>
      </c>
      <c r="CV4" s="216">
        <v>9</v>
      </c>
      <c r="CW4" s="216">
        <v>10</v>
      </c>
      <c r="CX4" s="216">
        <v>11</v>
      </c>
      <c r="CY4" s="216">
        <v>12</v>
      </c>
      <c r="CZ4" s="216">
        <v>13</v>
      </c>
      <c r="DA4" s="216">
        <v>14</v>
      </c>
      <c r="DB4" s="216">
        <v>15</v>
      </c>
      <c r="DC4" s="216">
        <v>16</v>
      </c>
      <c r="DD4" s="216">
        <v>17</v>
      </c>
      <c r="DE4" s="216">
        <v>18</v>
      </c>
      <c r="DF4" s="216">
        <v>19</v>
      </c>
      <c r="DG4" s="216">
        <v>20</v>
      </c>
      <c r="DH4" s="216">
        <v>21</v>
      </c>
      <c r="DI4" s="216">
        <v>22</v>
      </c>
      <c r="DJ4" s="216">
        <v>23</v>
      </c>
      <c r="DK4" s="216">
        <v>24</v>
      </c>
      <c r="DL4" s="216">
        <v>25</v>
      </c>
      <c r="DM4" s="216">
        <v>26</v>
      </c>
      <c r="DN4" s="216">
        <v>27</v>
      </c>
      <c r="DO4" s="216">
        <v>28</v>
      </c>
      <c r="DP4" s="216">
        <v>29</v>
      </c>
      <c r="DQ4" s="216">
        <v>30</v>
      </c>
      <c r="DR4" s="216">
        <v>31</v>
      </c>
    </row>
    <row r="5" spans="1:122" ht="14.45" customHeight="1" x14ac:dyDescent="0.25">
      <c r="A5" s="218"/>
      <c r="B5" s="219" t="s">
        <v>490</v>
      </c>
      <c r="C5" s="220"/>
      <c r="D5" s="221"/>
      <c r="E5" s="221"/>
      <c r="F5" s="221"/>
      <c r="G5" s="221"/>
      <c r="H5" s="221"/>
      <c r="I5" s="222"/>
      <c r="J5" s="222"/>
      <c r="K5" s="221"/>
      <c r="L5" s="221"/>
      <c r="M5" s="223"/>
      <c r="N5" s="221"/>
      <c r="O5" s="221"/>
      <c r="P5" s="222"/>
      <c r="Q5" s="222"/>
      <c r="R5" s="221"/>
      <c r="S5" s="221"/>
      <c r="T5" s="221"/>
      <c r="U5" s="221"/>
      <c r="V5" s="221"/>
      <c r="W5" s="222"/>
      <c r="X5" s="224"/>
      <c r="Y5" s="221"/>
      <c r="Z5" s="221"/>
      <c r="AA5" s="221"/>
      <c r="AB5" s="221"/>
      <c r="AC5" s="221"/>
      <c r="AD5" s="222"/>
      <c r="AE5" s="222"/>
      <c r="AF5" s="221"/>
      <c r="AG5" s="221"/>
      <c r="AH5" s="221"/>
      <c r="AI5" s="221"/>
      <c r="AJ5" s="221"/>
      <c r="AK5" s="222"/>
      <c r="AL5" s="222"/>
      <c r="AM5" s="221"/>
      <c r="AN5" s="221"/>
      <c r="AO5" s="221"/>
      <c r="AP5" s="221"/>
      <c r="AQ5" s="221"/>
      <c r="AR5" s="222"/>
      <c r="AS5" s="222"/>
      <c r="AT5" s="221"/>
      <c r="AU5" s="221"/>
      <c r="AV5" s="221"/>
      <c r="AW5" s="221"/>
      <c r="AX5" s="221"/>
      <c r="AY5" s="222"/>
      <c r="AZ5" s="224"/>
      <c r="BA5" s="221"/>
      <c r="BB5" s="221"/>
      <c r="BC5" s="221"/>
      <c r="BD5" s="221"/>
      <c r="BE5" s="221"/>
      <c r="BF5" s="222"/>
      <c r="BG5" s="222"/>
      <c r="BH5" s="221"/>
      <c r="BI5" s="221"/>
      <c r="BJ5" s="221"/>
      <c r="BK5" s="221"/>
      <c r="BL5" s="221"/>
      <c r="BM5" s="222"/>
      <c r="BN5" s="222"/>
      <c r="BO5" s="221"/>
      <c r="BP5" s="221"/>
      <c r="BQ5" s="221"/>
      <c r="BR5" s="221"/>
      <c r="BS5" s="221"/>
      <c r="BT5" s="222"/>
      <c r="BU5" s="222"/>
      <c r="BV5" s="221"/>
      <c r="BW5" s="221"/>
      <c r="BX5" s="221"/>
      <c r="BY5" s="221"/>
      <c r="BZ5" s="221"/>
      <c r="CA5" s="222"/>
      <c r="CB5" s="224"/>
      <c r="CC5" s="221"/>
      <c r="CD5" s="221"/>
      <c r="CE5" s="221"/>
      <c r="CF5" s="221"/>
      <c r="CG5" s="221"/>
      <c r="CH5" s="222"/>
      <c r="CI5" s="222"/>
      <c r="CJ5" s="221"/>
      <c r="CK5" s="221"/>
      <c r="CL5" s="221"/>
      <c r="CM5" s="221"/>
      <c r="CN5" s="221"/>
      <c r="CO5" s="222"/>
      <c r="CP5" s="222"/>
      <c r="CQ5" s="221"/>
      <c r="CR5" s="221"/>
      <c r="CS5" s="221"/>
      <c r="CT5" s="221"/>
      <c r="CU5" s="221"/>
      <c r="CV5" s="222"/>
      <c r="CW5" s="222"/>
      <c r="CX5" s="221"/>
      <c r="CY5" s="221"/>
      <c r="CZ5" s="221"/>
      <c r="DA5" s="221"/>
      <c r="DB5" s="221"/>
      <c r="DC5" s="222"/>
      <c r="DD5" s="224"/>
      <c r="DE5" s="221"/>
      <c r="DF5" s="221"/>
      <c r="DG5" s="221"/>
      <c r="DH5" s="221"/>
      <c r="DI5" s="221"/>
      <c r="DJ5" s="222"/>
      <c r="DK5" s="222"/>
      <c r="DL5" s="221"/>
      <c r="DM5" s="221"/>
      <c r="DN5" s="221"/>
      <c r="DO5" s="221"/>
      <c r="DP5" s="221"/>
      <c r="DQ5" s="222"/>
      <c r="DR5" s="222"/>
    </row>
    <row r="6" spans="1:122" ht="22.5" x14ac:dyDescent="0.25">
      <c r="A6" s="225"/>
      <c r="B6" s="226" t="s">
        <v>491</v>
      </c>
      <c r="C6" s="227"/>
      <c r="D6" s="228"/>
      <c r="E6" s="228"/>
      <c r="F6" s="228"/>
      <c r="G6" s="228"/>
      <c r="H6" s="228"/>
      <c r="I6" s="229"/>
      <c r="J6" s="229"/>
      <c r="K6" s="228"/>
      <c r="L6" s="228"/>
      <c r="M6" s="230"/>
      <c r="N6" s="228"/>
      <c r="O6" s="228"/>
      <c r="P6" s="229"/>
      <c r="Q6" s="229"/>
      <c r="R6" s="228"/>
      <c r="S6" s="228"/>
      <c r="T6" s="228"/>
      <c r="U6" s="228"/>
      <c r="V6" s="228"/>
      <c r="W6" s="229"/>
      <c r="X6" s="231"/>
      <c r="Y6" s="228"/>
      <c r="Z6" s="228"/>
      <c r="AA6" s="228"/>
      <c r="AB6" s="228"/>
      <c r="AC6" s="228"/>
      <c r="AD6" s="229"/>
      <c r="AE6" s="229"/>
      <c r="AF6" s="228"/>
      <c r="AG6" s="228"/>
      <c r="AH6" s="228"/>
      <c r="AI6" s="228"/>
      <c r="AJ6" s="228"/>
      <c r="AK6" s="229"/>
      <c r="AL6" s="229"/>
      <c r="AM6" s="228"/>
      <c r="AN6" s="228"/>
      <c r="AO6" s="228"/>
      <c r="AP6" s="228"/>
      <c r="AQ6" s="228"/>
      <c r="AR6" s="229"/>
      <c r="AS6" s="229"/>
      <c r="AT6" s="228"/>
      <c r="AU6" s="228"/>
      <c r="AV6" s="228"/>
      <c r="AW6" s="228"/>
      <c r="AX6" s="228"/>
      <c r="AY6" s="229"/>
      <c r="AZ6" s="231"/>
      <c r="BA6" s="228"/>
      <c r="BB6" s="228"/>
      <c r="BC6" s="228"/>
      <c r="BD6" s="228"/>
      <c r="BE6" s="228"/>
      <c r="BF6" s="229"/>
      <c r="BG6" s="229"/>
      <c r="BH6" s="228"/>
      <c r="BI6" s="228"/>
      <c r="BJ6" s="228"/>
      <c r="BK6" s="228"/>
      <c r="BL6" s="228"/>
      <c r="BM6" s="229"/>
      <c r="BN6" s="229"/>
      <c r="BO6" s="228"/>
      <c r="BP6" s="228"/>
      <c r="BQ6" s="228"/>
      <c r="BR6" s="228"/>
      <c r="BS6" s="228"/>
      <c r="BT6" s="229"/>
      <c r="BU6" s="229"/>
      <c r="BV6" s="228"/>
      <c r="BW6" s="228"/>
      <c r="BX6" s="228"/>
      <c r="BY6" s="228"/>
      <c r="BZ6" s="228"/>
      <c r="CA6" s="229"/>
      <c r="CB6" s="231"/>
      <c r="CC6" s="228"/>
      <c r="CD6" s="228"/>
      <c r="CE6" s="228"/>
      <c r="CF6" s="228"/>
      <c r="CG6" s="228"/>
      <c r="CH6" s="229"/>
      <c r="CI6" s="229"/>
      <c r="CJ6" s="228"/>
      <c r="CK6" s="228"/>
      <c r="CL6" s="228"/>
      <c r="CM6" s="228"/>
      <c r="CN6" s="228"/>
      <c r="CO6" s="229"/>
      <c r="CP6" s="229"/>
      <c r="CQ6" s="228"/>
      <c r="CR6" s="228"/>
      <c r="CS6" s="228"/>
      <c r="CT6" s="228"/>
      <c r="CU6" s="228"/>
      <c r="CV6" s="229"/>
      <c r="CW6" s="229"/>
      <c r="CX6" s="228"/>
      <c r="CY6" s="228"/>
      <c r="CZ6" s="228"/>
      <c r="DA6" s="228"/>
      <c r="DB6" s="228"/>
      <c r="DC6" s="229"/>
      <c r="DD6" s="231"/>
      <c r="DE6" s="228"/>
      <c r="DF6" s="228"/>
      <c r="DG6" s="228"/>
      <c r="DH6" s="228"/>
      <c r="DI6" s="228"/>
      <c r="DJ6" s="229"/>
      <c r="DK6" s="229"/>
      <c r="DL6" s="228"/>
      <c r="DM6" s="228"/>
      <c r="DN6" s="228"/>
      <c r="DO6" s="228"/>
      <c r="DP6" s="228"/>
      <c r="DQ6" s="229"/>
      <c r="DR6" s="229"/>
    </row>
    <row r="7" spans="1:122" ht="15.75" thickBot="1" x14ac:dyDescent="0.3">
      <c r="A7" s="232"/>
      <c r="B7" s="233" t="s">
        <v>492</v>
      </c>
      <c r="C7" s="234"/>
      <c r="D7" s="235"/>
      <c r="E7" s="235"/>
      <c r="F7" s="235"/>
      <c r="G7" s="235"/>
      <c r="H7" s="235"/>
      <c r="I7" s="236"/>
      <c r="J7" s="236"/>
      <c r="K7" s="235"/>
      <c r="L7" s="235"/>
      <c r="M7" s="237"/>
      <c r="N7" s="235"/>
      <c r="O7" s="235"/>
      <c r="P7" s="236"/>
      <c r="Q7" s="236"/>
      <c r="R7" s="235"/>
      <c r="S7" s="235"/>
      <c r="T7" s="235"/>
      <c r="U7" s="235"/>
      <c r="V7" s="235"/>
      <c r="W7" s="236"/>
      <c r="X7" s="238"/>
      <c r="Y7" s="235"/>
      <c r="Z7" s="235"/>
      <c r="AA7" s="235"/>
      <c r="AB7" s="235"/>
      <c r="AC7" s="235"/>
      <c r="AD7" s="236"/>
      <c r="AE7" s="236"/>
      <c r="AF7" s="235"/>
      <c r="AG7" s="235"/>
      <c r="AH7" s="235"/>
      <c r="AI7" s="235"/>
      <c r="AJ7" s="235"/>
      <c r="AK7" s="236"/>
      <c r="AL7" s="236"/>
      <c r="AM7" s="235"/>
      <c r="AN7" s="235"/>
      <c r="AO7" s="235"/>
      <c r="AP7" s="235"/>
      <c r="AQ7" s="235"/>
      <c r="AR7" s="236"/>
      <c r="AS7" s="236"/>
      <c r="AT7" s="235"/>
      <c r="AU7" s="235"/>
      <c r="AV7" s="235"/>
      <c r="AW7" s="235"/>
      <c r="AX7" s="235"/>
      <c r="AY7" s="236"/>
      <c r="AZ7" s="238"/>
      <c r="BA7" s="235"/>
      <c r="BB7" s="235"/>
      <c r="BC7" s="235"/>
      <c r="BD7" s="235"/>
      <c r="BE7" s="235"/>
      <c r="BF7" s="236"/>
      <c r="BG7" s="236"/>
      <c r="BH7" s="235"/>
      <c r="BI7" s="235"/>
      <c r="BJ7" s="235"/>
      <c r="BK7" s="235"/>
      <c r="BL7" s="235"/>
      <c r="BM7" s="236"/>
      <c r="BN7" s="236"/>
      <c r="BO7" s="235"/>
      <c r="BP7" s="235"/>
      <c r="BQ7" s="235"/>
      <c r="BR7" s="235"/>
      <c r="BS7" s="235"/>
      <c r="BT7" s="236"/>
      <c r="BU7" s="236"/>
      <c r="BV7" s="235"/>
      <c r="BW7" s="235"/>
      <c r="BX7" s="235"/>
      <c r="BY7" s="235"/>
      <c r="BZ7" s="235"/>
      <c r="CA7" s="236"/>
      <c r="CB7" s="238"/>
      <c r="CC7" s="235"/>
      <c r="CD7" s="235"/>
      <c r="CE7" s="235"/>
      <c r="CF7" s="235"/>
      <c r="CG7" s="235"/>
      <c r="CH7" s="236"/>
      <c r="CI7" s="236"/>
      <c r="CJ7" s="235"/>
      <c r="CK7" s="235"/>
      <c r="CL7" s="235"/>
      <c r="CM7" s="235"/>
      <c r="CN7" s="235"/>
      <c r="CO7" s="236"/>
      <c r="CP7" s="236"/>
      <c r="CQ7" s="235"/>
      <c r="CR7" s="235"/>
      <c r="CS7" s="235"/>
      <c r="CT7" s="235"/>
      <c r="CU7" s="235"/>
      <c r="CV7" s="236"/>
      <c r="CW7" s="236"/>
      <c r="CX7" s="235"/>
      <c r="CY7" s="235"/>
      <c r="CZ7" s="235"/>
      <c r="DA7" s="235"/>
      <c r="DB7" s="235"/>
      <c r="DC7" s="236"/>
      <c r="DD7" s="238"/>
      <c r="DE7" s="235"/>
      <c r="DF7" s="235"/>
      <c r="DG7" s="235"/>
      <c r="DH7" s="235"/>
      <c r="DI7" s="235"/>
      <c r="DJ7" s="236"/>
      <c r="DK7" s="236"/>
      <c r="DL7" s="235"/>
      <c r="DM7" s="235"/>
      <c r="DN7" s="235"/>
      <c r="DO7" s="235"/>
      <c r="DP7" s="235"/>
      <c r="DQ7" s="236"/>
      <c r="DR7" s="236"/>
    </row>
    <row r="8" spans="1:122" x14ac:dyDescent="0.25">
      <c r="A8" s="218" t="s">
        <v>493</v>
      </c>
      <c r="B8" s="219" t="s">
        <v>494</v>
      </c>
      <c r="C8" s="239"/>
      <c r="D8" s="228"/>
      <c r="E8" s="228"/>
      <c r="F8" s="228"/>
      <c r="G8" s="228"/>
      <c r="H8" s="228"/>
      <c r="I8" s="229"/>
      <c r="J8" s="229"/>
      <c r="K8" s="228"/>
      <c r="L8" s="228"/>
      <c r="M8" s="237"/>
      <c r="N8" s="228"/>
      <c r="O8" s="228"/>
      <c r="P8" s="229"/>
      <c r="Q8" s="229"/>
      <c r="R8" s="228"/>
      <c r="S8" s="228"/>
      <c r="T8" s="228"/>
      <c r="U8" s="228"/>
      <c r="V8" s="228"/>
      <c r="W8" s="229"/>
      <c r="X8" s="231"/>
      <c r="Y8" s="228"/>
      <c r="Z8" s="228"/>
      <c r="AA8" s="228"/>
      <c r="AB8" s="228"/>
      <c r="AC8" s="228"/>
      <c r="AD8" s="229"/>
      <c r="AE8" s="229"/>
      <c r="AF8" s="228"/>
      <c r="AG8" s="228"/>
      <c r="AH8" s="228"/>
      <c r="AI8" s="228"/>
      <c r="AJ8" s="228"/>
      <c r="AK8" s="229"/>
      <c r="AL8" s="229"/>
      <c r="AM8" s="228"/>
      <c r="AN8" s="228"/>
      <c r="AO8" s="228"/>
      <c r="AP8" s="228"/>
      <c r="AQ8" s="228"/>
      <c r="AR8" s="229"/>
      <c r="AS8" s="229"/>
      <c r="AT8" s="228"/>
      <c r="AU8" s="228"/>
      <c r="AV8" s="228"/>
      <c r="AW8" s="228"/>
      <c r="AX8" s="228"/>
      <c r="AY8" s="229"/>
      <c r="AZ8" s="231"/>
      <c r="BA8" s="228"/>
      <c r="BB8" s="228"/>
      <c r="BC8" s="228"/>
      <c r="BD8" s="228"/>
      <c r="BE8" s="228"/>
      <c r="BF8" s="229"/>
      <c r="BG8" s="229"/>
      <c r="BH8" s="228"/>
      <c r="BI8" s="228"/>
      <c r="BJ8" s="228"/>
      <c r="BK8" s="228"/>
      <c r="BL8" s="228"/>
      <c r="BM8" s="229"/>
      <c r="BN8" s="229"/>
      <c r="BO8" s="228"/>
      <c r="BP8" s="228"/>
      <c r="BQ8" s="228"/>
      <c r="BR8" s="228"/>
      <c r="BS8" s="228"/>
      <c r="BT8" s="229"/>
      <c r="BU8" s="229"/>
      <c r="BV8" s="228"/>
      <c r="BW8" s="228"/>
      <c r="BX8" s="228"/>
      <c r="BY8" s="228"/>
      <c r="BZ8" s="228"/>
      <c r="CA8" s="229"/>
      <c r="CB8" s="231"/>
      <c r="CC8" s="228"/>
      <c r="CD8" s="228"/>
      <c r="CE8" s="228"/>
      <c r="CF8" s="228"/>
      <c r="CG8" s="228"/>
      <c r="CH8" s="229"/>
      <c r="CI8" s="229"/>
      <c r="CJ8" s="228"/>
      <c r="CK8" s="228"/>
      <c r="CL8" s="228"/>
      <c r="CM8" s="228"/>
      <c r="CN8" s="228"/>
      <c r="CO8" s="229"/>
      <c r="CP8" s="229"/>
      <c r="CQ8" s="228"/>
      <c r="CR8" s="228"/>
      <c r="CS8" s="228"/>
      <c r="CT8" s="228"/>
      <c r="CU8" s="228"/>
      <c r="CV8" s="229"/>
      <c r="CW8" s="229"/>
      <c r="CX8" s="228"/>
      <c r="CY8" s="228"/>
      <c r="CZ8" s="228"/>
      <c r="DA8" s="228"/>
      <c r="DB8" s="228"/>
      <c r="DC8" s="229"/>
      <c r="DD8" s="231"/>
      <c r="DE8" s="228"/>
      <c r="DF8" s="228"/>
      <c r="DG8" s="228"/>
      <c r="DH8" s="228"/>
      <c r="DI8" s="228"/>
      <c r="DJ8" s="229"/>
      <c r="DK8" s="229"/>
      <c r="DL8" s="228"/>
      <c r="DM8" s="228"/>
      <c r="DN8" s="228"/>
      <c r="DO8" s="228"/>
      <c r="DP8" s="228"/>
      <c r="DQ8" s="229"/>
      <c r="DR8" s="229"/>
    </row>
    <row r="9" spans="1:122" x14ac:dyDescent="0.25">
      <c r="A9" s="240"/>
      <c r="B9" s="241" t="s">
        <v>495</v>
      </c>
      <c r="C9" s="242"/>
      <c r="D9" s="228"/>
      <c r="E9" s="228"/>
      <c r="F9" s="228"/>
      <c r="G9" s="228"/>
      <c r="H9" s="228"/>
      <c r="I9" s="229"/>
      <c r="J9" s="229"/>
      <c r="K9" s="228"/>
      <c r="L9" s="228"/>
      <c r="M9" s="237"/>
      <c r="N9" s="228"/>
      <c r="O9" s="228"/>
      <c r="P9" s="229"/>
      <c r="Q9" s="229"/>
      <c r="R9" s="228"/>
      <c r="S9" s="228"/>
      <c r="T9" s="228"/>
      <c r="U9" s="228"/>
      <c r="V9" s="228"/>
      <c r="W9" s="229"/>
      <c r="X9" s="231"/>
      <c r="Y9" s="228"/>
      <c r="Z9" s="228"/>
      <c r="AA9" s="228"/>
      <c r="AB9" s="228"/>
      <c r="AC9" s="228"/>
      <c r="AD9" s="229"/>
      <c r="AE9" s="229"/>
      <c r="AF9" s="228"/>
      <c r="AG9" s="228"/>
      <c r="AH9" s="228"/>
      <c r="AI9" s="228"/>
      <c r="AJ9" s="228"/>
      <c r="AK9" s="229"/>
      <c r="AL9" s="229"/>
      <c r="AM9" s="228"/>
      <c r="AN9" s="228"/>
      <c r="AO9" s="228"/>
      <c r="AP9" s="228"/>
      <c r="AQ9" s="228"/>
      <c r="AR9" s="229"/>
      <c r="AS9" s="229"/>
      <c r="AT9" s="228"/>
      <c r="AU9" s="228"/>
      <c r="AV9" s="228"/>
      <c r="AW9" s="228"/>
      <c r="AX9" s="228"/>
      <c r="AY9" s="229"/>
      <c r="AZ9" s="231"/>
      <c r="BA9" s="228"/>
      <c r="BB9" s="228"/>
      <c r="BC9" s="228"/>
      <c r="BD9" s="228"/>
      <c r="BE9" s="228"/>
      <c r="BF9" s="229"/>
      <c r="BG9" s="229"/>
      <c r="BH9" s="228"/>
      <c r="BI9" s="228"/>
      <c r="BJ9" s="228"/>
      <c r="BK9" s="228"/>
      <c r="BL9" s="228"/>
      <c r="BM9" s="229"/>
      <c r="BN9" s="229"/>
      <c r="BO9" s="228"/>
      <c r="BP9" s="228"/>
      <c r="BQ9" s="228"/>
      <c r="BR9" s="228"/>
      <c r="BS9" s="228"/>
      <c r="BT9" s="229"/>
      <c r="BU9" s="229"/>
      <c r="BV9" s="228"/>
      <c r="BW9" s="228"/>
      <c r="BX9" s="228"/>
      <c r="BY9" s="228"/>
      <c r="BZ9" s="228"/>
      <c r="CA9" s="229"/>
      <c r="CB9" s="231"/>
      <c r="CC9" s="228"/>
      <c r="CD9" s="228"/>
      <c r="CE9" s="228"/>
      <c r="CF9" s="228"/>
      <c r="CG9" s="228"/>
      <c r="CH9" s="229"/>
      <c r="CI9" s="229"/>
      <c r="CJ9" s="228"/>
      <c r="CK9" s="228"/>
      <c r="CL9" s="228"/>
      <c r="CM9" s="228"/>
      <c r="CN9" s="228"/>
      <c r="CO9" s="229"/>
      <c r="CP9" s="229"/>
      <c r="CQ9" s="228"/>
      <c r="CR9" s="228"/>
      <c r="CS9" s="228"/>
      <c r="CT9" s="228"/>
      <c r="CU9" s="228"/>
      <c r="CV9" s="229"/>
      <c r="CW9" s="229"/>
      <c r="CX9" s="228"/>
      <c r="CY9" s="228"/>
      <c r="CZ9" s="228"/>
      <c r="DA9" s="228"/>
      <c r="DB9" s="228"/>
      <c r="DC9" s="229"/>
      <c r="DD9" s="231"/>
      <c r="DE9" s="228"/>
      <c r="DF9" s="228"/>
      <c r="DG9" s="228"/>
      <c r="DH9" s="228"/>
      <c r="DI9" s="228"/>
      <c r="DJ9" s="229"/>
      <c r="DK9" s="229"/>
      <c r="DL9" s="228"/>
      <c r="DM9" s="228"/>
      <c r="DN9" s="228"/>
      <c r="DO9" s="228"/>
      <c r="DP9" s="228"/>
      <c r="DQ9" s="229"/>
      <c r="DR9" s="229"/>
    </row>
    <row r="10" spans="1:122" ht="15.75" thickBot="1" x14ac:dyDescent="0.3">
      <c r="A10" s="243"/>
      <c r="B10" s="244" t="s">
        <v>496</v>
      </c>
      <c r="C10" s="245"/>
      <c r="D10" s="246"/>
      <c r="E10" s="246"/>
      <c r="F10" s="246"/>
      <c r="G10" s="246"/>
      <c r="H10" s="246"/>
      <c r="I10" s="247"/>
      <c r="J10" s="247"/>
      <c r="K10" s="246"/>
      <c r="L10" s="246"/>
      <c r="M10" s="237"/>
      <c r="N10" s="246"/>
      <c r="O10" s="246"/>
      <c r="P10" s="247"/>
      <c r="Q10" s="247"/>
      <c r="R10" s="246"/>
      <c r="S10" s="246"/>
      <c r="T10" s="246"/>
      <c r="U10" s="246"/>
      <c r="V10" s="246"/>
      <c r="W10" s="247"/>
      <c r="X10" s="248"/>
      <c r="Y10" s="246"/>
      <c r="Z10" s="246"/>
      <c r="AA10" s="246"/>
      <c r="AB10" s="246"/>
      <c r="AC10" s="246"/>
      <c r="AD10" s="247"/>
      <c r="AE10" s="247"/>
      <c r="AF10" s="246"/>
      <c r="AG10" s="246"/>
      <c r="AH10" s="246"/>
      <c r="AI10" s="246"/>
      <c r="AJ10" s="246"/>
      <c r="AK10" s="247"/>
      <c r="AL10" s="247"/>
      <c r="AM10" s="246"/>
      <c r="AN10" s="246"/>
      <c r="AO10" s="246"/>
      <c r="AP10" s="246"/>
      <c r="AQ10" s="246"/>
      <c r="AR10" s="247"/>
      <c r="AS10" s="247"/>
      <c r="AT10" s="246"/>
      <c r="AU10" s="246"/>
      <c r="AV10" s="246"/>
      <c r="AW10" s="246"/>
      <c r="AX10" s="246"/>
      <c r="AY10" s="247"/>
      <c r="AZ10" s="248"/>
      <c r="BA10" s="246"/>
      <c r="BB10" s="246"/>
      <c r="BC10" s="246"/>
      <c r="BD10" s="246"/>
      <c r="BE10" s="246"/>
      <c r="BF10" s="247"/>
      <c r="BG10" s="247"/>
      <c r="BH10" s="246"/>
      <c r="BI10" s="246"/>
      <c r="BJ10" s="246"/>
      <c r="BK10" s="246"/>
      <c r="BL10" s="246"/>
      <c r="BM10" s="247"/>
      <c r="BN10" s="247"/>
      <c r="BO10" s="246"/>
      <c r="BP10" s="246"/>
      <c r="BQ10" s="246"/>
      <c r="BR10" s="246"/>
      <c r="BS10" s="246"/>
      <c r="BT10" s="247"/>
      <c r="BU10" s="247"/>
      <c r="BV10" s="246"/>
      <c r="BW10" s="246"/>
      <c r="BX10" s="246"/>
      <c r="BY10" s="246"/>
      <c r="BZ10" s="246"/>
      <c r="CA10" s="247"/>
      <c r="CB10" s="248"/>
      <c r="CC10" s="246"/>
      <c r="CD10" s="246"/>
      <c r="CE10" s="246"/>
      <c r="CF10" s="246"/>
      <c r="CG10" s="246"/>
      <c r="CH10" s="247"/>
      <c r="CI10" s="247"/>
      <c r="CJ10" s="246"/>
      <c r="CK10" s="246"/>
      <c r="CL10" s="246"/>
      <c r="CM10" s="246"/>
      <c r="CN10" s="246"/>
      <c r="CO10" s="247"/>
      <c r="CP10" s="247"/>
      <c r="CQ10" s="246"/>
      <c r="CR10" s="246"/>
      <c r="CS10" s="246"/>
      <c r="CT10" s="246"/>
      <c r="CU10" s="246"/>
      <c r="CV10" s="247"/>
      <c r="CW10" s="247"/>
      <c r="CX10" s="246"/>
      <c r="CY10" s="246"/>
      <c r="CZ10" s="246"/>
      <c r="DA10" s="246"/>
      <c r="DB10" s="246"/>
      <c r="DC10" s="247"/>
      <c r="DD10" s="248"/>
      <c r="DE10" s="246"/>
      <c r="DF10" s="246"/>
      <c r="DG10" s="246"/>
      <c r="DH10" s="246"/>
      <c r="DI10" s="246"/>
      <c r="DJ10" s="247"/>
      <c r="DK10" s="247"/>
      <c r="DL10" s="246"/>
      <c r="DM10" s="246"/>
      <c r="DN10" s="246"/>
      <c r="DO10" s="246"/>
      <c r="DP10" s="246"/>
      <c r="DQ10" s="247"/>
      <c r="DR10" s="247"/>
    </row>
    <row r="11" spans="1:122" x14ac:dyDescent="0.25">
      <c r="A11" s="249"/>
      <c r="B11" s="250"/>
      <c r="C11" s="251"/>
      <c r="D11" s="221"/>
      <c r="E11" s="221"/>
      <c r="F11" s="221"/>
      <c r="G11" s="221"/>
      <c r="H11" s="221"/>
      <c r="I11" s="222"/>
      <c r="J11" s="222"/>
      <c r="K11" s="221"/>
      <c r="L11" s="221"/>
      <c r="M11" s="223"/>
      <c r="N11" s="221"/>
      <c r="O11" s="221"/>
      <c r="P11" s="222"/>
      <c r="Q11" s="222"/>
      <c r="R11" s="221"/>
      <c r="S11" s="221"/>
      <c r="T11" s="221"/>
      <c r="U11" s="221"/>
      <c r="V11" s="221"/>
      <c r="W11" s="222"/>
      <c r="X11" s="224"/>
      <c r="Y11" s="221"/>
      <c r="Z11" s="221"/>
      <c r="AA11" s="221"/>
      <c r="AB11" s="221"/>
      <c r="AC11" s="221"/>
      <c r="AD11" s="222"/>
      <c r="AE11" s="222"/>
      <c r="AF11" s="221"/>
      <c r="AG11" s="221"/>
      <c r="AH11" s="221"/>
      <c r="AI11" s="221"/>
      <c r="AJ11" s="221"/>
      <c r="AK11" s="222"/>
      <c r="AL11" s="222"/>
      <c r="AM11" s="221"/>
      <c r="AN11" s="221"/>
      <c r="AO11" s="221"/>
      <c r="AP11" s="221"/>
      <c r="AQ11" s="221"/>
      <c r="AR11" s="222"/>
      <c r="AS11" s="222"/>
      <c r="AT11" s="221"/>
      <c r="AU11" s="221"/>
      <c r="AV11" s="221"/>
      <c r="AW11" s="221"/>
      <c r="AX11" s="221"/>
      <c r="AY11" s="222"/>
      <c r="AZ11" s="224"/>
      <c r="BA11" s="221"/>
      <c r="BB11" s="221"/>
      <c r="BC11" s="221"/>
      <c r="BD11" s="221"/>
      <c r="BE11" s="221"/>
      <c r="BF11" s="222"/>
      <c r="BG11" s="222"/>
      <c r="BH11" s="221"/>
      <c r="BI11" s="221"/>
      <c r="BJ11" s="221"/>
      <c r="BK11" s="221"/>
      <c r="BL11" s="221"/>
      <c r="BM11" s="222"/>
      <c r="BN11" s="222"/>
      <c r="BO11" s="221"/>
      <c r="BP11" s="221"/>
      <c r="BQ11" s="221"/>
      <c r="BR11" s="221"/>
      <c r="BS11" s="221"/>
      <c r="BT11" s="222"/>
      <c r="BU11" s="222"/>
      <c r="BV11" s="221"/>
      <c r="BW11" s="221"/>
      <c r="BX11" s="221"/>
      <c r="BY11" s="221"/>
      <c r="BZ11" s="221"/>
      <c r="CA11" s="222"/>
      <c r="CB11" s="224"/>
      <c r="CC11" s="221"/>
      <c r="CD11" s="221"/>
      <c r="CE11" s="221"/>
      <c r="CF11" s="221"/>
      <c r="CG11" s="221"/>
      <c r="CH11" s="222"/>
      <c r="CI11" s="222"/>
      <c r="CJ11" s="221"/>
      <c r="CK11" s="221"/>
      <c r="CL11" s="221"/>
      <c r="CM11" s="221"/>
      <c r="CN11" s="221"/>
      <c r="CO11" s="222"/>
      <c r="CP11" s="222"/>
      <c r="CQ11" s="221"/>
      <c r="CR11" s="221"/>
      <c r="CS11" s="221"/>
      <c r="CT11" s="221"/>
      <c r="CU11" s="221"/>
      <c r="CV11" s="222"/>
      <c r="CW11" s="222"/>
      <c r="CX11" s="221"/>
      <c r="CY11" s="221"/>
      <c r="CZ11" s="221"/>
      <c r="DA11" s="221"/>
      <c r="DB11" s="221"/>
      <c r="DC11" s="222"/>
      <c r="DD11" s="224"/>
      <c r="DE11" s="221"/>
      <c r="DF11" s="221"/>
      <c r="DG11" s="221"/>
      <c r="DH11" s="221"/>
      <c r="DI11" s="221"/>
      <c r="DJ11" s="222"/>
      <c r="DK11" s="222"/>
      <c r="DL11" s="221"/>
      <c r="DM11" s="221"/>
      <c r="DN11" s="221"/>
      <c r="DO11" s="221"/>
      <c r="DP11" s="221"/>
      <c r="DQ11" s="222"/>
      <c r="DR11" s="222"/>
    </row>
    <row r="12" spans="1:122" x14ac:dyDescent="0.25">
      <c r="A12" s="252" t="s">
        <v>497</v>
      </c>
      <c r="B12" s="253" t="s">
        <v>498</v>
      </c>
      <c r="C12" s="254"/>
      <c r="D12" s="228"/>
      <c r="E12" s="228"/>
      <c r="F12" s="228"/>
      <c r="G12" s="228"/>
      <c r="H12" s="228"/>
      <c r="I12" s="229"/>
      <c r="J12" s="229"/>
      <c r="K12" s="228"/>
      <c r="L12" s="228"/>
      <c r="M12" s="237"/>
      <c r="N12" s="228"/>
      <c r="O12" s="228"/>
      <c r="P12" s="229"/>
      <c r="Q12" s="229"/>
      <c r="R12" s="228"/>
      <c r="S12" s="228"/>
      <c r="T12" s="228"/>
      <c r="U12" s="228"/>
      <c r="V12" s="228"/>
      <c r="W12" s="229"/>
      <c r="X12" s="231"/>
      <c r="Y12" s="228"/>
      <c r="Z12" s="228"/>
      <c r="AA12" s="228"/>
      <c r="AB12" s="228"/>
      <c r="AC12" s="228"/>
      <c r="AD12" s="229"/>
      <c r="AE12" s="229"/>
      <c r="AF12" s="228"/>
      <c r="AG12" s="228"/>
      <c r="AH12" s="228"/>
      <c r="AI12" s="228"/>
      <c r="AJ12" s="228"/>
      <c r="AK12" s="229"/>
      <c r="AL12" s="229"/>
      <c r="AM12" s="228"/>
      <c r="AN12" s="228"/>
      <c r="AO12" s="228"/>
      <c r="AP12" s="228"/>
      <c r="AQ12" s="228"/>
      <c r="AR12" s="229"/>
      <c r="AS12" s="229"/>
      <c r="AT12" s="228"/>
      <c r="AU12" s="228"/>
      <c r="AV12" s="228"/>
      <c r="AW12" s="228"/>
      <c r="AX12" s="228"/>
      <c r="AY12" s="229"/>
      <c r="AZ12" s="231"/>
      <c r="BA12" s="228"/>
      <c r="BB12" s="228"/>
      <c r="BC12" s="228"/>
      <c r="BD12" s="228"/>
      <c r="BE12" s="228"/>
      <c r="BF12" s="229"/>
      <c r="BG12" s="229"/>
      <c r="BH12" s="228"/>
      <c r="BI12" s="228"/>
      <c r="BJ12" s="228"/>
      <c r="BK12" s="228"/>
      <c r="BL12" s="228"/>
      <c r="BM12" s="229"/>
      <c r="BN12" s="229"/>
      <c r="BO12" s="228"/>
      <c r="BP12" s="228"/>
      <c r="BQ12" s="228"/>
      <c r="BR12" s="228"/>
      <c r="BS12" s="228"/>
      <c r="BT12" s="229"/>
      <c r="BU12" s="229"/>
      <c r="BV12" s="228"/>
      <c r="BW12" s="228"/>
      <c r="BX12" s="228"/>
      <c r="BY12" s="228"/>
      <c r="BZ12" s="228"/>
      <c r="CA12" s="229"/>
      <c r="CB12" s="231"/>
      <c r="CC12" s="228"/>
      <c r="CD12" s="228"/>
      <c r="CE12" s="228"/>
      <c r="CF12" s="228"/>
      <c r="CG12" s="228"/>
      <c r="CH12" s="229"/>
      <c r="CI12" s="229"/>
      <c r="CJ12" s="228"/>
      <c r="CK12" s="228"/>
      <c r="CL12" s="228"/>
      <c r="CM12" s="228"/>
      <c r="CN12" s="228"/>
      <c r="CO12" s="229"/>
      <c r="CP12" s="229"/>
      <c r="CQ12" s="228"/>
      <c r="CR12" s="228"/>
      <c r="CS12" s="228"/>
      <c r="CT12" s="228"/>
      <c r="CU12" s="228"/>
      <c r="CV12" s="229"/>
      <c r="CW12" s="229"/>
      <c r="CX12" s="228"/>
      <c r="CY12" s="228"/>
      <c r="CZ12" s="228"/>
      <c r="DA12" s="228"/>
      <c r="DB12" s="228"/>
      <c r="DC12" s="229"/>
      <c r="DD12" s="231"/>
      <c r="DE12" s="228"/>
      <c r="DF12" s="228"/>
      <c r="DG12" s="228"/>
      <c r="DH12" s="228"/>
      <c r="DI12" s="228"/>
      <c r="DJ12" s="229"/>
      <c r="DK12" s="229"/>
      <c r="DL12" s="228"/>
      <c r="DM12" s="228"/>
      <c r="DN12" s="228"/>
      <c r="DO12" s="228"/>
      <c r="DP12" s="228"/>
      <c r="DQ12" s="229"/>
      <c r="DR12" s="229"/>
    </row>
    <row r="13" spans="1:122" x14ac:dyDescent="0.25">
      <c r="A13" s="255"/>
      <c r="B13" s="253"/>
      <c r="C13" s="254"/>
      <c r="D13" s="228"/>
      <c r="E13" s="228"/>
      <c r="F13" s="228"/>
      <c r="G13" s="228"/>
      <c r="H13" s="228"/>
      <c r="I13" s="229"/>
      <c r="J13" s="229"/>
      <c r="K13" s="228"/>
      <c r="L13" s="228"/>
      <c r="M13" s="237"/>
      <c r="N13" s="228"/>
      <c r="O13" s="228"/>
      <c r="P13" s="229"/>
      <c r="Q13" s="229"/>
      <c r="R13" s="228"/>
      <c r="S13" s="228"/>
      <c r="T13" s="228"/>
      <c r="U13" s="228"/>
      <c r="V13" s="228"/>
      <c r="W13" s="229"/>
      <c r="X13" s="231"/>
      <c r="Y13" s="228"/>
      <c r="Z13" s="228"/>
      <c r="AA13" s="228"/>
      <c r="AB13" s="228"/>
      <c r="AC13" s="228"/>
      <c r="AD13" s="229"/>
      <c r="AE13" s="229"/>
      <c r="AF13" s="228"/>
      <c r="AG13" s="228"/>
      <c r="AH13" s="228"/>
      <c r="AI13" s="228"/>
      <c r="AJ13" s="228"/>
      <c r="AK13" s="229"/>
      <c r="AL13" s="229"/>
      <c r="AM13" s="228"/>
      <c r="AN13" s="228"/>
      <c r="AO13" s="228"/>
      <c r="AP13" s="228"/>
      <c r="AQ13" s="228"/>
      <c r="AR13" s="229"/>
      <c r="AS13" s="229"/>
      <c r="AT13" s="228"/>
      <c r="AU13" s="228"/>
      <c r="AV13" s="228"/>
      <c r="AW13" s="228"/>
      <c r="AX13" s="228"/>
      <c r="AY13" s="229"/>
      <c r="AZ13" s="231"/>
      <c r="BA13" s="228"/>
      <c r="BB13" s="228"/>
      <c r="BC13" s="228"/>
      <c r="BD13" s="228"/>
      <c r="BE13" s="228"/>
      <c r="BF13" s="229"/>
      <c r="BG13" s="229"/>
      <c r="BH13" s="228"/>
      <c r="BI13" s="228"/>
      <c r="BJ13" s="228"/>
      <c r="BK13" s="228"/>
      <c r="BL13" s="228"/>
      <c r="BM13" s="229"/>
      <c r="BN13" s="229"/>
      <c r="BO13" s="228"/>
      <c r="BP13" s="228"/>
      <c r="BQ13" s="228"/>
      <c r="BR13" s="228"/>
      <c r="BS13" s="228"/>
      <c r="BT13" s="229"/>
      <c r="BU13" s="229"/>
      <c r="BV13" s="228"/>
      <c r="BW13" s="228"/>
      <c r="BX13" s="228"/>
      <c r="BY13" s="228"/>
      <c r="BZ13" s="228"/>
      <c r="CA13" s="229"/>
      <c r="CB13" s="231"/>
      <c r="CC13" s="228"/>
      <c r="CD13" s="228"/>
      <c r="CE13" s="228"/>
      <c r="CF13" s="228"/>
      <c r="CG13" s="228"/>
      <c r="CH13" s="229"/>
      <c r="CI13" s="229"/>
      <c r="CJ13" s="228"/>
      <c r="CK13" s="228"/>
      <c r="CL13" s="228"/>
      <c r="CM13" s="228"/>
      <c r="CN13" s="228"/>
      <c r="CO13" s="229"/>
      <c r="CP13" s="229"/>
      <c r="CQ13" s="228"/>
      <c r="CR13" s="228"/>
      <c r="CS13" s="228"/>
      <c r="CT13" s="228"/>
      <c r="CU13" s="228"/>
      <c r="CV13" s="229"/>
      <c r="CW13" s="229"/>
      <c r="CX13" s="228"/>
      <c r="CY13" s="228"/>
      <c r="CZ13" s="228"/>
      <c r="DA13" s="228"/>
      <c r="DB13" s="228"/>
      <c r="DC13" s="229"/>
      <c r="DD13" s="231"/>
      <c r="DE13" s="228"/>
      <c r="DF13" s="228"/>
      <c r="DG13" s="228"/>
      <c r="DH13" s="228"/>
      <c r="DI13" s="228"/>
      <c r="DJ13" s="229"/>
      <c r="DK13" s="229"/>
      <c r="DL13" s="228"/>
      <c r="DM13" s="228"/>
      <c r="DN13" s="228"/>
      <c r="DO13" s="228"/>
      <c r="DP13" s="228"/>
      <c r="DQ13" s="229"/>
      <c r="DR13" s="229"/>
    </row>
    <row r="14" spans="1:122" x14ac:dyDescent="0.25">
      <c r="A14" s="252" t="s">
        <v>499</v>
      </c>
      <c r="B14" s="253" t="s">
        <v>500</v>
      </c>
      <c r="C14" s="254"/>
      <c r="D14" s="228"/>
      <c r="E14" s="228"/>
      <c r="F14" s="228"/>
      <c r="G14" s="228"/>
      <c r="H14" s="228"/>
      <c r="I14" s="229"/>
      <c r="J14" s="229"/>
      <c r="K14" s="228"/>
      <c r="L14" s="228"/>
      <c r="M14" s="237"/>
      <c r="N14" s="228"/>
      <c r="O14" s="228"/>
      <c r="P14" s="229"/>
      <c r="Q14" s="229"/>
      <c r="R14" s="228"/>
      <c r="S14" s="228"/>
      <c r="T14" s="228"/>
      <c r="U14" s="228"/>
      <c r="V14" s="228"/>
      <c r="W14" s="229"/>
      <c r="X14" s="231"/>
      <c r="Y14" s="228"/>
      <c r="Z14" s="228"/>
      <c r="AA14" s="228"/>
      <c r="AB14" s="228"/>
      <c r="AC14" s="228"/>
      <c r="AD14" s="229"/>
      <c r="AE14" s="229"/>
      <c r="AF14" s="228"/>
      <c r="AG14" s="228"/>
      <c r="AH14" s="228"/>
      <c r="AI14" s="228"/>
      <c r="AJ14" s="228"/>
      <c r="AK14" s="229"/>
      <c r="AL14" s="229"/>
      <c r="AM14" s="228"/>
      <c r="AN14" s="228"/>
      <c r="AO14" s="228"/>
      <c r="AP14" s="228"/>
      <c r="AQ14" s="228"/>
      <c r="AR14" s="229"/>
      <c r="AS14" s="229"/>
      <c r="AT14" s="228"/>
      <c r="AU14" s="228"/>
      <c r="AV14" s="228"/>
      <c r="AW14" s="228"/>
      <c r="AX14" s="228"/>
      <c r="AY14" s="229"/>
      <c r="AZ14" s="231"/>
      <c r="BA14" s="228"/>
      <c r="BB14" s="228"/>
      <c r="BC14" s="228"/>
      <c r="BD14" s="228"/>
      <c r="BE14" s="228"/>
      <c r="BF14" s="229"/>
      <c r="BG14" s="229"/>
      <c r="BH14" s="228"/>
      <c r="BI14" s="228"/>
      <c r="BJ14" s="228"/>
      <c r="BK14" s="228"/>
      <c r="BL14" s="228"/>
      <c r="BM14" s="229"/>
      <c r="BN14" s="229"/>
      <c r="BO14" s="228"/>
      <c r="BP14" s="228"/>
      <c r="BQ14" s="228"/>
      <c r="BR14" s="228"/>
      <c r="BS14" s="228"/>
      <c r="BT14" s="229"/>
      <c r="BU14" s="229"/>
      <c r="BV14" s="228"/>
      <c r="BW14" s="228"/>
      <c r="BX14" s="228"/>
      <c r="BY14" s="228"/>
      <c r="BZ14" s="228"/>
      <c r="CA14" s="229"/>
      <c r="CB14" s="231"/>
      <c r="CC14" s="228"/>
      <c r="CD14" s="228"/>
      <c r="CE14" s="228"/>
      <c r="CF14" s="228"/>
      <c r="CG14" s="228"/>
      <c r="CH14" s="229"/>
      <c r="CI14" s="229"/>
      <c r="CJ14" s="228"/>
      <c r="CK14" s="228"/>
      <c r="CL14" s="228"/>
      <c r="CM14" s="228"/>
      <c r="CN14" s="228"/>
      <c r="CO14" s="229"/>
      <c r="CP14" s="229"/>
      <c r="CQ14" s="228"/>
      <c r="CR14" s="228"/>
      <c r="CS14" s="228"/>
      <c r="CT14" s="228"/>
      <c r="CU14" s="228"/>
      <c r="CV14" s="229"/>
      <c r="CW14" s="229"/>
      <c r="CX14" s="228"/>
      <c r="CY14" s="228"/>
      <c r="CZ14" s="228"/>
      <c r="DA14" s="228"/>
      <c r="DB14" s="228"/>
      <c r="DC14" s="229"/>
      <c r="DD14" s="231"/>
      <c r="DE14" s="228"/>
      <c r="DF14" s="228"/>
      <c r="DG14" s="228"/>
      <c r="DH14" s="228"/>
      <c r="DI14" s="228"/>
      <c r="DJ14" s="229"/>
      <c r="DK14" s="229"/>
      <c r="DL14" s="228"/>
      <c r="DM14" s="228"/>
      <c r="DN14" s="228"/>
      <c r="DO14" s="228"/>
      <c r="DP14" s="228"/>
      <c r="DQ14" s="229"/>
      <c r="DR14" s="229"/>
    </row>
    <row r="15" spans="1:122" x14ac:dyDescent="0.25">
      <c r="A15" s="255"/>
      <c r="B15" s="253"/>
      <c r="C15" s="254"/>
      <c r="D15" s="228"/>
      <c r="E15" s="228"/>
      <c r="F15" s="228"/>
      <c r="G15" s="228"/>
      <c r="H15" s="228"/>
      <c r="I15" s="229"/>
      <c r="J15" s="229"/>
      <c r="K15" s="228"/>
      <c r="L15" s="228"/>
      <c r="M15" s="237"/>
      <c r="N15" s="228"/>
      <c r="O15" s="228"/>
      <c r="P15" s="229"/>
      <c r="Q15" s="229"/>
      <c r="R15" s="228"/>
      <c r="S15" s="228"/>
      <c r="T15" s="228"/>
      <c r="U15" s="228"/>
      <c r="V15" s="228"/>
      <c r="W15" s="229"/>
      <c r="X15" s="231"/>
      <c r="Y15" s="228"/>
      <c r="Z15" s="228"/>
      <c r="AA15" s="228"/>
      <c r="AB15" s="228"/>
      <c r="AC15" s="228"/>
      <c r="AD15" s="229"/>
      <c r="AE15" s="229"/>
      <c r="AF15" s="228"/>
      <c r="AG15" s="228"/>
      <c r="AH15" s="228"/>
      <c r="AI15" s="228"/>
      <c r="AJ15" s="228"/>
      <c r="AK15" s="229"/>
      <c r="AL15" s="229"/>
      <c r="AM15" s="228"/>
      <c r="AN15" s="228"/>
      <c r="AO15" s="228"/>
      <c r="AP15" s="228"/>
      <c r="AQ15" s="228"/>
      <c r="AR15" s="229"/>
      <c r="AS15" s="229"/>
      <c r="AT15" s="228"/>
      <c r="AU15" s="228"/>
      <c r="AV15" s="228"/>
      <c r="AW15" s="228"/>
      <c r="AX15" s="228"/>
      <c r="AY15" s="229"/>
      <c r="AZ15" s="231"/>
      <c r="BA15" s="228"/>
      <c r="BB15" s="228"/>
      <c r="BC15" s="228"/>
      <c r="BD15" s="228"/>
      <c r="BE15" s="228"/>
      <c r="BF15" s="229"/>
      <c r="BG15" s="229"/>
      <c r="BH15" s="228"/>
      <c r="BI15" s="228"/>
      <c r="BJ15" s="228"/>
      <c r="BK15" s="228"/>
      <c r="BL15" s="228"/>
      <c r="BM15" s="229"/>
      <c r="BN15" s="229"/>
      <c r="BO15" s="228"/>
      <c r="BP15" s="228"/>
      <c r="BQ15" s="228"/>
      <c r="BR15" s="228"/>
      <c r="BS15" s="228"/>
      <c r="BT15" s="229"/>
      <c r="BU15" s="229"/>
      <c r="BV15" s="228"/>
      <c r="BW15" s="228"/>
      <c r="BX15" s="228"/>
      <c r="BY15" s="228"/>
      <c r="BZ15" s="228"/>
      <c r="CA15" s="229"/>
      <c r="CB15" s="231"/>
      <c r="CC15" s="228"/>
      <c r="CD15" s="228"/>
      <c r="CE15" s="228"/>
      <c r="CF15" s="228"/>
      <c r="CG15" s="228"/>
      <c r="CH15" s="229"/>
      <c r="CI15" s="229"/>
      <c r="CJ15" s="228"/>
      <c r="CK15" s="228"/>
      <c r="CL15" s="228"/>
      <c r="CM15" s="228"/>
      <c r="CN15" s="228"/>
      <c r="CO15" s="229"/>
      <c r="CP15" s="229"/>
      <c r="CQ15" s="228"/>
      <c r="CR15" s="228"/>
      <c r="CS15" s="228"/>
      <c r="CT15" s="228"/>
      <c r="CU15" s="228"/>
      <c r="CV15" s="229"/>
      <c r="CW15" s="229"/>
      <c r="CX15" s="228"/>
      <c r="CY15" s="228"/>
      <c r="CZ15" s="228"/>
      <c r="DA15" s="228"/>
      <c r="DB15" s="228"/>
      <c r="DC15" s="229"/>
      <c r="DD15" s="231"/>
      <c r="DE15" s="228"/>
      <c r="DF15" s="228"/>
      <c r="DG15" s="228"/>
      <c r="DH15" s="228"/>
      <c r="DI15" s="228"/>
      <c r="DJ15" s="229"/>
      <c r="DK15" s="229"/>
      <c r="DL15" s="228"/>
      <c r="DM15" s="228"/>
      <c r="DN15" s="228"/>
      <c r="DO15" s="228"/>
      <c r="DP15" s="228"/>
      <c r="DQ15" s="229"/>
      <c r="DR15" s="229"/>
    </row>
    <row r="16" spans="1:122" x14ac:dyDescent="0.25">
      <c r="A16" s="252" t="s">
        <v>501</v>
      </c>
      <c r="B16" s="253" t="s">
        <v>502</v>
      </c>
      <c r="C16" s="254"/>
      <c r="D16" s="228"/>
      <c r="E16" s="228"/>
      <c r="F16" s="228"/>
      <c r="G16" s="228"/>
      <c r="H16" s="228"/>
      <c r="I16" s="229"/>
      <c r="J16" s="229"/>
      <c r="K16" s="228"/>
      <c r="L16" s="228"/>
      <c r="M16" s="237"/>
      <c r="N16" s="228"/>
      <c r="O16" s="228"/>
      <c r="P16" s="229"/>
      <c r="Q16" s="229"/>
      <c r="R16" s="228"/>
      <c r="S16" s="228"/>
      <c r="T16" s="228"/>
      <c r="U16" s="228"/>
      <c r="V16" s="228"/>
      <c r="W16" s="229"/>
      <c r="X16" s="231"/>
      <c r="Y16" s="228"/>
      <c r="Z16" s="228"/>
      <c r="AA16" s="228"/>
      <c r="AB16" s="228"/>
      <c r="AC16" s="228"/>
      <c r="AD16" s="229"/>
      <c r="AE16" s="229"/>
      <c r="AF16" s="228"/>
      <c r="AG16" s="228"/>
      <c r="AH16" s="228"/>
      <c r="AI16" s="228"/>
      <c r="AJ16" s="228"/>
      <c r="AK16" s="229"/>
      <c r="AL16" s="229"/>
      <c r="AM16" s="228"/>
      <c r="AN16" s="228"/>
      <c r="AO16" s="228"/>
      <c r="AP16" s="228"/>
      <c r="AQ16" s="228"/>
      <c r="AR16" s="229"/>
      <c r="AS16" s="229"/>
      <c r="AT16" s="228"/>
      <c r="AU16" s="228"/>
      <c r="AV16" s="228"/>
      <c r="AW16" s="228"/>
      <c r="AX16" s="228"/>
      <c r="AY16" s="229"/>
      <c r="AZ16" s="231"/>
      <c r="BA16" s="228"/>
      <c r="BB16" s="228"/>
      <c r="BC16" s="228"/>
      <c r="BD16" s="228"/>
      <c r="BE16" s="228"/>
      <c r="BF16" s="229"/>
      <c r="BG16" s="229"/>
      <c r="BH16" s="228"/>
      <c r="BI16" s="228"/>
      <c r="BJ16" s="228"/>
      <c r="BK16" s="228"/>
      <c r="BL16" s="228"/>
      <c r="BM16" s="229"/>
      <c r="BN16" s="229"/>
      <c r="BO16" s="228"/>
      <c r="BP16" s="228"/>
      <c r="BQ16" s="228"/>
      <c r="BR16" s="228"/>
      <c r="BS16" s="228"/>
      <c r="BT16" s="229"/>
      <c r="BU16" s="229"/>
      <c r="BV16" s="228"/>
      <c r="BW16" s="228"/>
      <c r="BX16" s="228"/>
      <c r="BY16" s="228"/>
      <c r="BZ16" s="228"/>
      <c r="CA16" s="229"/>
      <c r="CB16" s="231"/>
      <c r="CC16" s="228"/>
      <c r="CD16" s="228"/>
      <c r="CE16" s="228"/>
      <c r="CF16" s="228"/>
      <c r="CG16" s="228"/>
      <c r="CH16" s="229"/>
      <c r="CI16" s="229"/>
      <c r="CJ16" s="228"/>
      <c r="CK16" s="228"/>
      <c r="CL16" s="228"/>
      <c r="CM16" s="228"/>
      <c r="CN16" s="228"/>
      <c r="CO16" s="229"/>
      <c r="CP16" s="229"/>
      <c r="CQ16" s="228"/>
      <c r="CR16" s="228"/>
      <c r="CS16" s="228"/>
      <c r="CT16" s="228"/>
      <c r="CU16" s="228"/>
      <c r="CV16" s="229"/>
      <c r="CW16" s="229"/>
      <c r="CX16" s="228"/>
      <c r="CY16" s="228"/>
      <c r="CZ16" s="228"/>
      <c r="DA16" s="228"/>
      <c r="DB16" s="228"/>
      <c r="DC16" s="229"/>
      <c r="DD16" s="231"/>
      <c r="DE16" s="228"/>
      <c r="DF16" s="228"/>
      <c r="DG16" s="228"/>
      <c r="DH16" s="228"/>
      <c r="DI16" s="228"/>
      <c r="DJ16" s="229"/>
      <c r="DK16" s="229"/>
      <c r="DL16" s="228"/>
      <c r="DM16" s="228"/>
      <c r="DN16" s="228"/>
      <c r="DO16" s="228"/>
      <c r="DP16" s="228"/>
      <c r="DQ16" s="229"/>
      <c r="DR16" s="229"/>
    </row>
    <row r="17" spans="1:122" x14ac:dyDescent="0.25">
      <c r="A17" s="255"/>
      <c r="B17" s="253"/>
      <c r="C17" s="254"/>
      <c r="D17" s="228"/>
      <c r="E17" s="228"/>
      <c r="F17" s="228"/>
      <c r="G17" s="228"/>
      <c r="H17" s="228"/>
      <c r="I17" s="229"/>
      <c r="J17" s="229"/>
      <c r="K17" s="228"/>
      <c r="L17" s="228"/>
      <c r="M17" s="237"/>
      <c r="N17" s="228"/>
      <c r="O17" s="228"/>
      <c r="P17" s="229"/>
      <c r="Q17" s="229"/>
      <c r="R17" s="228"/>
      <c r="S17" s="228"/>
      <c r="T17" s="228"/>
      <c r="U17" s="228"/>
      <c r="V17" s="228"/>
      <c r="W17" s="229"/>
      <c r="X17" s="231"/>
      <c r="Y17" s="228"/>
      <c r="Z17" s="228"/>
      <c r="AA17" s="228"/>
      <c r="AB17" s="228"/>
      <c r="AC17" s="228"/>
      <c r="AD17" s="229"/>
      <c r="AE17" s="229"/>
      <c r="AF17" s="228"/>
      <c r="AG17" s="228"/>
      <c r="AH17" s="228"/>
      <c r="AI17" s="228"/>
      <c r="AJ17" s="228"/>
      <c r="AK17" s="229"/>
      <c r="AL17" s="229"/>
      <c r="AM17" s="228"/>
      <c r="AN17" s="228"/>
      <c r="AO17" s="228"/>
      <c r="AP17" s="228"/>
      <c r="AQ17" s="228"/>
      <c r="AR17" s="229"/>
      <c r="AS17" s="229"/>
      <c r="AT17" s="228"/>
      <c r="AU17" s="228"/>
      <c r="AV17" s="228"/>
      <c r="AW17" s="228"/>
      <c r="AX17" s="228"/>
      <c r="AY17" s="229"/>
      <c r="AZ17" s="231"/>
      <c r="BA17" s="228"/>
      <c r="BB17" s="228"/>
      <c r="BC17" s="228"/>
      <c r="BD17" s="228"/>
      <c r="BE17" s="228"/>
      <c r="BF17" s="229"/>
      <c r="BG17" s="229"/>
      <c r="BH17" s="228"/>
      <c r="BI17" s="228"/>
      <c r="BJ17" s="228"/>
      <c r="BK17" s="228"/>
      <c r="BL17" s="228"/>
      <c r="BM17" s="229"/>
      <c r="BN17" s="229"/>
      <c r="BO17" s="228"/>
      <c r="BP17" s="228"/>
      <c r="BQ17" s="228"/>
      <c r="BR17" s="228"/>
      <c r="BS17" s="228"/>
      <c r="BT17" s="229"/>
      <c r="BU17" s="229"/>
      <c r="BV17" s="228"/>
      <c r="BW17" s="228"/>
      <c r="BX17" s="228"/>
      <c r="BY17" s="228"/>
      <c r="BZ17" s="228"/>
      <c r="CA17" s="229"/>
      <c r="CB17" s="231"/>
      <c r="CC17" s="228"/>
      <c r="CD17" s="228"/>
      <c r="CE17" s="228"/>
      <c r="CF17" s="228"/>
      <c r="CG17" s="228"/>
      <c r="CH17" s="229"/>
      <c r="CI17" s="229"/>
      <c r="CJ17" s="228"/>
      <c r="CK17" s="228"/>
      <c r="CL17" s="228"/>
      <c r="CM17" s="228"/>
      <c r="CN17" s="228"/>
      <c r="CO17" s="229"/>
      <c r="CP17" s="229"/>
      <c r="CQ17" s="228"/>
      <c r="CR17" s="228"/>
      <c r="CS17" s="228"/>
      <c r="CT17" s="228"/>
      <c r="CU17" s="228"/>
      <c r="CV17" s="229"/>
      <c r="CW17" s="229"/>
      <c r="CX17" s="228"/>
      <c r="CY17" s="228"/>
      <c r="CZ17" s="228"/>
      <c r="DA17" s="228"/>
      <c r="DB17" s="228"/>
      <c r="DC17" s="229"/>
      <c r="DD17" s="231"/>
      <c r="DE17" s="228"/>
      <c r="DF17" s="228"/>
      <c r="DG17" s="228"/>
      <c r="DH17" s="228"/>
      <c r="DI17" s="228"/>
      <c r="DJ17" s="229"/>
      <c r="DK17" s="229"/>
      <c r="DL17" s="228"/>
      <c r="DM17" s="228"/>
      <c r="DN17" s="228"/>
      <c r="DO17" s="228"/>
      <c r="DP17" s="228"/>
      <c r="DQ17" s="229"/>
      <c r="DR17" s="229"/>
    </row>
    <row r="18" spans="1:122" x14ac:dyDescent="0.25">
      <c r="A18" s="252" t="s">
        <v>503</v>
      </c>
      <c r="B18" s="253"/>
      <c r="C18" s="254"/>
      <c r="D18" s="228"/>
      <c r="E18" s="228"/>
      <c r="F18" s="228"/>
      <c r="G18" s="228"/>
      <c r="H18" s="228"/>
      <c r="I18" s="229"/>
      <c r="J18" s="229"/>
      <c r="K18" s="228"/>
      <c r="L18" s="228"/>
      <c r="M18" s="237"/>
      <c r="N18" s="228"/>
      <c r="O18" s="228"/>
      <c r="P18" s="229"/>
      <c r="Q18" s="229"/>
      <c r="R18" s="228"/>
      <c r="S18" s="228"/>
      <c r="T18" s="228"/>
      <c r="U18" s="228"/>
      <c r="V18" s="228"/>
      <c r="W18" s="229"/>
      <c r="X18" s="231"/>
      <c r="Y18" s="228"/>
      <c r="Z18" s="228"/>
      <c r="AA18" s="228"/>
      <c r="AB18" s="228"/>
      <c r="AC18" s="228"/>
      <c r="AD18" s="229"/>
      <c r="AE18" s="229"/>
      <c r="AF18" s="228"/>
      <c r="AG18" s="228"/>
      <c r="AH18" s="228"/>
      <c r="AI18" s="228"/>
      <c r="AJ18" s="228"/>
      <c r="AK18" s="229"/>
      <c r="AL18" s="229"/>
      <c r="AM18" s="228"/>
      <c r="AN18" s="228"/>
      <c r="AO18" s="228"/>
      <c r="AP18" s="228"/>
      <c r="AQ18" s="228"/>
      <c r="AR18" s="229"/>
      <c r="AS18" s="229"/>
      <c r="AT18" s="228"/>
      <c r="AU18" s="228"/>
      <c r="AV18" s="228"/>
      <c r="AW18" s="228"/>
      <c r="AX18" s="228"/>
      <c r="AY18" s="229"/>
      <c r="AZ18" s="231"/>
      <c r="BA18" s="228"/>
      <c r="BB18" s="228"/>
      <c r="BC18" s="228"/>
      <c r="BD18" s="228"/>
      <c r="BE18" s="228"/>
      <c r="BF18" s="229"/>
      <c r="BG18" s="229"/>
      <c r="BH18" s="228"/>
      <c r="BI18" s="228"/>
      <c r="BJ18" s="228"/>
      <c r="BK18" s="228"/>
      <c r="BL18" s="228"/>
      <c r="BM18" s="229"/>
      <c r="BN18" s="229"/>
      <c r="BO18" s="228"/>
      <c r="BP18" s="228"/>
      <c r="BQ18" s="228"/>
      <c r="BR18" s="228"/>
      <c r="BS18" s="228"/>
      <c r="BT18" s="229"/>
      <c r="BU18" s="229"/>
      <c r="BV18" s="228"/>
      <c r="BW18" s="228"/>
      <c r="BX18" s="228"/>
      <c r="BY18" s="228"/>
      <c r="BZ18" s="228"/>
      <c r="CA18" s="229"/>
      <c r="CB18" s="231"/>
      <c r="CC18" s="228"/>
      <c r="CD18" s="228"/>
      <c r="CE18" s="228"/>
      <c r="CF18" s="228"/>
      <c r="CG18" s="228"/>
      <c r="CH18" s="229"/>
      <c r="CI18" s="229"/>
      <c r="CJ18" s="228"/>
      <c r="CK18" s="228"/>
      <c r="CL18" s="228"/>
      <c r="CM18" s="228"/>
      <c r="CN18" s="228"/>
      <c r="CO18" s="229"/>
      <c r="CP18" s="229"/>
      <c r="CQ18" s="228"/>
      <c r="CR18" s="228"/>
      <c r="CS18" s="228"/>
      <c r="CT18" s="228"/>
      <c r="CU18" s="228"/>
      <c r="CV18" s="229"/>
      <c r="CW18" s="229"/>
      <c r="CX18" s="228"/>
      <c r="CY18" s="228"/>
      <c r="CZ18" s="228"/>
      <c r="DA18" s="228"/>
      <c r="DB18" s="228"/>
      <c r="DC18" s="229"/>
      <c r="DD18" s="231"/>
      <c r="DE18" s="228"/>
      <c r="DF18" s="228"/>
      <c r="DG18" s="228"/>
      <c r="DH18" s="228"/>
      <c r="DI18" s="228"/>
      <c r="DJ18" s="229"/>
      <c r="DK18" s="229"/>
      <c r="DL18" s="228"/>
      <c r="DM18" s="228"/>
      <c r="DN18" s="228"/>
      <c r="DO18" s="228"/>
      <c r="DP18" s="228"/>
      <c r="DQ18" s="229"/>
      <c r="DR18" s="229"/>
    </row>
    <row r="19" spans="1:122" x14ac:dyDescent="0.25">
      <c r="B19" s="253"/>
      <c r="C19" s="254"/>
      <c r="D19" s="228"/>
      <c r="E19" s="228"/>
      <c r="F19" s="228"/>
      <c r="G19" s="228"/>
      <c r="H19" s="228"/>
      <c r="I19" s="229"/>
      <c r="J19" s="229"/>
      <c r="K19" s="228"/>
      <c r="L19" s="228"/>
      <c r="M19" s="237"/>
      <c r="N19" s="228"/>
      <c r="O19" s="228"/>
      <c r="P19" s="229"/>
      <c r="Q19" s="229"/>
      <c r="R19" s="228"/>
      <c r="S19" s="228"/>
      <c r="T19" s="228"/>
      <c r="U19" s="228"/>
      <c r="V19" s="228"/>
      <c r="W19" s="229"/>
      <c r="X19" s="231"/>
      <c r="Y19" s="228"/>
      <c r="Z19" s="228"/>
      <c r="AA19" s="228"/>
      <c r="AB19" s="228"/>
      <c r="AC19" s="228"/>
      <c r="AD19" s="229"/>
      <c r="AE19" s="229"/>
      <c r="AF19" s="228"/>
      <c r="AG19" s="228"/>
      <c r="AH19" s="228"/>
      <c r="AI19" s="228"/>
      <c r="AJ19" s="228"/>
      <c r="AK19" s="229"/>
      <c r="AL19" s="229"/>
      <c r="AM19" s="228"/>
      <c r="AN19" s="228"/>
      <c r="AO19" s="228"/>
      <c r="AP19" s="228"/>
      <c r="AQ19" s="228"/>
      <c r="AR19" s="229"/>
      <c r="AS19" s="229"/>
      <c r="AT19" s="228"/>
      <c r="AU19" s="228"/>
      <c r="AV19" s="228"/>
      <c r="AW19" s="228"/>
      <c r="AX19" s="228"/>
      <c r="AY19" s="229"/>
      <c r="AZ19" s="231"/>
      <c r="BA19" s="228"/>
      <c r="BB19" s="228"/>
      <c r="BC19" s="228"/>
      <c r="BD19" s="228"/>
      <c r="BE19" s="228"/>
      <c r="BF19" s="229"/>
      <c r="BG19" s="229"/>
      <c r="BH19" s="228"/>
      <c r="BI19" s="228"/>
      <c r="BJ19" s="228"/>
      <c r="BK19" s="228"/>
      <c r="BL19" s="228"/>
      <c r="BM19" s="229"/>
      <c r="BN19" s="229"/>
      <c r="BO19" s="228"/>
      <c r="BP19" s="228"/>
      <c r="BQ19" s="228"/>
      <c r="BR19" s="228"/>
      <c r="BS19" s="228"/>
      <c r="BT19" s="229"/>
      <c r="BU19" s="229"/>
      <c r="BV19" s="228"/>
      <c r="BW19" s="228"/>
      <c r="BX19" s="228"/>
      <c r="BY19" s="228"/>
      <c r="BZ19" s="228"/>
      <c r="CA19" s="229"/>
      <c r="CB19" s="231"/>
      <c r="CC19" s="228"/>
      <c r="CD19" s="228"/>
      <c r="CE19" s="228"/>
      <c r="CF19" s="228"/>
      <c r="CG19" s="228"/>
      <c r="CH19" s="229"/>
      <c r="CI19" s="229"/>
      <c r="CJ19" s="228"/>
      <c r="CK19" s="228"/>
      <c r="CL19" s="228"/>
      <c r="CM19" s="228"/>
      <c r="CN19" s="228"/>
      <c r="CO19" s="229"/>
      <c r="CP19" s="229"/>
      <c r="CQ19" s="228"/>
      <c r="CR19" s="228"/>
      <c r="CS19" s="228"/>
      <c r="CT19" s="228"/>
      <c r="CU19" s="228"/>
      <c r="CV19" s="229"/>
      <c r="CW19" s="229"/>
      <c r="CX19" s="228"/>
      <c r="CY19" s="228"/>
      <c r="CZ19" s="228"/>
      <c r="DA19" s="228"/>
      <c r="DB19" s="228"/>
      <c r="DC19" s="229"/>
      <c r="DD19" s="231"/>
      <c r="DE19" s="228"/>
      <c r="DF19" s="228"/>
      <c r="DG19" s="228"/>
      <c r="DH19" s="228"/>
      <c r="DI19" s="228"/>
      <c r="DJ19" s="229"/>
      <c r="DK19" s="229"/>
      <c r="DL19" s="228"/>
      <c r="DM19" s="228"/>
      <c r="DN19" s="228"/>
      <c r="DO19" s="228"/>
      <c r="DP19" s="228"/>
      <c r="DQ19" s="229"/>
      <c r="DR19" s="229"/>
    </row>
    <row r="20" spans="1:122" x14ac:dyDescent="0.25">
      <c r="A20" s="252" t="s">
        <v>504</v>
      </c>
      <c r="B20" s="253"/>
      <c r="C20" s="254"/>
      <c r="D20" s="228"/>
      <c r="E20" s="228"/>
      <c r="F20" s="228"/>
      <c r="G20" s="228"/>
      <c r="H20" s="228"/>
      <c r="I20" s="229"/>
      <c r="J20" s="229"/>
      <c r="K20" s="228"/>
      <c r="L20" s="228"/>
      <c r="M20" s="237"/>
      <c r="N20" s="228"/>
      <c r="O20" s="228"/>
      <c r="P20" s="229"/>
      <c r="Q20" s="229"/>
      <c r="R20" s="228"/>
      <c r="S20" s="228"/>
      <c r="T20" s="228"/>
      <c r="U20" s="228"/>
      <c r="V20" s="228"/>
      <c r="W20" s="229"/>
      <c r="X20" s="231"/>
      <c r="Y20" s="228"/>
      <c r="Z20" s="228"/>
      <c r="AA20" s="228"/>
      <c r="AB20" s="228"/>
      <c r="AC20" s="228"/>
      <c r="AD20" s="229"/>
      <c r="AE20" s="229"/>
      <c r="AF20" s="228"/>
      <c r="AG20" s="228"/>
      <c r="AH20" s="228"/>
      <c r="AI20" s="228"/>
      <c r="AJ20" s="228"/>
      <c r="AK20" s="229"/>
      <c r="AL20" s="229"/>
      <c r="AM20" s="228"/>
      <c r="AN20" s="228"/>
      <c r="AO20" s="228"/>
      <c r="AP20" s="228"/>
      <c r="AQ20" s="228"/>
      <c r="AR20" s="229"/>
      <c r="AS20" s="229"/>
      <c r="AT20" s="228"/>
      <c r="AU20" s="228"/>
      <c r="AV20" s="228"/>
      <c r="AW20" s="228"/>
      <c r="AX20" s="228"/>
      <c r="AY20" s="229"/>
      <c r="AZ20" s="231"/>
      <c r="BA20" s="228"/>
      <c r="BB20" s="228"/>
      <c r="BC20" s="228"/>
      <c r="BD20" s="228"/>
      <c r="BE20" s="228"/>
      <c r="BF20" s="229"/>
      <c r="BG20" s="229"/>
      <c r="BH20" s="228"/>
      <c r="BI20" s="228"/>
      <c r="BJ20" s="228"/>
      <c r="BK20" s="228"/>
      <c r="BL20" s="228"/>
      <c r="BM20" s="229"/>
      <c r="BN20" s="229"/>
      <c r="BO20" s="228"/>
      <c r="BP20" s="228"/>
      <c r="BQ20" s="228"/>
      <c r="BR20" s="228"/>
      <c r="BS20" s="228"/>
      <c r="BT20" s="229"/>
      <c r="BU20" s="229"/>
      <c r="BV20" s="228"/>
      <c r="BW20" s="228"/>
      <c r="BX20" s="228"/>
      <c r="BY20" s="228"/>
      <c r="BZ20" s="228"/>
      <c r="CA20" s="229"/>
      <c r="CB20" s="231"/>
      <c r="CC20" s="228"/>
      <c r="CD20" s="228"/>
      <c r="CE20" s="228"/>
      <c r="CF20" s="228"/>
      <c r="CG20" s="228"/>
      <c r="CH20" s="229"/>
      <c r="CI20" s="229"/>
      <c r="CJ20" s="228"/>
      <c r="CK20" s="228"/>
      <c r="CL20" s="228"/>
      <c r="CM20" s="228"/>
      <c r="CN20" s="228"/>
      <c r="CO20" s="229"/>
      <c r="CP20" s="229"/>
      <c r="CQ20" s="228"/>
      <c r="CR20" s="228"/>
      <c r="CS20" s="228"/>
      <c r="CT20" s="228"/>
      <c r="CU20" s="228"/>
      <c r="CV20" s="229"/>
      <c r="CW20" s="229"/>
      <c r="CX20" s="228"/>
      <c r="CY20" s="228"/>
      <c r="CZ20" s="228"/>
      <c r="DA20" s="228"/>
      <c r="DB20" s="228"/>
      <c r="DC20" s="229"/>
      <c r="DD20" s="231"/>
      <c r="DE20" s="228"/>
      <c r="DF20" s="228"/>
      <c r="DG20" s="228"/>
      <c r="DH20" s="228"/>
      <c r="DI20" s="228"/>
      <c r="DJ20" s="229"/>
      <c r="DK20" s="229"/>
      <c r="DL20" s="228"/>
      <c r="DM20" s="228"/>
      <c r="DN20" s="228"/>
      <c r="DO20" s="228"/>
      <c r="DP20" s="228"/>
      <c r="DQ20" s="229"/>
      <c r="DR20" s="229"/>
    </row>
    <row r="21" spans="1:122" ht="15.75" thickBot="1" x14ac:dyDescent="0.3">
      <c r="A21" s="243"/>
      <c r="B21" s="256"/>
      <c r="C21" s="257"/>
      <c r="D21" s="228"/>
      <c r="E21" s="228"/>
      <c r="F21" s="228"/>
      <c r="G21" s="228"/>
      <c r="H21" s="228"/>
      <c r="I21" s="229"/>
      <c r="J21" s="229"/>
      <c r="K21" s="228"/>
      <c r="L21" s="228"/>
      <c r="M21" s="237"/>
      <c r="N21" s="228"/>
      <c r="O21" s="228"/>
      <c r="P21" s="229"/>
      <c r="Q21" s="229"/>
      <c r="R21" s="228"/>
      <c r="S21" s="228"/>
      <c r="T21" s="228"/>
      <c r="U21" s="228"/>
      <c r="V21" s="228"/>
      <c r="W21" s="229"/>
      <c r="X21" s="231"/>
      <c r="Y21" s="228"/>
      <c r="Z21" s="228"/>
      <c r="AA21" s="228"/>
      <c r="AB21" s="228"/>
      <c r="AC21" s="228"/>
      <c r="AD21" s="229"/>
      <c r="AE21" s="229"/>
      <c r="AF21" s="228"/>
      <c r="AG21" s="228"/>
      <c r="AH21" s="228"/>
      <c r="AI21" s="228"/>
      <c r="AJ21" s="228"/>
      <c r="AK21" s="229"/>
      <c r="AL21" s="229"/>
      <c r="AM21" s="228"/>
      <c r="AN21" s="228"/>
      <c r="AO21" s="228"/>
      <c r="AP21" s="228"/>
      <c r="AQ21" s="228"/>
      <c r="AR21" s="229"/>
      <c r="AS21" s="229"/>
      <c r="AT21" s="228"/>
      <c r="AU21" s="228"/>
      <c r="AV21" s="228"/>
      <c r="AW21" s="228"/>
      <c r="AX21" s="228"/>
      <c r="AY21" s="229"/>
      <c r="AZ21" s="231"/>
      <c r="BA21" s="228"/>
      <c r="BB21" s="228"/>
      <c r="BC21" s="228"/>
      <c r="BD21" s="228"/>
      <c r="BE21" s="228"/>
      <c r="BF21" s="229"/>
      <c r="BG21" s="229"/>
      <c r="BH21" s="228"/>
      <c r="BI21" s="228"/>
      <c r="BJ21" s="228"/>
      <c r="BK21" s="228"/>
      <c r="BL21" s="228"/>
      <c r="BM21" s="229"/>
      <c r="BN21" s="229"/>
      <c r="BO21" s="228"/>
      <c r="BP21" s="228"/>
      <c r="BQ21" s="228"/>
      <c r="BR21" s="228"/>
      <c r="BS21" s="228"/>
      <c r="BT21" s="229"/>
      <c r="BU21" s="229"/>
      <c r="BV21" s="228"/>
      <c r="BW21" s="228"/>
      <c r="BX21" s="228"/>
      <c r="BY21" s="228"/>
      <c r="BZ21" s="228"/>
      <c r="CA21" s="229"/>
      <c r="CB21" s="231"/>
      <c r="CC21" s="228"/>
      <c r="CD21" s="228"/>
      <c r="CE21" s="228"/>
      <c r="CF21" s="228"/>
      <c r="CG21" s="228"/>
      <c r="CH21" s="229"/>
      <c r="CI21" s="229"/>
      <c r="CJ21" s="228"/>
      <c r="CK21" s="228"/>
      <c r="CL21" s="228"/>
      <c r="CM21" s="228"/>
      <c r="CN21" s="228"/>
      <c r="CO21" s="229"/>
      <c r="CP21" s="229"/>
      <c r="CQ21" s="228"/>
      <c r="CR21" s="228"/>
      <c r="CS21" s="228"/>
      <c r="CT21" s="228"/>
      <c r="CU21" s="228"/>
      <c r="CV21" s="229"/>
      <c r="CW21" s="229"/>
      <c r="CX21" s="228"/>
      <c r="CY21" s="228"/>
      <c r="CZ21" s="228"/>
      <c r="DA21" s="228"/>
      <c r="DB21" s="228"/>
      <c r="DC21" s="229"/>
      <c r="DD21" s="231"/>
      <c r="DE21" s="228"/>
      <c r="DF21" s="228"/>
      <c r="DG21" s="228"/>
      <c r="DH21" s="228"/>
      <c r="DI21" s="228"/>
      <c r="DJ21" s="229"/>
      <c r="DK21" s="229"/>
      <c r="DL21" s="228"/>
      <c r="DM21" s="228"/>
      <c r="DN21" s="228"/>
      <c r="DO21" s="228"/>
      <c r="DP21" s="228"/>
      <c r="DQ21" s="229"/>
      <c r="DR21" s="229"/>
    </row>
    <row r="22" spans="1:122" x14ac:dyDescent="0.25">
      <c r="A22" s="249" t="s">
        <v>505</v>
      </c>
      <c r="B22" s="250"/>
      <c r="C22" s="251"/>
      <c r="D22" s="221"/>
      <c r="E22" s="221"/>
      <c r="F22" s="221"/>
      <c r="G22" s="221"/>
      <c r="H22" s="221"/>
      <c r="I22" s="222"/>
      <c r="J22" s="222"/>
      <c r="K22" s="221"/>
      <c r="L22" s="221"/>
      <c r="M22" s="258"/>
      <c r="N22" s="221"/>
      <c r="O22" s="221"/>
      <c r="P22" s="222"/>
      <c r="Q22" s="222"/>
      <c r="R22" s="221"/>
      <c r="S22" s="221"/>
      <c r="T22" s="221"/>
      <c r="U22" s="221"/>
      <c r="V22" s="221"/>
      <c r="W22" s="222"/>
      <c r="X22" s="224"/>
      <c r="Y22" s="221"/>
      <c r="Z22" s="221"/>
      <c r="AA22" s="221"/>
      <c r="AB22" s="221"/>
      <c r="AC22" s="221"/>
      <c r="AD22" s="222"/>
      <c r="AE22" s="222"/>
      <c r="AF22" s="221"/>
      <c r="AG22" s="221"/>
      <c r="AH22" s="221"/>
      <c r="AI22" s="221"/>
      <c r="AJ22" s="221"/>
      <c r="AK22" s="222"/>
      <c r="AL22" s="222"/>
      <c r="AM22" s="221"/>
      <c r="AN22" s="221"/>
      <c r="AO22" s="221"/>
      <c r="AP22" s="221"/>
      <c r="AQ22" s="221"/>
      <c r="AR22" s="222"/>
      <c r="AS22" s="222"/>
      <c r="AT22" s="221"/>
      <c r="AU22" s="221"/>
      <c r="AV22" s="221"/>
      <c r="AW22" s="221"/>
      <c r="AX22" s="221"/>
      <c r="AY22" s="222"/>
      <c r="AZ22" s="224"/>
      <c r="BA22" s="221"/>
      <c r="BB22" s="221"/>
      <c r="BC22" s="221"/>
      <c r="BD22" s="221"/>
      <c r="BE22" s="221"/>
      <c r="BF22" s="222"/>
      <c r="BG22" s="222"/>
      <c r="BH22" s="221"/>
      <c r="BI22" s="221"/>
      <c r="BJ22" s="221"/>
      <c r="BK22" s="221"/>
      <c r="BL22" s="221"/>
      <c r="BM22" s="222"/>
      <c r="BN22" s="222"/>
      <c r="BO22" s="221"/>
      <c r="BP22" s="221"/>
      <c r="BQ22" s="221"/>
      <c r="BR22" s="221"/>
      <c r="BS22" s="221"/>
      <c r="BT22" s="222"/>
      <c r="BU22" s="222"/>
      <c r="BV22" s="221"/>
      <c r="BW22" s="221"/>
      <c r="BX22" s="221"/>
      <c r="BY22" s="221"/>
      <c r="BZ22" s="221"/>
      <c r="CA22" s="222"/>
      <c r="CB22" s="224"/>
      <c r="CC22" s="221"/>
      <c r="CD22" s="221"/>
      <c r="CE22" s="221"/>
      <c r="CF22" s="221"/>
      <c r="CG22" s="221"/>
      <c r="CH22" s="222"/>
      <c r="CI22" s="222"/>
      <c r="CJ22" s="221"/>
      <c r="CK22" s="221"/>
      <c r="CL22" s="221"/>
      <c r="CM22" s="221"/>
      <c r="CN22" s="221"/>
      <c r="CO22" s="222"/>
      <c r="CP22" s="222"/>
      <c r="CQ22" s="221"/>
      <c r="CR22" s="221"/>
      <c r="CS22" s="221"/>
      <c r="CT22" s="221"/>
      <c r="CU22" s="221"/>
      <c r="CV22" s="222"/>
      <c r="CW22" s="222"/>
      <c r="CX22" s="221"/>
      <c r="CY22" s="221"/>
      <c r="CZ22" s="221"/>
      <c r="DA22" s="221"/>
      <c r="DB22" s="221"/>
      <c r="DC22" s="222"/>
      <c r="DD22" s="224"/>
      <c r="DE22" s="221"/>
      <c r="DF22" s="221"/>
      <c r="DG22" s="221"/>
      <c r="DH22" s="221"/>
      <c r="DI22" s="221"/>
      <c r="DJ22" s="222"/>
      <c r="DK22" s="222"/>
      <c r="DL22" s="221"/>
      <c r="DM22" s="221"/>
      <c r="DN22" s="221"/>
      <c r="DO22" s="221"/>
      <c r="DP22" s="221"/>
      <c r="DQ22" s="222"/>
      <c r="DR22" s="222"/>
    </row>
    <row r="23" spans="1:122" x14ac:dyDescent="0.25">
      <c r="A23" s="243"/>
      <c r="B23" s="256"/>
      <c r="C23" s="257"/>
      <c r="D23" s="228"/>
      <c r="E23" s="228"/>
      <c r="F23" s="228"/>
      <c r="G23" s="228"/>
      <c r="H23" s="228"/>
      <c r="I23" s="229"/>
      <c r="J23" s="229"/>
      <c r="K23" s="228"/>
      <c r="L23" s="228"/>
      <c r="M23" s="237"/>
      <c r="N23" s="228"/>
      <c r="O23" s="228"/>
      <c r="P23" s="229"/>
      <c r="Q23" s="229"/>
      <c r="R23" s="228"/>
      <c r="S23" s="228"/>
      <c r="T23" s="228"/>
      <c r="U23" s="228"/>
      <c r="V23" s="228"/>
      <c r="W23" s="229"/>
      <c r="X23" s="231"/>
      <c r="Y23" s="228"/>
      <c r="Z23" s="228"/>
      <c r="AA23" s="228"/>
      <c r="AB23" s="228"/>
      <c r="AC23" s="228"/>
      <c r="AD23" s="229"/>
      <c r="AE23" s="229"/>
      <c r="AF23" s="228"/>
      <c r="AG23" s="228"/>
      <c r="AH23" s="228"/>
      <c r="AI23" s="228"/>
      <c r="AJ23" s="228"/>
      <c r="AK23" s="229"/>
      <c r="AL23" s="229"/>
      <c r="AM23" s="228"/>
      <c r="AN23" s="228"/>
      <c r="AO23" s="228"/>
      <c r="AP23" s="228"/>
      <c r="AQ23" s="228"/>
      <c r="AR23" s="229"/>
      <c r="AS23" s="229"/>
      <c r="AT23" s="228"/>
      <c r="AU23" s="228"/>
      <c r="AV23" s="228"/>
      <c r="AW23" s="228"/>
      <c r="AX23" s="228"/>
      <c r="AY23" s="229"/>
      <c r="AZ23" s="231"/>
      <c r="BA23" s="228"/>
      <c r="BB23" s="228"/>
      <c r="BC23" s="228"/>
      <c r="BD23" s="228"/>
      <c r="BE23" s="228"/>
      <c r="BF23" s="229"/>
      <c r="BG23" s="229"/>
      <c r="BH23" s="228"/>
      <c r="BI23" s="228"/>
      <c r="BJ23" s="228"/>
      <c r="BK23" s="228"/>
      <c r="BL23" s="228"/>
      <c r="BM23" s="229"/>
      <c r="BN23" s="229"/>
      <c r="BO23" s="228"/>
      <c r="BP23" s="228"/>
      <c r="BQ23" s="228"/>
      <c r="BR23" s="228"/>
      <c r="BS23" s="228"/>
      <c r="BT23" s="229"/>
      <c r="BU23" s="229"/>
      <c r="BV23" s="228"/>
      <c r="BW23" s="228"/>
      <c r="BX23" s="228"/>
      <c r="BY23" s="228"/>
      <c r="BZ23" s="228"/>
      <c r="CA23" s="229"/>
      <c r="CB23" s="231"/>
      <c r="CC23" s="228"/>
      <c r="CD23" s="228"/>
      <c r="CE23" s="228"/>
      <c r="CF23" s="228"/>
      <c r="CG23" s="228"/>
      <c r="CH23" s="229"/>
      <c r="CI23" s="229"/>
      <c r="CJ23" s="228"/>
      <c r="CK23" s="228"/>
      <c r="CL23" s="228"/>
      <c r="CM23" s="228"/>
      <c r="CN23" s="228"/>
      <c r="CO23" s="229"/>
      <c r="CP23" s="229"/>
      <c r="CQ23" s="228"/>
      <c r="CR23" s="228"/>
      <c r="CS23" s="228"/>
      <c r="CT23" s="228"/>
      <c r="CU23" s="228"/>
      <c r="CV23" s="229"/>
      <c r="CW23" s="229"/>
      <c r="CX23" s="228"/>
      <c r="CY23" s="228"/>
      <c r="CZ23" s="228"/>
      <c r="DA23" s="228"/>
      <c r="DB23" s="228"/>
      <c r="DC23" s="229"/>
      <c r="DD23" s="231"/>
      <c r="DE23" s="228"/>
      <c r="DF23" s="228"/>
      <c r="DG23" s="228"/>
      <c r="DH23" s="228"/>
      <c r="DI23" s="228"/>
      <c r="DJ23" s="229"/>
      <c r="DK23" s="229"/>
      <c r="DL23" s="228"/>
      <c r="DM23" s="228"/>
      <c r="DN23" s="228"/>
      <c r="DO23" s="228"/>
      <c r="DP23" s="228"/>
      <c r="DQ23" s="229"/>
      <c r="DR23" s="229"/>
    </row>
    <row r="24" spans="1:122" x14ac:dyDescent="0.25">
      <c r="A24" s="243"/>
      <c r="B24" s="256" t="s">
        <v>506</v>
      </c>
      <c r="C24" s="257"/>
      <c r="D24" s="228"/>
      <c r="E24" s="228"/>
      <c r="F24" s="228"/>
      <c r="G24" s="228"/>
      <c r="H24" s="228"/>
      <c r="I24" s="229"/>
      <c r="J24" s="229"/>
      <c r="K24" s="228"/>
      <c r="L24" s="228"/>
      <c r="M24" s="237"/>
      <c r="N24" s="228"/>
      <c r="O24" s="228"/>
      <c r="P24" s="229"/>
      <c r="Q24" s="229"/>
      <c r="R24" s="228"/>
      <c r="S24" s="228"/>
      <c r="T24" s="228"/>
      <c r="U24" s="228"/>
      <c r="V24" s="228"/>
      <c r="W24" s="229"/>
      <c r="X24" s="231"/>
      <c r="Y24" s="228"/>
      <c r="Z24" s="228"/>
      <c r="AA24" s="228"/>
      <c r="AB24" s="228"/>
      <c r="AC24" s="228"/>
      <c r="AD24" s="229"/>
      <c r="AE24" s="229"/>
      <c r="AF24" s="228"/>
      <c r="AG24" s="228"/>
      <c r="AH24" s="228"/>
      <c r="AI24" s="228"/>
      <c r="AJ24" s="228"/>
      <c r="AK24" s="229"/>
      <c r="AL24" s="229"/>
      <c r="AM24" s="228"/>
      <c r="AN24" s="228"/>
      <c r="AO24" s="228"/>
      <c r="AP24" s="228"/>
      <c r="AQ24" s="228"/>
      <c r="AR24" s="229"/>
      <c r="AS24" s="229"/>
      <c r="AT24" s="228"/>
      <c r="AU24" s="228"/>
      <c r="AV24" s="228"/>
      <c r="AW24" s="228"/>
      <c r="AX24" s="228"/>
      <c r="AY24" s="229"/>
      <c r="AZ24" s="231"/>
      <c r="BA24" s="228"/>
      <c r="BB24" s="228"/>
      <c r="BC24" s="228"/>
      <c r="BD24" s="228"/>
      <c r="BE24" s="228"/>
      <c r="BF24" s="229"/>
      <c r="BG24" s="229"/>
      <c r="BH24" s="228"/>
      <c r="BI24" s="228"/>
      <c r="BJ24" s="228"/>
      <c r="BK24" s="228"/>
      <c r="BL24" s="228"/>
      <c r="BM24" s="229"/>
      <c r="BN24" s="229"/>
      <c r="BO24" s="228"/>
      <c r="BP24" s="228"/>
      <c r="BQ24" s="228"/>
      <c r="BR24" s="228"/>
      <c r="BS24" s="228"/>
      <c r="BT24" s="229"/>
      <c r="BU24" s="229"/>
      <c r="BV24" s="228"/>
      <c r="BW24" s="228"/>
      <c r="BX24" s="228"/>
      <c r="BY24" s="228"/>
      <c r="BZ24" s="228"/>
      <c r="CA24" s="229"/>
      <c r="CB24" s="231"/>
      <c r="CC24" s="228"/>
      <c r="CD24" s="228"/>
      <c r="CE24" s="228"/>
      <c r="CF24" s="228"/>
      <c r="CG24" s="228"/>
      <c r="CH24" s="229"/>
      <c r="CI24" s="229"/>
      <c r="CJ24" s="228"/>
      <c r="CK24" s="228"/>
      <c r="CL24" s="228"/>
      <c r="CM24" s="228"/>
      <c r="CN24" s="228"/>
      <c r="CO24" s="229"/>
      <c r="CP24" s="229"/>
      <c r="CQ24" s="228"/>
      <c r="CR24" s="228"/>
      <c r="CS24" s="228"/>
      <c r="CT24" s="228"/>
      <c r="CU24" s="228"/>
      <c r="CV24" s="229"/>
      <c r="CW24" s="229"/>
      <c r="CX24" s="228"/>
      <c r="CY24" s="228"/>
      <c r="CZ24" s="228"/>
      <c r="DA24" s="228"/>
      <c r="DB24" s="228"/>
      <c r="DC24" s="229"/>
      <c r="DD24" s="231"/>
      <c r="DE24" s="228"/>
      <c r="DF24" s="228"/>
      <c r="DG24" s="228"/>
      <c r="DH24" s="228"/>
      <c r="DI24" s="228"/>
      <c r="DJ24" s="229"/>
      <c r="DK24" s="229"/>
      <c r="DL24" s="228"/>
      <c r="DM24" s="228"/>
      <c r="DN24" s="228"/>
      <c r="DO24" s="228"/>
      <c r="DP24" s="228"/>
      <c r="DQ24" s="229"/>
      <c r="DR24" s="229"/>
    </row>
    <row r="25" spans="1:122" x14ac:dyDescent="0.25">
      <c r="A25" s="243"/>
      <c r="B25" s="256" t="s">
        <v>507</v>
      </c>
      <c r="C25" s="257"/>
      <c r="D25" s="228"/>
      <c r="E25" s="228"/>
      <c r="F25" s="228"/>
      <c r="G25" s="228"/>
      <c r="H25" s="228"/>
      <c r="I25" s="229"/>
      <c r="J25" s="229"/>
      <c r="K25" s="228"/>
      <c r="L25" s="228"/>
      <c r="M25" s="237"/>
      <c r="N25" s="228"/>
      <c r="O25" s="228"/>
      <c r="P25" s="229"/>
      <c r="Q25" s="229"/>
      <c r="R25" s="228"/>
      <c r="S25" s="228"/>
      <c r="T25" s="228"/>
      <c r="U25" s="228"/>
      <c r="V25" s="228"/>
      <c r="W25" s="229"/>
      <c r="X25" s="231"/>
      <c r="Y25" s="228"/>
      <c r="Z25" s="228"/>
      <c r="AA25" s="228"/>
      <c r="AB25" s="228"/>
      <c r="AC25" s="228"/>
      <c r="AD25" s="229"/>
      <c r="AE25" s="229"/>
      <c r="AF25" s="228"/>
      <c r="AG25" s="228"/>
      <c r="AH25" s="228"/>
      <c r="AI25" s="228"/>
      <c r="AJ25" s="228"/>
      <c r="AK25" s="229"/>
      <c r="AL25" s="229"/>
      <c r="AM25" s="228"/>
      <c r="AN25" s="228"/>
      <c r="AO25" s="228"/>
      <c r="AP25" s="228"/>
      <c r="AQ25" s="228"/>
      <c r="AR25" s="229"/>
      <c r="AS25" s="229"/>
      <c r="AT25" s="228"/>
      <c r="AU25" s="228"/>
      <c r="AV25" s="228"/>
      <c r="AW25" s="228"/>
      <c r="AX25" s="228"/>
      <c r="AY25" s="229"/>
      <c r="AZ25" s="231"/>
      <c r="BA25" s="228"/>
      <c r="BB25" s="228"/>
      <c r="BC25" s="228"/>
      <c r="BD25" s="228"/>
      <c r="BE25" s="228"/>
      <c r="BF25" s="229"/>
      <c r="BG25" s="229"/>
      <c r="BH25" s="228"/>
      <c r="BI25" s="228"/>
      <c r="BJ25" s="228"/>
      <c r="BK25" s="228"/>
      <c r="BL25" s="228"/>
      <c r="BM25" s="229"/>
      <c r="BN25" s="229"/>
      <c r="BO25" s="228"/>
      <c r="BP25" s="228"/>
      <c r="BQ25" s="228"/>
      <c r="BR25" s="228"/>
      <c r="BS25" s="228"/>
      <c r="BT25" s="229"/>
      <c r="BU25" s="229"/>
      <c r="BV25" s="228"/>
      <c r="BW25" s="228"/>
      <c r="BX25" s="228"/>
      <c r="BY25" s="228"/>
      <c r="BZ25" s="228"/>
      <c r="CA25" s="229"/>
      <c r="CB25" s="231"/>
      <c r="CC25" s="228"/>
      <c r="CD25" s="228"/>
      <c r="CE25" s="228"/>
      <c r="CF25" s="228"/>
      <c r="CG25" s="228"/>
      <c r="CH25" s="229"/>
      <c r="CI25" s="229"/>
      <c r="CJ25" s="228"/>
      <c r="CK25" s="228"/>
      <c r="CL25" s="228"/>
      <c r="CM25" s="228"/>
      <c r="CN25" s="228"/>
      <c r="CO25" s="229"/>
      <c r="CP25" s="229"/>
      <c r="CQ25" s="228"/>
      <c r="CR25" s="228"/>
      <c r="CS25" s="228"/>
      <c r="CT25" s="228"/>
      <c r="CU25" s="228"/>
      <c r="CV25" s="229"/>
      <c r="CW25" s="229"/>
      <c r="CX25" s="228"/>
      <c r="CY25" s="228"/>
      <c r="CZ25" s="228"/>
      <c r="DA25" s="228"/>
      <c r="DB25" s="228"/>
      <c r="DC25" s="229"/>
      <c r="DD25" s="231"/>
      <c r="DE25" s="228"/>
      <c r="DF25" s="228"/>
      <c r="DG25" s="228"/>
      <c r="DH25" s="228"/>
      <c r="DI25" s="228"/>
      <c r="DJ25" s="229"/>
      <c r="DK25" s="229"/>
      <c r="DL25" s="228"/>
      <c r="DM25" s="228"/>
      <c r="DN25" s="228"/>
      <c r="DO25" s="228"/>
      <c r="DP25" s="228"/>
      <c r="DQ25" s="229"/>
      <c r="DR25" s="229"/>
    </row>
    <row r="26" spans="1:122" x14ac:dyDescent="0.25">
      <c r="A26" s="243"/>
      <c r="B26" s="256" t="s">
        <v>508</v>
      </c>
      <c r="C26" s="257"/>
      <c r="D26" s="228"/>
      <c r="E26" s="228"/>
      <c r="F26" s="228"/>
      <c r="G26" s="228"/>
      <c r="H26" s="228"/>
      <c r="I26" s="229"/>
      <c r="J26" s="229"/>
      <c r="K26" s="228"/>
      <c r="L26" s="228"/>
      <c r="M26" s="237"/>
      <c r="N26" s="228"/>
      <c r="O26" s="228"/>
      <c r="P26" s="229"/>
      <c r="Q26" s="229"/>
      <c r="R26" s="228"/>
      <c r="S26" s="228"/>
      <c r="T26" s="228"/>
      <c r="U26" s="228"/>
      <c r="V26" s="228"/>
      <c r="W26" s="229"/>
      <c r="X26" s="231"/>
      <c r="Y26" s="228"/>
      <c r="Z26" s="228"/>
      <c r="AA26" s="228"/>
      <c r="AB26" s="228"/>
      <c r="AC26" s="228"/>
      <c r="AD26" s="229"/>
      <c r="AE26" s="229"/>
      <c r="AF26" s="228"/>
      <c r="AG26" s="228"/>
      <c r="AH26" s="228"/>
      <c r="AI26" s="228"/>
      <c r="AJ26" s="228"/>
      <c r="AK26" s="229"/>
      <c r="AL26" s="229"/>
      <c r="AM26" s="228"/>
      <c r="AN26" s="228"/>
      <c r="AO26" s="228"/>
      <c r="AP26" s="228"/>
      <c r="AQ26" s="228"/>
      <c r="AR26" s="229"/>
      <c r="AS26" s="229"/>
      <c r="AT26" s="228"/>
      <c r="AU26" s="228"/>
      <c r="AV26" s="228"/>
      <c r="AW26" s="228"/>
      <c r="AX26" s="228"/>
      <c r="AY26" s="229"/>
      <c r="AZ26" s="231"/>
      <c r="BA26" s="228"/>
      <c r="BB26" s="228"/>
      <c r="BC26" s="228"/>
      <c r="BD26" s="228"/>
      <c r="BE26" s="228"/>
      <c r="BF26" s="229"/>
      <c r="BG26" s="229"/>
      <c r="BH26" s="228"/>
      <c r="BI26" s="228"/>
      <c r="BJ26" s="228"/>
      <c r="BK26" s="228"/>
      <c r="BL26" s="228"/>
      <c r="BM26" s="229"/>
      <c r="BN26" s="229"/>
      <c r="BO26" s="228"/>
      <c r="BP26" s="228"/>
      <c r="BQ26" s="228"/>
      <c r="BR26" s="228"/>
      <c r="BS26" s="228"/>
      <c r="BT26" s="229"/>
      <c r="BU26" s="229"/>
      <c r="BV26" s="228"/>
      <c r="BW26" s="228"/>
      <c r="BX26" s="228"/>
      <c r="BY26" s="228"/>
      <c r="BZ26" s="228"/>
      <c r="CA26" s="229"/>
      <c r="CB26" s="231"/>
      <c r="CC26" s="228"/>
      <c r="CD26" s="228"/>
      <c r="CE26" s="228"/>
      <c r="CF26" s="228"/>
      <c r="CG26" s="228"/>
      <c r="CH26" s="229"/>
      <c r="CI26" s="229"/>
      <c r="CJ26" s="228"/>
      <c r="CK26" s="228"/>
      <c r="CL26" s="228"/>
      <c r="CM26" s="228"/>
      <c r="CN26" s="228"/>
      <c r="CO26" s="229"/>
      <c r="CP26" s="229"/>
      <c r="CQ26" s="228"/>
      <c r="CR26" s="228"/>
      <c r="CS26" s="228"/>
      <c r="CT26" s="228"/>
      <c r="CU26" s="228"/>
      <c r="CV26" s="229"/>
      <c r="CW26" s="229"/>
      <c r="CX26" s="228"/>
      <c r="CY26" s="228"/>
      <c r="CZ26" s="228"/>
      <c r="DA26" s="228"/>
      <c r="DB26" s="228"/>
      <c r="DC26" s="229"/>
      <c r="DD26" s="231"/>
      <c r="DE26" s="228"/>
      <c r="DF26" s="228"/>
      <c r="DG26" s="228"/>
      <c r="DH26" s="228"/>
      <c r="DI26" s="228"/>
      <c r="DJ26" s="229"/>
      <c r="DK26" s="229"/>
      <c r="DL26" s="228"/>
      <c r="DM26" s="228"/>
      <c r="DN26" s="228"/>
      <c r="DO26" s="228"/>
      <c r="DP26" s="228"/>
      <c r="DQ26" s="229"/>
      <c r="DR26" s="229"/>
    </row>
    <row r="27" spans="1:122" x14ac:dyDescent="0.25">
      <c r="A27" s="243"/>
      <c r="B27" s="256" t="s">
        <v>509</v>
      </c>
      <c r="C27" s="257"/>
      <c r="D27" s="228"/>
      <c r="E27" s="228"/>
      <c r="F27" s="228"/>
      <c r="G27" s="228"/>
      <c r="H27" s="228"/>
      <c r="I27" s="229"/>
      <c r="J27" s="229"/>
      <c r="K27" s="228"/>
      <c r="L27" s="228"/>
      <c r="M27" s="237"/>
      <c r="N27" s="228"/>
      <c r="O27" s="228"/>
      <c r="P27" s="229"/>
      <c r="Q27" s="229"/>
      <c r="R27" s="228"/>
      <c r="S27" s="228"/>
      <c r="T27" s="228"/>
      <c r="U27" s="228"/>
      <c r="V27" s="228"/>
      <c r="W27" s="229"/>
      <c r="X27" s="231"/>
      <c r="Y27" s="228"/>
      <c r="Z27" s="228"/>
      <c r="AA27" s="228"/>
      <c r="AB27" s="228"/>
      <c r="AC27" s="228"/>
      <c r="AD27" s="229"/>
      <c r="AE27" s="229"/>
      <c r="AF27" s="228"/>
      <c r="AG27" s="228"/>
      <c r="AH27" s="228"/>
      <c r="AI27" s="228"/>
      <c r="AJ27" s="228"/>
      <c r="AK27" s="229"/>
      <c r="AL27" s="229"/>
      <c r="AM27" s="228"/>
      <c r="AN27" s="228"/>
      <c r="AO27" s="228"/>
      <c r="AP27" s="228"/>
      <c r="AQ27" s="228"/>
      <c r="AR27" s="229"/>
      <c r="AS27" s="229"/>
      <c r="AT27" s="228"/>
      <c r="AU27" s="228"/>
      <c r="AV27" s="228"/>
      <c r="AW27" s="228"/>
      <c r="AX27" s="228"/>
      <c r="AY27" s="229"/>
      <c r="AZ27" s="231"/>
      <c r="BA27" s="228"/>
      <c r="BB27" s="228"/>
      <c r="BC27" s="228"/>
      <c r="BD27" s="228"/>
      <c r="BE27" s="228"/>
      <c r="BF27" s="229"/>
      <c r="BG27" s="229"/>
      <c r="BH27" s="228"/>
      <c r="BI27" s="228"/>
      <c r="BJ27" s="228"/>
      <c r="BK27" s="228"/>
      <c r="BL27" s="228"/>
      <c r="BM27" s="229"/>
      <c r="BN27" s="229"/>
      <c r="BO27" s="228"/>
      <c r="BP27" s="228"/>
      <c r="BQ27" s="228"/>
      <c r="BR27" s="228"/>
      <c r="BS27" s="228"/>
      <c r="BT27" s="229"/>
      <c r="BU27" s="229"/>
      <c r="BV27" s="228"/>
      <c r="BW27" s="228"/>
      <c r="BX27" s="228"/>
      <c r="BY27" s="228"/>
      <c r="BZ27" s="228"/>
      <c r="CA27" s="229"/>
      <c r="CB27" s="231"/>
      <c r="CC27" s="228"/>
      <c r="CD27" s="228"/>
      <c r="CE27" s="228"/>
      <c r="CF27" s="228"/>
      <c r="CG27" s="228"/>
      <c r="CH27" s="229"/>
      <c r="CI27" s="229"/>
      <c r="CJ27" s="228"/>
      <c r="CK27" s="228"/>
      <c r="CL27" s="228"/>
      <c r="CM27" s="228"/>
      <c r="CN27" s="228"/>
      <c r="CO27" s="229"/>
      <c r="CP27" s="229"/>
      <c r="CQ27" s="228"/>
      <c r="CR27" s="228"/>
      <c r="CS27" s="228"/>
      <c r="CT27" s="228"/>
      <c r="CU27" s="228"/>
      <c r="CV27" s="229"/>
      <c r="CW27" s="229"/>
      <c r="CX27" s="228"/>
      <c r="CY27" s="228"/>
      <c r="CZ27" s="228"/>
      <c r="DA27" s="228"/>
      <c r="DB27" s="228"/>
      <c r="DC27" s="229"/>
      <c r="DD27" s="231"/>
      <c r="DE27" s="228"/>
      <c r="DF27" s="228"/>
      <c r="DG27" s="228"/>
      <c r="DH27" s="228"/>
      <c r="DI27" s="228"/>
      <c r="DJ27" s="229"/>
      <c r="DK27" s="229"/>
      <c r="DL27" s="228"/>
      <c r="DM27" s="228"/>
      <c r="DN27" s="228"/>
      <c r="DO27" s="228"/>
      <c r="DP27" s="228"/>
      <c r="DQ27" s="229"/>
      <c r="DR27" s="229"/>
    </row>
    <row r="28" spans="1:122" ht="15.75" thickBot="1" x14ac:dyDescent="0.3">
      <c r="A28" s="232"/>
      <c r="B28" s="259" t="s">
        <v>510</v>
      </c>
      <c r="C28" s="260"/>
      <c r="D28" s="235"/>
      <c r="E28" s="235"/>
      <c r="F28" s="235"/>
      <c r="G28" s="235"/>
      <c r="H28" s="235"/>
      <c r="I28" s="236"/>
      <c r="J28" s="236"/>
      <c r="K28" s="235"/>
      <c r="L28" s="235"/>
      <c r="M28" s="261"/>
      <c r="N28" s="235"/>
      <c r="O28" s="235"/>
      <c r="P28" s="236"/>
      <c r="Q28" s="236"/>
      <c r="R28" s="235"/>
      <c r="S28" s="235"/>
      <c r="T28" s="235"/>
      <c r="U28" s="235"/>
      <c r="V28" s="235"/>
      <c r="W28" s="236"/>
      <c r="X28" s="238"/>
      <c r="Y28" s="235"/>
      <c r="Z28" s="235"/>
      <c r="AA28" s="235"/>
      <c r="AB28" s="235"/>
      <c r="AC28" s="235"/>
      <c r="AD28" s="236"/>
      <c r="AE28" s="236"/>
      <c r="AF28" s="235"/>
      <c r="AG28" s="235"/>
      <c r="AH28" s="235"/>
      <c r="AI28" s="235"/>
      <c r="AJ28" s="235"/>
      <c r="AK28" s="236"/>
      <c r="AL28" s="236"/>
      <c r="AM28" s="235"/>
      <c r="AN28" s="235"/>
      <c r="AO28" s="235"/>
      <c r="AP28" s="235"/>
      <c r="AQ28" s="235"/>
      <c r="AR28" s="236"/>
      <c r="AS28" s="236"/>
      <c r="AT28" s="235"/>
      <c r="AU28" s="235"/>
      <c r="AV28" s="235"/>
      <c r="AW28" s="235"/>
      <c r="AX28" s="235"/>
      <c r="AY28" s="236"/>
      <c r="AZ28" s="238"/>
      <c r="BA28" s="235"/>
      <c r="BB28" s="235"/>
      <c r="BC28" s="235"/>
      <c r="BD28" s="235"/>
      <c r="BE28" s="235"/>
      <c r="BF28" s="236"/>
      <c r="BG28" s="236"/>
      <c r="BH28" s="235"/>
      <c r="BI28" s="235"/>
      <c r="BJ28" s="235"/>
      <c r="BK28" s="235"/>
      <c r="BL28" s="235"/>
      <c r="BM28" s="236"/>
      <c r="BN28" s="236"/>
      <c r="BO28" s="235"/>
      <c r="BP28" s="235"/>
      <c r="BQ28" s="235"/>
      <c r="BR28" s="235"/>
      <c r="BS28" s="235"/>
      <c r="BT28" s="236"/>
      <c r="BU28" s="236"/>
      <c r="BV28" s="235"/>
      <c r="BW28" s="235"/>
      <c r="BX28" s="235"/>
      <c r="BY28" s="235"/>
      <c r="BZ28" s="235"/>
      <c r="CA28" s="236"/>
      <c r="CB28" s="238"/>
      <c r="CC28" s="235"/>
      <c r="CD28" s="235"/>
      <c r="CE28" s="235"/>
      <c r="CF28" s="235"/>
      <c r="CG28" s="235"/>
      <c r="CH28" s="236"/>
      <c r="CI28" s="236"/>
      <c r="CJ28" s="235"/>
      <c r="CK28" s="235"/>
      <c r="CL28" s="235"/>
      <c r="CM28" s="235"/>
      <c r="CN28" s="235"/>
      <c r="CO28" s="236"/>
      <c r="CP28" s="236"/>
      <c r="CQ28" s="235"/>
      <c r="CR28" s="235"/>
      <c r="CS28" s="235"/>
      <c r="CT28" s="235"/>
      <c r="CU28" s="235"/>
      <c r="CV28" s="236"/>
      <c r="CW28" s="236"/>
      <c r="CX28" s="235"/>
      <c r="CY28" s="235"/>
      <c r="CZ28" s="235"/>
      <c r="DA28" s="235"/>
      <c r="DB28" s="235"/>
      <c r="DC28" s="236"/>
      <c r="DD28" s="238"/>
      <c r="DE28" s="235"/>
      <c r="DF28" s="235"/>
      <c r="DG28" s="235"/>
      <c r="DH28" s="235"/>
      <c r="DI28" s="235"/>
      <c r="DJ28" s="236"/>
      <c r="DK28" s="236"/>
      <c r="DL28" s="235"/>
      <c r="DM28" s="235"/>
      <c r="DN28" s="235"/>
      <c r="DO28" s="235"/>
      <c r="DP28" s="235"/>
      <c r="DQ28" s="236"/>
      <c r="DR28" s="236"/>
    </row>
    <row r="29" spans="1:122" x14ac:dyDescent="0.25">
      <c r="M29" s="264"/>
    </row>
    <row r="30" spans="1:122" x14ac:dyDescent="0.25">
      <c r="A30" s="571" t="s">
        <v>511</v>
      </c>
      <c r="B30" s="571"/>
      <c r="C30" s="265"/>
      <c r="M30" s="237"/>
    </row>
    <row r="31" spans="1:122" x14ac:dyDescent="0.25">
      <c r="M31" s="237"/>
    </row>
    <row r="32" spans="1:122" x14ac:dyDescent="0.25">
      <c r="M32" s="237"/>
    </row>
    <row r="33" spans="1:139" x14ac:dyDescent="0.25">
      <c r="A33" s="266"/>
      <c r="B33" s="211" t="s">
        <v>34</v>
      </c>
      <c r="D33" s="267"/>
      <c r="E33" s="267"/>
      <c r="F33" s="267"/>
      <c r="G33" s="267"/>
      <c r="H33" s="267"/>
      <c r="I33" s="267"/>
      <c r="K33" s="267"/>
      <c r="L33" s="267"/>
      <c r="M33" s="267"/>
      <c r="N33" s="267"/>
      <c r="O33" s="267"/>
      <c r="P33" s="267"/>
      <c r="R33" s="267"/>
      <c r="S33" s="267"/>
      <c r="T33" s="267"/>
      <c r="U33" s="267"/>
      <c r="V33" s="267"/>
      <c r="W33" s="267"/>
      <c r="Y33" s="267"/>
      <c r="Z33" s="267"/>
      <c r="AA33" s="267"/>
      <c r="AB33" s="267"/>
      <c r="AC33" s="267"/>
      <c r="AD33" s="267"/>
      <c r="AF33" s="267"/>
      <c r="AG33" s="267"/>
      <c r="AH33" s="267"/>
      <c r="AI33" s="267"/>
      <c r="AJ33" s="267"/>
      <c r="AK33" s="267"/>
      <c r="AM33" s="267"/>
      <c r="AN33" s="267"/>
      <c r="AO33" s="267"/>
      <c r="AP33" s="267"/>
      <c r="AQ33" s="267"/>
      <c r="AR33" s="267"/>
      <c r="AS33" s="267"/>
      <c r="AT33" s="267"/>
      <c r="AU33" s="267"/>
      <c r="AV33" s="267"/>
      <c r="AW33" s="267"/>
      <c r="AX33" s="267"/>
      <c r="AY33" s="267"/>
      <c r="AZ33" s="267"/>
      <c r="BA33" s="267"/>
      <c r="BB33" s="267"/>
      <c r="BC33" s="267"/>
      <c r="BD33" s="267"/>
      <c r="BE33" s="267"/>
      <c r="BF33" s="267"/>
      <c r="BG33" s="267"/>
      <c r="BH33" s="267"/>
      <c r="BI33" s="267"/>
      <c r="BJ33" s="267"/>
      <c r="BK33" s="267"/>
      <c r="BL33" s="267"/>
      <c r="BM33" s="267"/>
      <c r="BN33" s="267"/>
      <c r="BO33" s="267"/>
      <c r="BP33" s="267"/>
      <c r="BQ33" s="267"/>
      <c r="BR33" s="267"/>
      <c r="BS33" s="267"/>
      <c r="BT33" s="267"/>
      <c r="BU33" s="267"/>
      <c r="BV33" s="267"/>
      <c r="BW33" s="267"/>
      <c r="BX33" s="267"/>
      <c r="BY33" s="267"/>
      <c r="BZ33" s="267"/>
      <c r="CA33" s="267"/>
      <c r="CC33" s="267"/>
      <c r="CD33" s="267"/>
      <c r="CE33" s="267"/>
      <c r="CF33" s="267"/>
      <c r="CG33" s="267"/>
      <c r="CH33" s="267"/>
      <c r="CI33" s="267"/>
      <c r="CJ33" s="267"/>
      <c r="CK33" s="267"/>
      <c r="CL33" s="267"/>
      <c r="CM33" s="267"/>
      <c r="CN33" s="267"/>
      <c r="CO33" s="267"/>
      <c r="CP33" s="267"/>
      <c r="CQ33" s="267"/>
      <c r="CR33" s="267"/>
      <c r="CS33" s="267"/>
      <c r="CT33" s="267"/>
      <c r="CU33" s="267"/>
      <c r="CV33" s="267"/>
      <c r="CW33" s="267"/>
      <c r="CX33" s="267"/>
      <c r="CY33" s="267"/>
      <c r="CZ33" s="267"/>
      <c r="DA33" s="267"/>
      <c r="DB33" s="267"/>
      <c r="DC33" s="267"/>
      <c r="DE33" s="267"/>
      <c r="DF33" s="267"/>
      <c r="DG33" s="267"/>
      <c r="DH33" s="267"/>
      <c r="DI33" s="267"/>
      <c r="DJ33" s="267"/>
      <c r="DK33" s="267"/>
      <c r="DL33" s="267"/>
      <c r="DM33" s="267"/>
      <c r="DN33" s="267"/>
      <c r="DO33" s="267"/>
      <c r="DP33" s="267"/>
      <c r="DQ33" s="267"/>
      <c r="DR33" s="267">
        <v>0</v>
      </c>
    </row>
    <row r="34" spans="1:139" x14ac:dyDescent="0.25">
      <c r="A34" s="268"/>
      <c r="B34" s="269" t="s">
        <v>66</v>
      </c>
      <c r="C34" s="270"/>
      <c r="D34" s="271"/>
      <c r="E34" s="271"/>
      <c r="F34" s="271"/>
      <c r="G34" s="271"/>
      <c r="H34" s="271"/>
      <c r="I34" s="271"/>
      <c r="K34" s="271"/>
      <c r="L34" s="271"/>
      <c r="M34" s="271"/>
      <c r="N34" s="271"/>
      <c r="O34" s="271"/>
      <c r="P34" s="271"/>
      <c r="R34" s="271"/>
      <c r="S34" s="271"/>
      <c r="T34" s="271"/>
      <c r="U34" s="271"/>
      <c r="V34" s="271"/>
      <c r="W34" s="271"/>
      <c r="Y34" s="271"/>
      <c r="Z34" s="271"/>
      <c r="AA34" s="271"/>
      <c r="AB34" s="271"/>
      <c r="AC34" s="271"/>
      <c r="AD34" s="271"/>
      <c r="AF34" s="271"/>
      <c r="AG34" s="271"/>
      <c r="AH34" s="271"/>
      <c r="AI34" s="271"/>
      <c r="AJ34" s="271"/>
      <c r="AK34" s="271"/>
      <c r="AM34" s="271"/>
      <c r="AN34" s="271"/>
      <c r="AO34" s="271"/>
      <c r="AP34" s="271"/>
      <c r="AQ34" s="271"/>
      <c r="AR34" s="271"/>
      <c r="AT34" s="271"/>
      <c r="AU34" s="271"/>
      <c r="AV34" s="271"/>
      <c r="AW34" s="271"/>
      <c r="AX34" s="271"/>
      <c r="AY34" s="271"/>
      <c r="BA34" s="271"/>
      <c r="BB34" s="271"/>
      <c r="BC34" s="271"/>
      <c r="BD34" s="271"/>
      <c r="BE34" s="271"/>
      <c r="BF34" s="271"/>
      <c r="BH34" s="271"/>
      <c r="BI34" s="271"/>
      <c r="BJ34" s="271"/>
      <c r="BK34" s="271"/>
      <c r="BL34" s="271"/>
      <c r="BM34" s="271"/>
      <c r="BO34" s="271"/>
      <c r="BP34" s="271"/>
      <c r="BQ34" s="271"/>
      <c r="BR34" s="271"/>
      <c r="BS34" s="271"/>
      <c r="BT34" s="271"/>
      <c r="BV34" s="271"/>
      <c r="BW34" s="271"/>
      <c r="BX34" s="271"/>
      <c r="BY34" s="271"/>
      <c r="BZ34" s="271"/>
      <c r="CA34" s="271"/>
      <c r="CC34" s="271"/>
      <c r="CD34" s="271"/>
      <c r="CE34" s="271"/>
      <c r="CF34" s="271"/>
      <c r="CG34" s="271"/>
      <c r="CH34" s="271"/>
      <c r="CJ34" s="271"/>
      <c r="CK34" s="271"/>
      <c r="CL34" s="271"/>
      <c r="CM34" s="271"/>
      <c r="CN34" s="271"/>
      <c r="CO34" s="271"/>
      <c r="CQ34" s="271"/>
      <c r="CR34" s="271"/>
      <c r="CS34" s="271"/>
      <c r="CT34" s="271"/>
      <c r="CU34" s="271"/>
      <c r="CV34" s="271"/>
      <c r="CX34" s="271"/>
      <c r="CY34" s="271"/>
      <c r="CZ34" s="271"/>
      <c r="DA34" s="271"/>
      <c r="DB34" s="271"/>
      <c r="DC34" s="271"/>
      <c r="DE34" s="271"/>
      <c r="DF34" s="271"/>
      <c r="DG34" s="271"/>
      <c r="DH34" s="271"/>
      <c r="DI34" s="271"/>
      <c r="DJ34" s="271"/>
      <c r="DL34" s="271"/>
      <c r="DM34" s="271"/>
      <c r="DN34" s="271"/>
      <c r="DO34" s="271"/>
      <c r="DP34" s="271"/>
      <c r="DQ34" s="271"/>
    </row>
    <row r="35" spans="1:139" x14ac:dyDescent="0.25">
      <c r="A35" s="272"/>
      <c r="B35" s="269" t="s">
        <v>67</v>
      </c>
      <c r="C35" s="270"/>
      <c r="D35" s="273"/>
      <c r="E35" s="273"/>
      <c r="F35" s="273"/>
      <c r="G35" s="273"/>
      <c r="H35" s="273"/>
      <c r="I35" s="273"/>
      <c r="K35" s="273"/>
      <c r="L35" s="273"/>
      <c r="M35" s="273"/>
      <c r="N35" s="273"/>
      <c r="O35" s="273"/>
      <c r="P35" s="273"/>
      <c r="R35" s="273"/>
      <c r="S35" s="273"/>
      <c r="T35" s="273"/>
      <c r="U35" s="273"/>
      <c r="V35" s="273"/>
      <c r="W35" s="273"/>
      <c r="Y35" s="273"/>
      <c r="Z35" s="273"/>
      <c r="AA35" s="273"/>
      <c r="AB35" s="273"/>
      <c r="AC35" s="273"/>
      <c r="AD35" s="273"/>
      <c r="AF35" s="273"/>
      <c r="AG35" s="273"/>
      <c r="AH35" s="273"/>
      <c r="AI35" s="273"/>
      <c r="AJ35" s="273"/>
      <c r="AK35" s="273"/>
      <c r="AM35" s="273"/>
      <c r="AN35" s="273"/>
      <c r="AO35" s="273"/>
      <c r="AP35" s="273"/>
      <c r="AQ35" s="273"/>
      <c r="AR35" s="273"/>
      <c r="AT35" s="273"/>
      <c r="AU35" s="273"/>
      <c r="AV35" s="273"/>
      <c r="AW35" s="273"/>
      <c r="AX35" s="273"/>
      <c r="AY35" s="273"/>
      <c r="BA35" s="273"/>
      <c r="BB35" s="273"/>
      <c r="BC35" s="273"/>
      <c r="BD35" s="273"/>
      <c r="BE35" s="273"/>
      <c r="BF35" s="273"/>
      <c r="BH35" s="273"/>
      <c r="BI35" s="273"/>
      <c r="BJ35" s="273"/>
      <c r="BK35" s="273"/>
      <c r="BL35" s="273"/>
      <c r="BM35" s="273"/>
      <c r="BO35" s="273"/>
      <c r="BP35" s="273"/>
      <c r="BQ35" s="273"/>
      <c r="BR35" s="273"/>
      <c r="BS35" s="273"/>
      <c r="BT35" s="273"/>
      <c r="BV35" s="273"/>
      <c r="BW35" s="273"/>
      <c r="BX35" s="273"/>
      <c r="BY35" s="273"/>
      <c r="BZ35" s="273"/>
      <c r="CA35" s="273"/>
      <c r="CC35" s="273"/>
      <c r="CD35" s="273"/>
      <c r="CE35" s="273"/>
      <c r="CF35" s="273"/>
      <c r="CG35" s="273"/>
      <c r="CH35" s="273"/>
      <c r="CJ35" s="273"/>
      <c r="CK35" s="273"/>
      <c r="CL35" s="273"/>
      <c r="CM35" s="273"/>
      <c r="CN35" s="273"/>
      <c r="CO35" s="273"/>
      <c r="CQ35" s="273"/>
      <c r="CR35" s="273"/>
      <c r="CS35" s="273"/>
      <c r="CT35" s="273"/>
      <c r="CU35" s="273"/>
      <c r="CV35" s="273"/>
      <c r="CX35" s="273"/>
      <c r="CY35" s="273"/>
      <c r="CZ35" s="273"/>
      <c r="DA35" s="273"/>
      <c r="DB35" s="273"/>
      <c r="DC35" s="273"/>
      <c r="DE35" s="273"/>
      <c r="DF35" s="273"/>
      <c r="DG35" s="273"/>
      <c r="DH35" s="273"/>
      <c r="DI35" s="273"/>
      <c r="DJ35" s="273"/>
      <c r="DL35" s="273"/>
      <c r="DM35" s="273"/>
      <c r="DN35" s="273"/>
      <c r="DO35" s="273"/>
      <c r="DP35" s="273"/>
      <c r="DQ35" s="273"/>
    </row>
    <row r="36" spans="1:139" x14ac:dyDescent="0.25">
      <c r="A36" s="274"/>
      <c r="B36" s="269" t="s">
        <v>68</v>
      </c>
      <c r="C36" s="270"/>
      <c r="D36" s="275"/>
      <c r="E36" s="275"/>
      <c r="F36" s="275"/>
      <c r="G36" s="275"/>
      <c r="H36" s="275"/>
      <c r="I36" s="275"/>
      <c r="K36" s="275"/>
      <c r="L36" s="275"/>
      <c r="M36" s="275"/>
      <c r="N36" s="275"/>
      <c r="O36" s="275"/>
      <c r="P36" s="275"/>
      <c r="R36" s="275"/>
      <c r="S36" s="275"/>
      <c r="T36" s="275"/>
      <c r="U36" s="275"/>
      <c r="V36" s="275"/>
      <c r="W36" s="275"/>
      <c r="Y36" s="275"/>
      <c r="Z36" s="275"/>
      <c r="AA36" s="275"/>
      <c r="AB36" s="275"/>
      <c r="AC36" s="275"/>
      <c r="AD36" s="275"/>
      <c r="AF36" s="275"/>
      <c r="AG36" s="275"/>
      <c r="AH36" s="275"/>
      <c r="AI36" s="275"/>
      <c r="AJ36" s="275"/>
      <c r="AK36" s="275"/>
      <c r="AM36" s="275"/>
      <c r="AN36" s="275"/>
      <c r="AO36" s="275"/>
      <c r="AP36" s="275"/>
      <c r="AQ36" s="275"/>
      <c r="AR36" s="275"/>
      <c r="AT36" s="275"/>
      <c r="AU36" s="275"/>
      <c r="AV36" s="275"/>
      <c r="AW36" s="275"/>
      <c r="AX36" s="275"/>
      <c r="AY36" s="275"/>
      <c r="BA36" s="275"/>
      <c r="BB36" s="275"/>
      <c r="BC36" s="275"/>
      <c r="BD36" s="275"/>
      <c r="BE36" s="275"/>
      <c r="BF36" s="275"/>
      <c r="BH36" s="275"/>
      <c r="BI36" s="275"/>
      <c r="BJ36" s="275"/>
      <c r="BK36" s="275"/>
      <c r="BL36" s="275"/>
      <c r="BM36" s="275"/>
      <c r="BO36" s="275"/>
      <c r="BP36" s="275"/>
      <c r="BQ36" s="275"/>
      <c r="BR36" s="275"/>
      <c r="BS36" s="275"/>
      <c r="BT36" s="275"/>
      <c r="BV36" s="275"/>
      <c r="BW36" s="275"/>
      <c r="BX36" s="275"/>
      <c r="BY36" s="275"/>
      <c r="BZ36" s="275"/>
      <c r="CA36" s="275"/>
      <c r="CC36" s="275"/>
      <c r="CD36" s="275"/>
      <c r="CE36" s="275"/>
      <c r="CF36" s="275"/>
      <c r="CG36" s="275"/>
      <c r="CH36" s="275"/>
      <c r="CJ36" s="275"/>
      <c r="CK36" s="275"/>
      <c r="CL36" s="275"/>
      <c r="CM36" s="275"/>
      <c r="CN36" s="275"/>
      <c r="CO36" s="275"/>
      <c r="CQ36" s="275"/>
      <c r="CR36" s="275"/>
      <c r="CS36" s="275"/>
      <c r="CT36" s="275"/>
      <c r="CU36" s="275"/>
      <c r="CV36" s="275"/>
      <c r="CX36" s="275"/>
      <c r="CY36" s="275"/>
      <c r="CZ36" s="275"/>
      <c r="DA36" s="275"/>
      <c r="DB36" s="275"/>
      <c r="DC36" s="275"/>
      <c r="DE36" s="275"/>
      <c r="DF36" s="275"/>
      <c r="DG36" s="275"/>
      <c r="DH36" s="275"/>
      <c r="DI36" s="275"/>
      <c r="DJ36" s="275"/>
      <c r="DL36" s="275"/>
      <c r="DM36" s="275"/>
      <c r="DN36" s="275"/>
      <c r="DO36" s="275"/>
      <c r="DP36" s="275"/>
      <c r="DQ36" s="275"/>
    </row>
    <row r="37" spans="1:139" x14ac:dyDescent="0.25">
      <c r="A37" s="276"/>
      <c r="B37" s="269" t="s">
        <v>37</v>
      </c>
      <c r="C37" s="270"/>
      <c r="D37" s="277"/>
      <c r="E37" s="277"/>
      <c r="F37" s="277"/>
      <c r="G37" s="277"/>
      <c r="H37" s="277"/>
      <c r="I37" s="277"/>
      <c r="K37" s="277"/>
      <c r="L37" s="277"/>
      <c r="M37" s="277"/>
      <c r="N37" s="277"/>
      <c r="O37" s="277"/>
      <c r="P37" s="277"/>
      <c r="R37" s="277"/>
      <c r="S37" s="277"/>
      <c r="T37" s="277"/>
      <c r="U37" s="277"/>
      <c r="V37" s="277"/>
      <c r="W37" s="277"/>
      <c r="Y37" s="277"/>
      <c r="Z37" s="277"/>
      <c r="AA37" s="277"/>
      <c r="AB37" s="277"/>
      <c r="AC37" s="277"/>
      <c r="AD37" s="277"/>
      <c r="AF37" s="277"/>
      <c r="AG37" s="277"/>
      <c r="AH37" s="277"/>
      <c r="AI37" s="277"/>
      <c r="AJ37" s="277"/>
      <c r="AK37" s="277"/>
      <c r="AM37" s="277"/>
      <c r="AN37" s="277"/>
      <c r="AO37" s="277"/>
      <c r="AP37" s="277"/>
      <c r="AQ37" s="277"/>
      <c r="AR37" s="277"/>
      <c r="AT37" s="277"/>
      <c r="AU37" s="277"/>
      <c r="AV37" s="277"/>
      <c r="AW37" s="277"/>
      <c r="AX37" s="277"/>
      <c r="AY37" s="277"/>
      <c r="BA37" s="277"/>
      <c r="BB37" s="277"/>
      <c r="BC37" s="277"/>
      <c r="BD37" s="277"/>
      <c r="BE37" s="277"/>
      <c r="BF37" s="277"/>
      <c r="BH37" s="277"/>
      <c r="BI37" s="277"/>
      <c r="BJ37" s="277"/>
      <c r="BK37" s="277"/>
      <c r="BL37" s="277"/>
      <c r="BM37" s="277"/>
      <c r="BO37" s="277"/>
      <c r="BP37" s="277"/>
      <c r="BQ37" s="277"/>
      <c r="BR37" s="277"/>
      <c r="BS37" s="277"/>
      <c r="BT37" s="277"/>
      <c r="BV37" s="277"/>
      <c r="BW37" s="277"/>
      <c r="BX37" s="277"/>
      <c r="BY37" s="277"/>
      <c r="BZ37" s="277"/>
      <c r="CA37" s="277"/>
      <c r="CC37" s="277"/>
      <c r="CD37" s="277"/>
      <c r="CE37" s="277"/>
      <c r="CF37" s="277"/>
      <c r="CG37" s="277"/>
      <c r="CH37" s="277"/>
      <c r="CJ37" s="277"/>
      <c r="CK37" s="277"/>
      <c r="CL37" s="277"/>
      <c r="CM37" s="277"/>
      <c r="CN37" s="277"/>
      <c r="CO37" s="277"/>
      <c r="CQ37" s="277"/>
      <c r="CR37" s="277"/>
      <c r="CS37" s="277"/>
      <c r="CT37" s="277"/>
      <c r="CU37" s="277"/>
      <c r="CV37" s="277"/>
      <c r="CX37" s="277"/>
      <c r="CY37" s="277"/>
      <c r="CZ37" s="277"/>
      <c r="DA37" s="277"/>
      <c r="DB37" s="277"/>
      <c r="DC37" s="277"/>
      <c r="DE37" s="277"/>
      <c r="DF37" s="277"/>
      <c r="DG37" s="277"/>
      <c r="DH37" s="277"/>
      <c r="DI37" s="277"/>
      <c r="DJ37" s="277"/>
      <c r="DL37" s="277"/>
      <c r="DM37" s="277"/>
      <c r="DN37" s="277"/>
      <c r="DO37" s="277"/>
      <c r="DP37" s="277"/>
      <c r="DQ37" s="277"/>
    </row>
    <row r="38" spans="1:139" s="263" customFormat="1" x14ac:dyDescent="0.25">
      <c r="A38" s="278"/>
      <c r="B38" s="269" t="s">
        <v>69</v>
      </c>
      <c r="C38" s="270"/>
      <c r="D38" s="279"/>
      <c r="E38" s="279"/>
      <c r="F38" s="279"/>
      <c r="G38" s="279"/>
      <c r="H38" s="279"/>
      <c r="I38" s="279"/>
      <c r="K38" s="279"/>
      <c r="L38" s="279"/>
      <c r="M38" s="279"/>
      <c r="N38" s="279"/>
      <c r="O38" s="279"/>
      <c r="P38" s="279"/>
      <c r="R38" s="279"/>
      <c r="S38" s="279"/>
      <c r="T38" s="279"/>
      <c r="U38" s="279"/>
      <c r="V38" s="279"/>
      <c r="W38" s="279"/>
      <c r="Y38" s="279"/>
      <c r="Z38" s="279"/>
      <c r="AA38" s="279"/>
      <c r="AB38" s="279"/>
      <c r="AC38" s="279"/>
      <c r="AD38" s="279"/>
      <c r="AF38" s="279"/>
      <c r="AG38" s="279"/>
      <c r="AH38" s="279"/>
      <c r="AI38" s="279"/>
      <c r="AJ38" s="279"/>
      <c r="AK38" s="279"/>
      <c r="AM38" s="279"/>
      <c r="AN38" s="279"/>
      <c r="AO38" s="279"/>
      <c r="AP38" s="279"/>
      <c r="AQ38" s="279"/>
      <c r="AR38" s="279"/>
      <c r="AT38" s="279"/>
      <c r="AU38" s="279"/>
      <c r="AV38" s="279"/>
      <c r="AW38" s="279"/>
      <c r="AX38" s="279"/>
      <c r="AY38" s="279"/>
      <c r="BA38" s="279"/>
      <c r="BB38" s="279"/>
      <c r="BC38" s="279"/>
      <c r="BD38" s="279"/>
      <c r="BE38" s="279"/>
      <c r="BF38" s="279"/>
      <c r="BH38" s="279"/>
      <c r="BI38" s="279"/>
      <c r="BJ38" s="279"/>
      <c r="BK38" s="279"/>
      <c r="BL38" s="279"/>
      <c r="BM38" s="279"/>
      <c r="BO38" s="279"/>
      <c r="BP38" s="279"/>
      <c r="BQ38" s="279"/>
      <c r="BR38" s="279"/>
      <c r="BS38" s="279"/>
      <c r="BT38" s="279"/>
      <c r="BV38" s="279"/>
      <c r="BW38" s="279"/>
      <c r="BX38" s="279"/>
      <c r="BY38" s="279"/>
      <c r="BZ38" s="279"/>
      <c r="CA38" s="279"/>
      <c r="CC38" s="279"/>
      <c r="CD38" s="279"/>
      <c r="CE38" s="279"/>
      <c r="CF38" s="279"/>
      <c r="CG38" s="279"/>
      <c r="CH38" s="279"/>
      <c r="CJ38" s="279"/>
      <c r="CK38" s="279"/>
      <c r="CL38" s="279"/>
      <c r="CM38" s="279"/>
      <c r="CN38" s="279"/>
      <c r="CO38" s="279"/>
      <c r="CQ38" s="279"/>
      <c r="CR38" s="279"/>
      <c r="CS38" s="279"/>
      <c r="CT38" s="279"/>
      <c r="CU38" s="279"/>
      <c r="CV38" s="279"/>
      <c r="CX38" s="279"/>
      <c r="CY38" s="279"/>
      <c r="CZ38" s="279"/>
      <c r="DA38" s="279"/>
      <c r="DB38" s="279"/>
      <c r="DC38" s="279"/>
      <c r="DE38" s="279"/>
      <c r="DF38" s="279"/>
      <c r="DG38" s="279"/>
      <c r="DH38" s="279"/>
      <c r="DI38" s="279"/>
      <c r="DJ38" s="279"/>
      <c r="DL38" s="279"/>
      <c r="DM38" s="279"/>
      <c r="DN38" s="279"/>
      <c r="DO38" s="279"/>
      <c r="DP38" s="279"/>
      <c r="DQ38" s="279"/>
      <c r="DS38" s="211"/>
      <c r="DT38" s="211"/>
      <c r="DU38" s="211"/>
      <c r="DV38" s="211"/>
      <c r="DW38" s="211"/>
      <c r="DX38" s="211"/>
      <c r="DY38" s="211"/>
      <c r="DZ38" s="211"/>
      <c r="EA38" s="211"/>
      <c r="EB38" s="211"/>
      <c r="EC38" s="211"/>
      <c r="ED38" s="211"/>
      <c r="EE38" s="211"/>
      <c r="EF38" s="211"/>
      <c r="EG38" s="211"/>
      <c r="EH38" s="211"/>
      <c r="EI38" s="211"/>
    </row>
    <row r="39" spans="1:139" s="281" customFormat="1" x14ac:dyDescent="0.25">
      <c r="A39" s="279"/>
      <c r="B39" s="280" t="s">
        <v>70</v>
      </c>
      <c r="C39" s="270"/>
      <c r="D39" s="279"/>
      <c r="E39" s="279"/>
      <c r="F39" s="279"/>
      <c r="G39" s="279"/>
      <c r="H39" s="279"/>
      <c r="I39" s="279"/>
      <c r="K39" s="279"/>
      <c r="L39" s="279"/>
      <c r="M39" s="279"/>
      <c r="N39" s="279"/>
      <c r="O39" s="279"/>
      <c r="P39" s="279"/>
      <c r="R39" s="279"/>
      <c r="S39" s="279"/>
      <c r="T39" s="279"/>
      <c r="U39" s="279"/>
      <c r="V39" s="279"/>
      <c r="W39" s="279"/>
      <c r="Y39" s="279"/>
      <c r="Z39" s="279"/>
      <c r="AA39" s="279"/>
      <c r="AB39" s="279"/>
      <c r="AC39" s="279"/>
      <c r="AD39" s="279"/>
      <c r="AF39" s="279"/>
      <c r="AG39" s="279"/>
      <c r="AH39" s="279"/>
      <c r="AI39" s="279"/>
      <c r="AJ39" s="279"/>
      <c r="AK39" s="279"/>
      <c r="AM39" s="279"/>
      <c r="AN39" s="279"/>
      <c r="AO39" s="279"/>
      <c r="AP39" s="279"/>
      <c r="AQ39" s="279"/>
      <c r="AR39" s="279"/>
      <c r="AT39" s="279"/>
      <c r="AU39" s="279"/>
      <c r="AV39" s="279"/>
      <c r="AW39" s="279"/>
      <c r="AX39" s="279"/>
      <c r="AY39" s="279"/>
      <c r="BA39" s="279"/>
      <c r="BB39" s="279"/>
      <c r="BC39" s="279"/>
      <c r="BD39" s="279"/>
      <c r="BE39" s="279"/>
      <c r="BF39" s="279"/>
      <c r="BH39" s="279"/>
      <c r="BI39" s="279"/>
      <c r="BJ39" s="279"/>
      <c r="BK39" s="279"/>
      <c r="BL39" s="279"/>
      <c r="BM39" s="279"/>
      <c r="BO39" s="279"/>
      <c r="BP39" s="279"/>
      <c r="BQ39" s="279"/>
      <c r="BR39" s="279"/>
      <c r="BS39" s="279"/>
      <c r="BT39" s="279"/>
      <c r="BV39" s="279"/>
      <c r="BW39" s="279"/>
      <c r="BX39" s="279"/>
      <c r="BY39" s="279"/>
      <c r="BZ39" s="279"/>
      <c r="CA39" s="279"/>
      <c r="CC39" s="279"/>
      <c r="CD39" s="279"/>
      <c r="CE39" s="279"/>
      <c r="CF39" s="279"/>
      <c r="CG39" s="279"/>
      <c r="CH39" s="279"/>
      <c r="CJ39" s="279"/>
      <c r="CK39" s="279"/>
      <c r="CL39" s="279"/>
      <c r="CM39" s="279"/>
      <c r="CN39" s="279"/>
      <c r="CO39" s="279"/>
      <c r="CQ39" s="279"/>
      <c r="CR39" s="279"/>
      <c r="CS39" s="279"/>
      <c r="CT39" s="279"/>
      <c r="CU39" s="279"/>
      <c r="CV39" s="279"/>
      <c r="CX39" s="279"/>
      <c r="CY39" s="279"/>
      <c r="CZ39" s="279"/>
      <c r="DA39" s="279"/>
      <c r="DB39" s="279"/>
      <c r="DC39" s="279"/>
      <c r="DE39" s="279"/>
      <c r="DF39" s="279"/>
      <c r="DG39" s="279"/>
      <c r="DH39" s="279"/>
      <c r="DI39" s="279"/>
      <c r="DJ39" s="279"/>
      <c r="DL39" s="279"/>
      <c r="DM39" s="279"/>
      <c r="DN39" s="279"/>
      <c r="DO39" s="279"/>
      <c r="DP39" s="279"/>
      <c r="DQ39" s="279"/>
      <c r="DS39" s="282"/>
      <c r="DT39" s="282"/>
      <c r="DU39" s="282"/>
      <c r="DV39" s="282"/>
      <c r="DW39" s="282"/>
      <c r="DX39" s="282"/>
      <c r="DY39" s="282"/>
      <c r="DZ39" s="282"/>
      <c r="EA39" s="282"/>
      <c r="EB39" s="282"/>
      <c r="EC39" s="282"/>
      <c r="ED39" s="282"/>
      <c r="EE39" s="282"/>
      <c r="EF39" s="282"/>
      <c r="EG39" s="282"/>
      <c r="EH39" s="282"/>
      <c r="EI39" s="282"/>
    </row>
    <row r="40" spans="1:139" s="263" customFormat="1" ht="15.75" thickBot="1" x14ac:dyDescent="0.3">
      <c r="A40" s="211"/>
      <c r="B40" s="211"/>
      <c r="C40" s="262"/>
      <c r="D40" s="211"/>
      <c r="E40" s="211"/>
      <c r="F40" s="211"/>
      <c r="G40" s="211"/>
      <c r="H40" s="211"/>
      <c r="K40" s="211"/>
      <c r="L40" s="211"/>
      <c r="M40" s="237"/>
      <c r="N40" s="211"/>
      <c r="O40" s="211"/>
      <c r="R40" s="211"/>
      <c r="S40" s="211"/>
      <c r="T40" s="211"/>
      <c r="U40" s="211"/>
      <c r="V40" s="211"/>
      <c r="Y40" s="211"/>
      <c r="Z40" s="211"/>
      <c r="AA40" s="211"/>
      <c r="AB40" s="211"/>
      <c r="AC40" s="211"/>
      <c r="AF40" s="211"/>
      <c r="AG40" s="211"/>
      <c r="AH40" s="211"/>
      <c r="AI40" s="211"/>
      <c r="AJ40" s="211"/>
      <c r="AM40" s="211"/>
      <c r="AN40" s="211"/>
      <c r="AO40" s="211"/>
      <c r="AP40" s="211"/>
      <c r="AQ40" s="211"/>
      <c r="AT40" s="211"/>
      <c r="AU40" s="211"/>
      <c r="AV40" s="211"/>
      <c r="AW40" s="211"/>
      <c r="AX40" s="211"/>
      <c r="BA40" s="211"/>
      <c r="BB40" s="211"/>
      <c r="BC40" s="211"/>
      <c r="BD40" s="211"/>
      <c r="BE40" s="211"/>
      <c r="BH40" s="237"/>
      <c r="BI40" s="211"/>
      <c r="BJ40" s="211"/>
      <c r="BK40" s="211"/>
      <c r="BL40" s="211"/>
      <c r="BO40" s="211"/>
      <c r="BP40" s="211"/>
      <c r="BQ40" s="211"/>
      <c r="BR40" s="211"/>
      <c r="BS40" s="211"/>
      <c r="BV40" s="211"/>
      <c r="BW40" s="211"/>
      <c r="BX40" s="211"/>
      <c r="BY40" s="211"/>
      <c r="BZ40" s="211"/>
      <c r="CC40" s="211"/>
      <c r="CD40" s="211"/>
      <c r="CE40" s="211"/>
      <c r="CF40" s="211"/>
      <c r="CG40" s="211"/>
      <c r="CJ40" s="211"/>
      <c r="CK40" s="211"/>
      <c r="CL40" s="211"/>
      <c r="CM40" s="211"/>
      <c r="CN40" s="211"/>
      <c r="CQ40" s="211"/>
      <c r="CR40" s="211"/>
      <c r="CS40" s="211"/>
      <c r="CT40" s="211"/>
      <c r="CU40" s="211"/>
      <c r="CX40" s="211"/>
      <c r="CY40" s="211"/>
      <c r="CZ40" s="211"/>
      <c r="DA40" s="211"/>
      <c r="DB40" s="211"/>
      <c r="DE40" s="211"/>
      <c r="DF40" s="211"/>
      <c r="DG40" s="211"/>
      <c r="DH40" s="211"/>
      <c r="DI40" s="211"/>
      <c r="DL40" s="211"/>
      <c r="DM40" s="211"/>
      <c r="DN40" s="211"/>
      <c r="DO40" s="211"/>
      <c r="DP40" s="211"/>
      <c r="DS40" s="211"/>
      <c r="DT40" s="211"/>
      <c r="DU40" s="211"/>
      <c r="DV40" s="211"/>
      <c r="DW40" s="211"/>
      <c r="DX40" s="211"/>
      <c r="DY40" s="211"/>
      <c r="DZ40" s="211"/>
      <c r="EA40" s="211"/>
      <c r="EB40" s="211"/>
      <c r="EC40" s="211"/>
      <c r="ED40" s="211"/>
      <c r="EE40" s="211"/>
      <c r="EF40" s="211"/>
      <c r="EG40" s="211"/>
      <c r="EH40" s="211"/>
      <c r="EI40" s="211"/>
    </row>
    <row r="41" spans="1:139" s="263" customFormat="1" ht="15.75" thickBot="1" x14ac:dyDescent="0.3">
      <c r="A41" s="211"/>
      <c r="B41" s="283" t="s">
        <v>512</v>
      </c>
      <c r="C41" s="284"/>
      <c r="D41" s="285">
        <f t="shared" ref="D41:BO41" si="0">D33+(D34*3)+(D35*3)+(D36*3)+D37+D38+D39</f>
        <v>0</v>
      </c>
      <c r="E41" s="285">
        <f t="shared" si="0"/>
        <v>0</v>
      </c>
      <c r="F41" s="285">
        <f t="shared" si="0"/>
        <v>0</v>
      </c>
      <c r="G41" s="285">
        <f t="shared" si="0"/>
        <v>0</v>
      </c>
      <c r="H41" s="285">
        <f t="shared" si="0"/>
        <v>0</v>
      </c>
      <c r="I41" s="285">
        <f t="shared" si="0"/>
        <v>0</v>
      </c>
      <c r="J41" s="285">
        <f t="shared" si="0"/>
        <v>0</v>
      </c>
      <c r="K41" s="285">
        <f t="shared" si="0"/>
        <v>0</v>
      </c>
      <c r="L41" s="285">
        <f t="shared" si="0"/>
        <v>0</v>
      </c>
      <c r="M41" s="285">
        <f t="shared" si="0"/>
        <v>0</v>
      </c>
      <c r="N41" s="285">
        <f t="shared" si="0"/>
        <v>0</v>
      </c>
      <c r="O41" s="285">
        <f t="shared" si="0"/>
        <v>0</v>
      </c>
      <c r="P41" s="285">
        <f t="shared" si="0"/>
        <v>0</v>
      </c>
      <c r="Q41" s="285">
        <f t="shared" si="0"/>
        <v>0</v>
      </c>
      <c r="R41" s="285">
        <f t="shared" si="0"/>
        <v>0</v>
      </c>
      <c r="S41" s="285">
        <f t="shared" si="0"/>
        <v>0</v>
      </c>
      <c r="T41" s="285">
        <f t="shared" si="0"/>
        <v>0</v>
      </c>
      <c r="U41" s="285">
        <f t="shared" si="0"/>
        <v>0</v>
      </c>
      <c r="V41" s="285">
        <f t="shared" si="0"/>
        <v>0</v>
      </c>
      <c r="W41" s="285">
        <f t="shared" si="0"/>
        <v>0</v>
      </c>
      <c r="X41" s="285">
        <f t="shared" si="0"/>
        <v>0</v>
      </c>
      <c r="Y41" s="285">
        <f t="shared" si="0"/>
        <v>0</v>
      </c>
      <c r="Z41" s="285">
        <f t="shared" si="0"/>
        <v>0</v>
      </c>
      <c r="AA41" s="285">
        <f t="shared" si="0"/>
        <v>0</v>
      </c>
      <c r="AB41" s="285">
        <f t="shared" si="0"/>
        <v>0</v>
      </c>
      <c r="AC41" s="285">
        <f t="shared" si="0"/>
        <v>0</v>
      </c>
      <c r="AD41" s="285">
        <f t="shared" si="0"/>
        <v>0</v>
      </c>
      <c r="AE41" s="285">
        <f t="shared" si="0"/>
        <v>0</v>
      </c>
      <c r="AF41" s="285">
        <f t="shared" si="0"/>
        <v>0</v>
      </c>
      <c r="AG41" s="285">
        <f t="shared" si="0"/>
        <v>0</v>
      </c>
      <c r="AH41" s="285">
        <f t="shared" si="0"/>
        <v>0</v>
      </c>
      <c r="AI41" s="285">
        <f t="shared" si="0"/>
        <v>0</v>
      </c>
      <c r="AJ41" s="285">
        <f t="shared" si="0"/>
        <v>0</v>
      </c>
      <c r="AK41" s="285">
        <f t="shared" si="0"/>
        <v>0</v>
      </c>
      <c r="AL41" s="285">
        <f t="shared" si="0"/>
        <v>0</v>
      </c>
      <c r="AM41" s="285">
        <f t="shared" si="0"/>
        <v>0</v>
      </c>
      <c r="AN41" s="285">
        <f t="shared" si="0"/>
        <v>0</v>
      </c>
      <c r="AO41" s="285">
        <f t="shared" si="0"/>
        <v>0</v>
      </c>
      <c r="AP41" s="285">
        <f t="shared" si="0"/>
        <v>0</v>
      </c>
      <c r="AQ41" s="285">
        <f t="shared" si="0"/>
        <v>0</v>
      </c>
      <c r="AR41" s="285">
        <f t="shared" si="0"/>
        <v>0</v>
      </c>
      <c r="AS41" s="285">
        <f t="shared" si="0"/>
        <v>0</v>
      </c>
      <c r="AT41" s="285">
        <f t="shared" si="0"/>
        <v>0</v>
      </c>
      <c r="AU41" s="285">
        <f t="shared" si="0"/>
        <v>0</v>
      </c>
      <c r="AV41" s="285">
        <f t="shared" si="0"/>
        <v>0</v>
      </c>
      <c r="AW41" s="285">
        <f t="shared" si="0"/>
        <v>0</v>
      </c>
      <c r="AX41" s="285">
        <f t="shared" si="0"/>
        <v>0</v>
      </c>
      <c r="AY41" s="285">
        <f t="shared" si="0"/>
        <v>0</v>
      </c>
      <c r="AZ41" s="285">
        <f t="shared" si="0"/>
        <v>0</v>
      </c>
      <c r="BA41" s="285">
        <f t="shared" si="0"/>
        <v>0</v>
      </c>
      <c r="BB41" s="285">
        <f t="shared" si="0"/>
        <v>0</v>
      </c>
      <c r="BC41" s="285">
        <f t="shared" si="0"/>
        <v>0</v>
      </c>
      <c r="BD41" s="285">
        <f t="shared" si="0"/>
        <v>0</v>
      </c>
      <c r="BE41" s="285">
        <f t="shared" si="0"/>
        <v>0</v>
      </c>
      <c r="BF41" s="285">
        <f t="shared" si="0"/>
        <v>0</v>
      </c>
      <c r="BG41" s="285">
        <f t="shared" si="0"/>
        <v>0</v>
      </c>
      <c r="BH41" s="285">
        <f t="shared" si="0"/>
        <v>0</v>
      </c>
      <c r="BI41" s="285">
        <f t="shared" si="0"/>
        <v>0</v>
      </c>
      <c r="BJ41" s="285">
        <f t="shared" si="0"/>
        <v>0</v>
      </c>
      <c r="BK41" s="285">
        <f t="shared" si="0"/>
        <v>0</v>
      </c>
      <c r="BL41" s="285">
        <f t="shared" si="0"/>
        <v>0</v>
      </c>
      <c r="BM41" s="285">
        <f t="shared" si="0"/>
        <v>0</v>
      </c>
      <c r="BN41" s="285">
        <f t="shared" si="0"/>
        <v>0</v>
      </c>
      <c r="BO41" s="285">
        <f t="shared" si="0"/>
        <v>0</v>
      </c>
      <c r="BP41" s="285">
        <f t="shared" ref="BP41:DR41" si="1">BP33+(BP34*3)+(BP35*3)+(BP36*3)+BP37+BP38+BP39</f>
        <v>0</v>
      </c>
      <c r="BQ41" s="285">
        <f t="shared" si="1"/>
        <v>0</v>
      </c>
      <c r="BR41" s="285">
        <f t="shared" si="1"/>
        <v>0</v>
      </c>
      <c r="BS41" s="285">
        <f t="shared" si="1"/>
        <v>0</v>
      </c>
      <c r="BT41" s="285">
        <f t="shared" si="1"/>
        <v>0</v>
      </c>
      <c r="BU41" s="285">
        <f t="shared" si="1"/>
        <v>0</v>
      </c>
      <c r="BV41" s="285">
        <f t="shared" si="1"/>
        <v>0</v>
      </c>
      <c r="BW41" s="285">
        <f t="shared" si="1"/>
        <v>0</v>
      </c>
      <c r="BX41" s="285">
        <f t="shared" si="1"/>
        <v>0</v>
      </c>
      <c r="BY41" s="285">
        <f t="shared" si="1"/>
        <v>0</v>
      </c>
      <c r="BZ41" s="285">
        <f t="shared" si="1"/>
        <v>0</v>
      </c>
      <c r="CA41" s="285">
        <f t="shared" si="1"/>
        <v>0</v>
      </c>
      <c r="CB41" s="285">
        <f t="shared" si="1"/>
        <v>0</v>
      </c>
      <c r="CC41" s="285">
        <f t="shared" si="1"/>
        <v>0</v>
      </c>
      <c r="CD41" s="285">
        <f t="shared" si="1"/>
        <v>0</v>
      </c>
      <c r="CE41" s="285">
        <f t="shared" si="1"/>
        <v>0</v>
      </c>
      <c r="CF41" s="285">
        <f t="shared" si="1"/>
        <v>0</v>
      </c>
      <c r="CG41" s="285">
        <f t="shared" si="1"/>
        <v>0</v>
      </c>
      <c r="CH41" s="285">
        <f t="shared" si="1"/>
        <v>0</v>
      </c>
      <c r="CI41" s="285">
        <f t="shared" si="1"/>
        <v>0</v>
      </c>
      <c r="CJ41" s="285">
        <f t="shared" si="1"/>
        <v>0</v>
      </c>
      <c r="CK41" s="285">
        <f t="shared" si="1"/>
        <v>0</v>
      </c>
      <c r="CL41" s="285">
        <f t="shared" si="1"/>
        <v>0</v>
      </c>
      <c r="CM41" s="285">
        <f t="shared" si="1"/>
        <v>0</v>
      </c>
      <c r="CN41" s="285">
        <f t="shared" si="1"/>
        <v>0</v>
      </c>
      <c r="CO41" s="285">
        <f t="shared" si="1"/>
        <v>0</v>
      </c>
      <c r="CP41" s="285">
        <f t="shared" si="1"/>
        <v>0</v>
      </c>
      <c r="CQ41" s="285">
        <f t="shared" si="1"/>
        <v>0</v>
      </c>
      <c r="CR41" s="285">
        <f t="shared" si="1"/>
        <v>0</v>
      </c>
      <c r="CS41" s="285">
        <f t="shared" si="1"/>
        <v>0</v>
      </c>
      <c r="CT41" s="285">
        <f t="shared" si="1"/>
        <v>0</v>
      </c>
      <c r="CU41" s="285">
        <f t="shared" si="1"/>
        <v>0</v>
      </c>
      <c r="CV41" s="285">
        <f t="shared" si="1"/>
        <v>0</v>
      </c>
      <c r="CW41" s="285">
        <f t="shared" si="1"/>
        <v>0</v>
      </c>
      <c r="CX41" s="285">
        <f t="shared" si="1"/>
        <v>0</v>
      </c>
      <c r="CY41" s="285">
        <f t="shared" si="1"/>
        <v>0</v>
      </c>
      <c r="CZ41" s="285">
        <f t="shared" si="1"/>
        <v>0</v>
      </c>
      <c r="DA41" s="285">
        <f t="shared" si="1"/>
        <v>0</v>
      </c>
      <c r="DB41" s="285">
        <f t="shared" si="1"/>
        <v>0</v>
      </c>
      <c r="DC41" s="285">
        <f t="shared" si="1"/>
        <v>0</v>
      </c>
      <c r="DD41" s="285">
        <f t="shared" si="1"/>
        <v>0</v>
      </c>
      <c r="DE41" s="285">
        <f t="shared" si="1"/>
        <v>0</v>
      </c>
      <c r="DF41" s="285">
        <f t="shared" si="1"/>
        <v>0</v>
      </c>
      <c r="DG41" s="285">
        <f t="shared" si="1"/>
        <v>0</v>
      </c>
      <c r="DH41" s="285">
        <f t="shared" si="1"/>
        <v>0</v>
      </c>
      <c r="DI41" s="285">
        <f t="shared" si="1"/>
        <v>0</v>
      </c>
      <c r="DJ41" s="285">
        <f t="shared" si="1"/>
        <v>0</v>
      </c>
      <c r="DK41" s="285">
        <f t="shared" si="1"/>
        <v>0</v>
      </c>
      <c r="DL41" s="285">
        <f t="shared" si="1"/>
        <v>0</v>
      </c>
      <c r="DM41" s="285">
        <f t="shared" si="1"/>
        <v>0</v>
      </c>
      <c r="DN41" s="285">
        <f t="shared" si="1"/>
        <v>0</v>
      </c>
      <c r="DO41" s="285">
        <f t="shared" si="1"/>
        <v>0</v>
      </c>
      <c r="DP41" s="285">
        <f t="shared" si="1"/>
        <v>0</v>
      </c>
      <c r="DQ41" s="285">
        <f t="shared" si="1"/>
        <v>0</v>
      </c>
      <c r="DR41" s="285">
        <f t="shared" si="1"/>
        <v>0</v>
      </c>
      <c r="DS41" s="211"/>
      <c r="DT41" s="211"/>
      <c r="DU41" s="211"/>
      <c r="DV41" s="211"/>
      <c r="DW41" s="211"/>
      <c r="DX41" s="211"/>
      <c r="DY41" s="211"/>
      <c r="DZ41" s="211"/>
      <c r="EA41" s="211"/>
      <c r="EB41" s="211"/>
      <c r="EC41" s="211"/>
      <c r="ED41" s="211"/>
      <c r="EE41" s="211"/>
      <c r="EF41" s="211"/>
      <c r="EG41" s="211"/>
      <c r="EH41" s="211"/>
      <c r="EI41" s="211"/>
    </row>
    <row r="43" spans="1:139" x14ac:dyDescent="0.25">
      <c r="B43" s="286" t="s">
        <v>513</v>
      </c>
      <c r="C43" s="287">
        <f>SUM(D33:CV33)</f>
        <v>0</v>
      </c>
    </row>
    <row r="44" spans="1:139" x14ac:dyDescent="0.25">
      <c r="B44" s="286" t="s">
        <v>514</v>
      </c>
      <c r="C44" s="288"/>
    </row>
    <row r="45" spans="1:139" x14ac:dyDescent="0.25">
      <c r="B45" s="286" t="s">
        <v>515</v>
      </c>
      <c r="C45" s="288"/>
    </row>
    <row r="47" spans="1:139" s="263" customFormat="1" x14ac:dyDescent="0.25">
      <c r="A47" s="211"/>
      <c r="B47" s="289" t="s">
        <v>516</v>
      </c>
      <c r="C47" s="287">
        <f>SUM(D34:CV34)</f>
        <v>0</v>
      </c>
      <c r="D47" s="282"/>
      <c r="E47" s="282"/>
      <c r="F47" s="282"/>
      <c r="G47" s="282"/>
      <c r="H47" s="282"/>
      <c r="I47" s="281"/>
      <c r="J47" s="281"/>
      <c r="K47" s="282"/>
      <c r="L47" s="282"/>
      <c r="M47" s="282"/>
      <c r="N47" s="282"/>
      <c r="O47" s="282"/>
      <c r="P47" s="281"/>
      <c r="Q47" s="281"/>
      <c r="R47" s="282"/>
      <c r="S47" s="282"/>
      <c r="T47" s="282"/>
      <c r="U47" s="282"/>
      <c r="V47" s="282"/>
      <c r="W47" s="281"/>
      <c r="X47" s="281"/>
      <c r="Y47" s="282"/>
      <c r="Z47" s="282"/>
      <c r="AA47" s="282"/>
      <c r="AB47" s="282"/>
      <c r="AC47" s="282"/>
      <c r="AD47" s="281"/>
      <c r="AE47" s="281"/>
      <c r="AF47" s="282"/>
      <c r="AG47" s="282"/>
      <c r="AH47" s="282"/>
      <c r="AI47" s="282"/>
      <c r="AJ47" s="282"/>
      <c r="AK47" s="281"/>
      <c r="AL47" s="281"/>
      <c r="AM47" s="282"/>
      <c r="AN47" s="282"/>
      <c r="AO47" s="282"/>
      <c r="AP47" s="282"/>
      <c r="AQ47" s="282"/>
      <c r="AR47" s="281"/>
      <c r="AS47" s="281"/>
      <c r="AT47" s="282"/>
      <c r="AU47" s="282"/>
      <c r="AV47" s="282"/>
      <c r="AW47" s="282"/>
      <c r="AX47" s="282"/>
      <c r="AY47" s="281"/>
      <c r="AZ47" s="281"/>
      <c r="BA47" s="282"/>
      <c r="BB47" s="282"/>
      <c r="BC47" s="282"/>
      <c r="BD47" s="282"/>
      <c r="BE47" s="282"/>
      <c r="BF47" s="281"/>
      <c r="BG47" s="281"/>
      <c r="BH47" s="282"/>
      <c r="BI47" s="282"/>
      <c r="BJ47" s="282"/>
      <c r="BK47" s="282"/>
      <c r="BL47" s="282"/>
      <c r="BM47" s="281"/>
      <c r="BN47" s="281"/>
      <c r="BO47" s="282"/>
      <c r="BP47" s="282"/>
      <c r="BQ47" s="282"/>
      <c r="BR47" s="282"/>
      <c r="BS47" s="282"/>
      <c r="BT47" s="281"/>
      <c r="BU47" s="281"/>
      <c r="BV47" s="282"/>
      <c r="BW47" s="282"/>
      <c r="BX47" s="282"/>
      <c r="BY47" s="282"/>
      <c r="BZ47" s="282"/>
      <c r="CA47" s="281"/>
      <c r="CB47" s="281"/>
      <c r="CC47" s="282"/>
      <c r="CD47" s="282"/>
      <c r="CE47" s="282"/>
      <c r="CF47" s="282"/>
      <c r="CG47" s="282"/>
      <c r="CH47" s="281"/>
      <c r="CI47" s="281"/>
      <c r="CJ47" s="282"/>
      <c r="CK47" s="282"/>
      <c r="CL47" s="282"/>
      <c r="CM47" s="282"/>
      <c r="CN47" s="282"/>
      <c r="CO47" s="281"/>
      <c r="CP47" s="281"/>
      <c r="CQ47" s="282"/>
      <c r="CR47" s="282"/>
      <c r="CS47" s="282"/>
      <c r="CT47" s="282"/>
      <c r="CU47" s="282"/>
      <c r="CV47" s="281"/>
      <c r="CW47" s="281"/>
      <c r="CX47" s="282"/>
      <c r="CY47" s="282"/>
      <c r="CZ47" s="282"/>
      <c r="DA47" s="282"/>
      <c r="DB47" s="282"/>
      <c r="DC47" s="281"/>
      <c r="DD47" s="281"/>
      <c r="DE47" s="282"/>
      <c r="DF47" s="282"/>
      <c r="DG47" s="282"/>
      <c r="DH47" s="282"/>
      <c r="DI47" s="282"/>
      <c r="DJ47" s="281"/>
      <c r="DK47" s="281"/>
      <c r="DL47" s="282"/>
      <c r="DM47" s="282"/>
      <c r="DN47" s="282"/>
      <c r="DO47" s="282"/>
      <c r="DP47" s="282"/>
      <c r="DQ47" s="281"/>
      <c r="DR47" s="281"/>
    </row>
    <row r="48" spans="1:139" s="263" customFormat="1" x14ac:dyDescent="0.25">
      <c r="A48" s="211"/>
      <c r="B48" s="290" t="s">
        <v>517</v>
      </c>
      <c r="C48" s="287">
        <f>SUM(D35:CV35)</f>
        <v>0</v>
      </c>
      <c r="D48" s="282"/>
      <c r="E48" s="282"/>
      <c r="F48" s="282"/>
      <c r="G48" s="282"/>
      <c r="H48" s="282"/>
      <c r="I48" s="281"/>
      <c r="J48" s="281"/>
      <c r="K48" s="282"/>
      <c r="L48" s="282"/>
      <c r="M48" s="282"/>
      <c r="N48" s="282"/>
      <c r="O48" s="282"/>
      <c r="P48" s="281"/>
      <c r="Q48" s="281"/>
      <c r="R48" s="282"/>
      <c r="S48" s="282"/>
      <c r="T48" s="282"/>
      <c r="U48" s="282"/>
      <c r="V48" s="282"/>
      <c r="W48" s="281"/>
      <c r="X48" s="281"/>
      <c r="Y48" s="282"/>
      <c r="Z48" s="282"/>
      <c r="AA48" s="282"/>
      <c r="AB48" s="282"/>
      <c r="AC48" s="282"/>
      <c r="AD48" s="281"/>
      <c r="AE48" s="281"/>
      <c r="AF48" s="282"/>
      <c r="AG48" s="282"/>
      <c r="AH48" s="282"/>
      <c r="AI48" s="282"/>
      <c r="AJ48" s="282"/>
      <c r="AK48" s="281"/>
      <c r="AL48" s="281"/>
      <c r="AM48" s="282"/>
      <c r="AN48" s="282"/>
      <c r="AO48" s="282"/>
      <c r="AP48" s="282"/>
      <c r="AQ48" s="282"/>
      <c r="AR48" s="281"/>
      <c r="AS48" s="281"/>
      <c r="AT48" s="282"/>
      <c r="AU48" s="282"/>
      <c r="AV48" s="282"/>
      <c r="AW48" s="282"/>
      <c r="AX48" s="282"/>
      <c r="AY48" s="281"/>
      <c r="AZ48" s="281"/>
      <c r="BA48" s="282"/>
      <c r="BB48" s="282"/>
      <c r="BC48" s="282"/>
      <c r="BD48" s="282"/>
      <c r="BE48" s="282"/>
      <c r="BF48" s="281"/>
      <c r="BG48" s="281"/>
      <c r="BH48" s="282"/>
      <c r="BI48" s="282"/>
      <c r="BJ48" s="282"/>
      <c r="BK48" s="282"/>
      <c r="BL48" s="282"/>
      <c r="BM48" s="281"/>
      <c r="BN48" s="281"/>
      <c r="BO48" s="282"/>
      <c r="BP48" s="282"/>
      <c r="BQ48" s="282"/>
      <c r="BR48" s="282"/>
      <c r="BS48" s="282"/>
      <c r="BT48" s="281"/>
      <c r="BU48" s="281"/>
      <c r="BV48" s="282"/>
      <c r="BW48" s="282"/>
      <c r="BX48" s="282"/>
      <c r="BY48" s="282"/>
      <c r="BZ48" s="282"/>
      <c r="CA48" s="281"/>
      <c r="CB48" s="281"/>
      <c r="CC48" s="282"/>
      <c r="CD48" s="282"/>
      <c r="CE48" s="282"/>
      <c r="CF48" s="282"/>
      <c r="CG48" s="282"/>
      <c r="CH48" s="281"/>
      <c r="CI48" s="281"/>
      <c r="CJ48" s="282"/>
      <c r="CK48" s="282"/>
      <c r="CL48" s="282"/>
      <c r="CM48" s="282"/>
      <c r="CN48" s="282"/>
      <c r="CO48" s="281"/>
      <c r="CP48" s="281"/>
      <c r="CQ48" s="282"/>
      <c r="CR48" s="282"/>
      <c r="CS48" s="282"/>
      <c r="CT48" s="282"/>
      <c r="CU48" s="282"/>
      <c r="CV48" s="281"/>
      <c r="CW48" s="281"/>
      <c r="CX48" s="282"/>
      <c r="CY48" s="282"/>
      <c r="CZ48" s="282"/>
      <c r="DA48" s="282"/>
      <c r="DB48" s="282"/>
      <c r="DC48" s="281"/>
      <c r="DD48" s="281"/>
      <c r="DE48" s="282"/>
      <c r="DF48" s="282"/>
      <c r="DG48" s="282"/>
      <c r="DH48" s="282"/>
      <c r="DI48" s="282"/>
      <c r="DJ48" s="281"/>
      <c r="DK48" s="281"/>
      <c r="DL48" s="282"/>
      <c r="DM48" s="282"/>
      <c r="DN48" s="282"/>
      <c r="DO48" s="282"/>
      <c r="DP48" s="282"/>
      <c r="DQ48" s="281"/>
      <c r="DR48" s="281"/>
    </row>
    <row r="49" spans="1:139" s="263" customFormat="1" x14ac:dyDescent="0.25">
      <c r="A49" s="211"/>
      <c r="B49" s="290" t="s">
        <v>518</v>
      </c>
      <c r="C49" s="284"/>
      <c r="D49" s="282"/>
      <c r="E49" s="282"/>
      <c r="F49" s="282"/>
      <c r="G49" s="282"/>
      <c r="H49" s="282"/>
      <c r="I49" s="281"/>
      <c r="J49" s="281"/>
      <c r="K49" s="282"/>
      <c r="L49" s="282"/>
      <c r="M49" s="282"/>
      <c r="N49" s="282"/>
      <c r="O49" s="282"/>
      <c r="P49" s="281"/>
      <c r="Q49" s="281"/>
      <c r="R49" s="282"/>
      <c r="S49" s="282"/>
      <c r="T49" s="282"/>
      <c r="U49" s="282"/>
      <c r="V49" s="282"/>
      <c r="W49" s="281"/>
      <c r="X49" s="281"/>
      <c r="Y49" s="282"/>
      <c r="Z49" s="282"/>
      <c r="AA49" s="282"/>
      <c r="AB49" s="282"/>
      <c r="AC49" s="282"/>
      <c r="AD49" s="281"/>
      <c r="AE49" s="281"/>
      <c r="AF49" s="282"/>
      <c r="AG49" s="282"/>
      <c r="AH49" s="282"/>
      <c r="AI49" s="282"/>
      <c r="AJ49" s="282"/>
      <c r="AK49" s="281"/>
      <c r="AL49" s="281"/>
      <c r="AM49" s="282"/>
      <c r="AN49" s="282"/>
      <c r="AO49" s="282"/>
      <c r="AP49" s="282"/>
      <c r="AQ49" s="282"/>
      <c r="AR49" s="281"/>
      <c r="AS49" s="281"/>
      <c r="AT49" s="282"/>
      <c r="AU49" s="282"/>
      <c r="AV49" s="282"/>
      <c r="AW49" s="282"/>
      <c r="AX49" s="282"/>
      <c r="AY49" s="281"/>
      <c r="AZ49" s="281"/>
      <c r="BA49" s="282"/>
      <c r="BB49" s="282"/>
      <c r="BC49" s="282"/>
      <c r="BD49" s="282"/>
      <c r="BE49" s="282"/>
      <c r="BF49" s="281"/>
      <c r="BG49" s="281"/>
      <c r="BH49" s="282"/>
      <c r="BI49" s="282"/>
      <c r="BJ49" s="282"/>
      <c r="BK49" s="282"/>
      <c r="BL49" s="282"/>
      <c r="BM49" s="281"/>
      <c r="BN49" s="281"/>
      <c r="BO49" s="282"/>
      <c r="BP49" s="282"/>
      <c r="BQ49" s="282"/>
      <c r="BR49" s="282"/>
      <c r="BS49" s="282"/>
      <c r="BT49" s="281"/>
      <c r="BU49" s="281"/>
      <c r="BV49" s="282"/>
      <c r="BW49" s="282"/>
      <c r="BX49" s="282"/>
      <c r="BY49" s="282"/>
      <c r="BZ49" s="282"/>
      <c r="CA49" s="281"/>
      <c r="CB49" s="281"/>
      <c r="CC49" s="282"/>
      <c r="CD49" s="282"/>
      <c r="CE49" s="282"/>
      <c r="CF49" s="282"/>
      <c r="CG49" s="282"/>
      <c r="CH49" s="281"/>
      <c r="CI49" s="281"/>
      <c r="CJ49" s="282"/>
      <c r="CK49" s="282"/>
      <c r="CL49" s="282"/>
      <c r="CM49" s="282"/>
      <c r="CN49" s="282"/>
      <c r="CO49" s="281"/>
      <c r="CP49" s="281"/>
      <c r="CQ49" s="282"/>
      <c r="CR49" s="282"/>
      <c r="CS49" s="282"/>
      <c r="CT49" s="282"/>
      <c r="CU49" s="282"/>
      <c r="CV49" s="281"/>
      <c r="CW49" s="281"/>
      <c r="CX49" s="282"/>
      <c r="CY49" s="282"/>
      <c r="CZ49" s="282"/>
      <c r="DA49" s="282"/>
      <c r="DB49" s="282"/>
      <c r="DC49" s="281"/>
      <c r="DD49" s="281"/>
      <c r="DE49" s="282"/>
      <c r="DF49" s="282"/>
      <c r="DG49" s="282"/>
      <c r="DH49" s="282"/>
      <c r="DI49" s="282"/>
      <c r="DJ49" s="281"/>
      <c r="DK49" s="281"/>
      <c r="DL49" s="282"/>
      <c r="DM49" s="282"/>
      <c r="DN49" s="282"/>
      <c r="DO49" s="282"/>
      <c r="DP49" s="282"/>
      <c r="DQ49" s="281"/>
      <c r="DR49" s="281"/>
    </row>
    <row r="50" spans="1:139" s="263" customFormat="1" x14ac:dyDescent="0.25">
      <c r="A50" s="211"/>
      <c r="B50" s="290" t="s">
        <v>519</v>
      </c>
      <c r="C50" s="284"/>
      <c r="D50" s="282"/>
      <c r="E50" s="282"/>
      <c r="F50" s="282"/>
      <c r="G50" s="282"/>
      <c r="H50" s="282"/>
      <c r="I50" s="281"/>
      <c r="J50" s="281"/>
      <c r="K50" s="282"/>
      <c r="L50" s="282"/>
      <c r="M50" s="282"/>
      <c r="N50" s="282"/>
      <c r="O50" s="282"/>
      <c r="P50" s="281"/>
      <c r="Q50" s="281"/>
      <c r="R50" s="282"/>
      <c r="S50" s="282"/>
      <c r="T50" s="282"/>
      <c r="U50" s="282"/>
      <c r="V50" s="282"/>
      <c r="W50" s="281"/>
      <c r="X50" s="281"/>
      <c r="Y50" s="282"/>
      <c r="Z50" s="282"/>
      <c r="AA50" s="282"/>
      <c r="AB50" s="282"/>
      <c r="AC50" s="282"/>
      <c r="AD50" s="281"/>
      <c r="AE50" s="281"/>
      <c r="AF50" s="282"/>
      <c r="AG50" s="282"/>
      <c r="AH50" s="282"/>
      <c r="AI50" s="282"/>
      <c r="AJ50" s="282"/>
      <c r="AK50" s="281"/>
      <c r="AL50" s="281"/>
      <c r="AM50" s="282"/>
      <c r="AN50" s="282"/>
      <c r="AO50" s="282"/>
      <c r="AP50" s="282"/>
      <c r="AQ50" s="282"/>
      <c r="AR50" s="281"/>
      <c r="AS50" s="281"/>
      <c r="AT50" s="282"/>
      <c r="AU50" s="282"/>
      <c r="AV50" s="282"/>
      <c r="AW50" s="282"/>
      <c r="AX50" s="282"/>
      <c r="AY50" s="281"/>
      <c r="AZ50" s="281"/>
      <c r="BA50" s="282"/>
      <c r="BB50" s="282"/>
      <c r="BC50" s="282"/>
      <c r="BD50" s="282"/>
      <c r="BE50" s="282"/>
      <c r="BF50" s="281"/>
      <c r="BG50" s="281"/>
      <c r="BH50" s="282"/>
      <c r="BI50" s="282"/>
      <c r="BJ50" s="282"/>
      <c r="BK50" s="282"/>
      <c r="BL50" s="282"/>
      <c r="BM50" s="281"/>
      <c r="BN50" s="281"/>
      <c r="BO50" s="282"/>
      <c r="BP50" s="282"/>
      <c r="BQ50" s="282"/>
      <c r="BR50" s="282"/>
      <c r="BS50" s="282"/>
      <c r="BT50" s="281"/>
      <c r="BU50" s="281"/>
      <c r="BV50" s="282"/>
      <c r="BW50" s="282"/>
      <c r="BX50" s="282"/>
      <c r="BY50" s="282"/>
      <c r="BZ50" s="282"/>
      <c r="CA50" s="281"/>
      <c r="CB50" s="281"/>
      <c r="CC50" s="282"/>
      <c r="CD50" s="282"/>
      <c r="CE50" s="282"/>
      <c r="CF50" s="282"/>
      <c r="CG50" s="282"/>
      <c r="CH50" s="281"/>
      <c r="CI50" s="281"/>
      <c r="CJ50" s="282"/>
      <c r="CK50" s="282"/>
      <c r="CL50" s="282"/>
      <c r="CM50" s="282"/>
      <c r="CN50" s="282"/>
      <c r="CO50" s="281"/>
      <c r="CP50" s="281"/>
      <c r="CQ50" s="282"/>
      <c r="CR50" s="282"/>
      <c r="CS50" s="282"/>
      <c r="CT50" s="282"/>
      <c r="CU50" s="282"/>
      <c r="CV50" s="281"/>
      <c r="CW50" s="281"/>
      <c r="CX50" s="282"/>
      <c r="CY50" s="282"/>
      <c r="CZ50" s="282"/>
      <c r="DA50" s="282"/>
      <c r="DB50" s="282"/>
      <c r="DC50" s="281"/>
      <c r="DD50" s="281"/>
      <c r="DE50" s="282"/>
      <c r="DF50" s="282"/>
      <c r="DG50" s="282"/>
      <c r="DH50" s="282"/>
      <c r="DI50" s="282"/>
      <c r="DJ50" s="281"/>
      <c r="DK50" s="281"/>
      <c r="DL50" s="282"/>
      <c r="DM50" s="282"/>
      <c r="DN50" s="282"/>
      <c r="DO50" s="282"/>
      <c r="DP50" s="282"/>
      <c r="DQ50" s="281"/>
      <c r="DR50" s="281"/>
    </row>
    <row r="51" spans="1:139" s="263" customFormat="1" x14ac:dyDescent="0.25">
      <c r="A51" s="211"/>
      <c r="B51" s="291" t="s">
        <v>520</v>
      </c>
      <c r="C51" s="284"/>
      <c r="D51" s="282"/>
      <c r="E51" s="282"/>
      <c r="F51" s="282"/>
      <c r="G51" s="282"/>
      <c r="H51" s="282"/>
      <c r="I51" s="281"/>
      <c r="J51" s="281"/>
      <c r="K51" s="282"/>
      <c r="L51" s="282"/>
      <c r="M51" s="282"/>
      <c r="N51" s="282"/>
      <c r="O51" s="282"/>
      <c r="P51" s="281"/>
      <c r="Q51" s="281"/>
      <c r="R51" s="282"/>
      <c r="S51" s="282"/>
      <c r="T51" s="282"/>
      <c r="U51" s="282"/>
      <c r="V51" s="282"/>
      <c r="W51" s="281"/>
      <c r="X51" s="281"/>
      <c r="Y51" s="282"/>
      <c r="Z51" s="282"/>
      <c r="AA51" s="282"/>
      <c r="AB51" s="282"/>
      <c r="AC51" s="282"/>
      <c r="AD51" s="281"/>
      <c r="AE51" s="281"/>
      <c r="AF51" s="282"/>
      <c r="AG51" s="282"/>
      <c r="AH51" s="282"/>
      <c r="AI51" s="282"/>
      <c r="AJ51" s="282"/>
      <c r="AK51" s="281"/>
      <c r="AL51" s="281"/>
      <c r="AM51" s="282"/>
      <c r="AN51" s="282"/>
      <c r="AO51" s="282"/>
      <c r="AP51" s="282"/>
      <c r="AQ51" s="282"/>
      <c r="AR51" s="281"/>
      <c r="AS51" s="281"/>
      <c r="AT51" s="282"/>
      <c r="AU51" s="282"/>
      <c r="AV51" s="282"/>
      <c r="AW51" s="282"/>
      <c r="AX51" s="282"/>
      <c r="AY51" s="281"/>
      <c r="AZ51" s="281"/>
      <c r="BA51" s="282"/>
      <c r="BB51" s="282"/>
      <c r="BC51" s="282"/>
      <c r="BD51" s="282"/>
      <c r="BE51" s="282"/>
      <c r="BF51" s="281"/>
      <c r="BG51" s="281"/>
      <c r="BH51" s="282"/>
      <c r="BI51" s="282"/>
      <c r="BJ51" s="282"/>
      <c r="BK51" s="282"/>
      <c r="BL51" s="282"/>
      <c r="BM51" s="281"/>
      <c r="BN51" s="281"/>
      <c r="BO51" s="282"/>
      <c r="BP51" s="282"/>
      <c r="BQ51" s="282"/>
      <c r="BR51" s="282"/>
      <c r="BS51" s="282"/>
      <c r="BT51" s="281"/>
      <c r="BU51" s="281"/>
      <c r="BV51" s="282"/>
      <c r="BW51" s="282"/>
      <c r="BX51" s="282"/>
      <c r="BY51" s="282"/>
      <c r="BZ51" s="282"/>
      <c r="CA51" s="281"/>
      <c r="CB51" s="281"/>
      <c r="CC51" s="282"/>
      <c r="CD51" s="282"/>
      <c r="CE51" s="282"/>
      <c r="CF51" s="282"/>
      <c r="CG51" s="282"/>
      <c r="CH51" s="281"/>
      <c r="CI51" s="281"/>
      <c r="CJ51" s="282"/>
      <c r="CK51" s="282"/>
      <c r="CL51" s="282"/>
      <c r="CM51" s="282"/>
      <c r="CN51" s="282"/>
      <c r="CO51" s="281"/>
      <c r="CP51" s="281"/>
      <c r="CQ51" s="282"/>
      <c r="CR51" s="282"/>
      <c r="CS51" s="282"/>
      <c r="CT51" s="282"/>
      <c r="CU51" s="282"/>
      <c r="CV51" s="281"/>
      <c r="CW51" s="281"/>
      <c r="CX51" s="282"/>
      <c r="CY51" s="282"/>
      <c r="CZ51" s="282"/>
      <c r="DA51" s="282"/>
      <c r="DB51" s="282"/>
      <c r="DC51" s="281"/>
      <c r="DD51" s="281"/>
      <c r="DE51" s="282"/>
      <c r="DF51" s="282"/>
      <c r="DG51" s="282"/>
      <c r="DH51" s="282"/>
      <c r="DI51" s="282"/>
      <c r="DJ51" s="281"/>
      <c r="DK51" s="281"/>
      <c r="DL51" s="282"/>
      <c r="DM51" s="282"/>
      <c r="DN51" s="282"/>
      <c r="DO51" s="282"/>
      <c r="DP51" s="282"/>
      <c r="DQ51" s="281"/>
      <c r="DR51" s="281"/>
    </row>
    <row r="52" spans="1:139" s="263" customFormat="1" x14ac:dyDescent="0.25">
      <c r="A52" s="211"/>
      <c r="B52" s="292" t="s">
        <v>521</v>
      </c>
      <c r="C52" s="287">
        <f>SUM(D37:CV37)</f>
        <v>0</v>
      </c>
      <c r="D52" s="282"/>
      <c r="E52" s="282"/>
      <c r="F52" s="282"/>
      <c r="G52" s="282"/>
      <c r="H52" s="282"/>
      <c r="I52" s="281"/>
      <c r="J52" s="281"/>
      <c r="K52" s="282"/>
      <c r="L52" s="282"/>
      <c r="M52" s="282"/>
      <c r="N52" s="282"/>
      <c r="O52" s="282"/>
      <c r="P52" s="281"/>
      <c r="Q52" s="281"/>
      <c r="R52" s="282"/>
      <c r="S52" s="282"/>
      <c r="T52" s="282"/>
      <c r="U52" s="282"/>
      <c r="V52" s="282"/>
      <c r="W52" s="281"/>
      <c r="X52" s="281"/>
      <c r="Y52" s="282"/>
      <c r="Z52" s="282"/>
      <c r="AA52" s="282"/>
      <c r="AB52" s="282"/>
      <c r="AC52" s="282"/>
      <c r="AD52" s="281"/>
      <c r="AE52" s="281"/>
      <c r="AF52" s="282"/>
      <c r="AG52" s="282"/>
      <c r="AH52" s="282"/>
      <c r="AI52" s="282"/>
      <c r="AJ52" s="282"/>
      <c r="AK52" s="281"/>
      <c r="AL52" s="281"/>
      <c r="AM52" s="282"/>
      <c r="AN52" s="282"/>
      <c r="AO52" s="282"/>
      <c r="AP52" s="282"/>
      <c r="AQ52" s="282"/>
      <c r="AR52" s="281"/>
      <c r="AS52" s="281"/>
      <c r="AT52" s="282"/>
      <c r="AU52" s="282"/>
      <c r="AV52" s="282"/>
      <c r="AW52" s="282"/>
      <c r="AX52" s="282"/>
      <c r="AY52" s="281"/>
      <c r="AZ52" s="281"/>
      <c r="BA52" s="282"/>
      <c r="BB52" s="282"/>
      <c r="BC52" s="282"/>
      <c r="BD52" s="282"/>
      <c r="BE52" s="282"/>
      <c r="BF52" s="281"/>
      <c r="BG52" s="281"/>
      <c r="BH52" s="282"/>
      <c r="BI52" s="282"/>
      <c r="BJ52" s="282"/>
      <c r="BK52" s="282"/>
      <c r="BL52" s="282"/>
      <c r="BM52" s="281"/>
      <c r="BN52" s="281"/>
      <c r="BO52" s="282"/>
      <c r="BP52" s="282"/>
      <c r="BQ52" s="282"/>
      <c r="BR52" s="282"/>
      <c r="BS52" s="282"/>
      <c r="BT52" s="281"/>
      <c r="BU52" s="281"/>
      <c r="BV52" s="282"/>
      <c r="BW52" s="282"/>
      <c r="BX52" s="282"/>
      <c r="BY52" s="282"/>
      <c r="BZ52" s="282"/>
      <c r="CA52" s="281"/>
      <c r="CB52" s="281"/>
      <c r="CC52" s="282"/>
      <c r="CD52" s="282"/>
      <c r="CE52" s="282"/>
      <c r="CF52" s="282"/>
      <c r="CG52" s="282"/>
      <c r="CH52" s="281"/>
      <c r="CI52" s="281"/>
      <c r="CJ52" s="282"/>
      <c r="CK52" s="282"/>
      <c r="CL52" s="282"/>
      <c r="CM52" s="282"/>
      <c r="CN52" s="282"/>
      <c r="CO52" s="281"/>
      <c r="CP52" s="281"/>
      <c r="CQ52" s="282"/>
      <c r="CR52" s="282"/>
      <c r="CS52" s="282"/>
      <c r="CT52" s="282"/>
      <c r="CU52" s="282"/>
      <c r="CV52" s="281"/>
      <c r="CW52" s="281"/>
      <c r="CX52" s="282"/>
      <c r="CY52" s="282"/>
      <c r="CZ52" s="282"/>
      <c r="DA52" s="282"/>
      <c r="DB52" s="282"/>
      <c r="DC52" s="281"/>
      <c r="DD52" s="281"/>
      <c r="DE52" s="282"/>
      <c r="DF52" s="282"/>
      <c r="DG52" s="282"/>
      <c r="DH52" s="282"/>
      <c r="DI52" s="282"/>
      <c r="DJ52" s="281"/>
      <c r="DK52" s="281"/>
      <c r="DL52" s="282"/>
      <c r="DM52" s="282"/>
      <c r="DN52" s="282"/>
      <c r="DO52" s="282"/>
      <c r="DP52" s="282"/>
      <c r="DQ52" s="281"/>
      <c r="DR52" s="281"/>
    </row>
    <row r="53" spans="1:139" s="263" customFormat="1" x14ac:dyDescent="0.25">
      <c r="A53" s="211"/>
      <c r="B53" s="293" t="s">
        <v>522</v>
      </c>
      <c r="C53" s="287">
        <f>SUM(D38:CV38)</f>
        <v>0</v>
      </c>
      <c r="D53" s="282"/>
      <c r="E53" s="282"/>
      <c r="F53" s="282"/>
      <c r="G53" s="282"/>
      <c r="H53" s="282"/>
      <c r="I53" s="281"/>
      <c r="J53" s="281"/>
      <c r="K53" s="282"/>
      <c r="L53" s="282"/>
      <c r="M53" s="282"/>
      <c r="N53" s="282"/>
      <c r="O53" s="282"/>
      <c r="P53" s="281"/>
      <c r="Q53" s="281"/>
      <c r="R53" s="282"/>
      <c r="S53" s="282"/>
      <c r="T53" s="282"/>
      <c r="U53" s="282"/>
      <c r="V53" s="282"/>
      <c r="W53" s="281"/>
      <c r="X53" s="281"/>
      <c r="Y53" s="282"/>
      <c r="Z53" s="282"/>
      <c r="AA53" s="282"/>
      <c r="AB53" s="282"/>
      <c r="AC53" s="282"/>
      <c r="AD53" s="281"/>
      <c r="AE53" s="281"/>
      <c r="AF53" s="282"/>
      <c r="AG53" s="282"/>
      <c r="AH53" s="282"/>
      <c r="AI53" s="282"/>
      <c r="AJ53" s="282"/>
      <c r="AK53" s="281"/>
      <c r="AL53" s="281"/>
      <c r="AM53" s="282"/>
      <c r="AN53" s="282"/>
      <c r="AO53" s="282"/>
      <c r="AP53" s="282"/>
      <c r="AQ53" s="282"/>
      <c r="AR53" s="281"/>
      <c r="AS53" s="281"/>
      <c r="AT53" s="282"/>
      <c r="AU53" s="282"/>
      <c r="AV53" s="282"/>
      <c r="AW53" s="282"/>
      <c r="AX53" s="282"/>
      <c r="AY53" s="281"/>
      <c r="AZ53" s="281"/>
      <c r="BA53" s="282"/>
      <c r="BB53" s="282"/>
      <c r="BC53" s="282"/>
      <c r="BD53" s="282"/>
      <c r="BE53" s="282"/>
      <c r="BF53" s="281"/>
      <c r="BG53" s="281"/>
      <c r="BH53" s="282"/>
      <c r="BI53" s="282"/>
      <c r="BJ53" s="282"/>
      <c r="BK53" s="282"/>
      <c r="BL53" s="282"/>
      <c r="BM53" s="281"/>
      <c r="BN53" s="281"/>
      <c r="BO53" s="282"/>
      <c r="BP53" s="282"/>
      <c r="BQ53" s="282"/>
      <c r="BR53" s="282"/>
      <c r="BS53" s="282"/>
      <c r="BT53" s="281"/>
      <c r="BU53" s="281"/>
      <c r="BV53" s="282"/>
      <c r="BW53" s="282"/>
      <c r="BX53" s="282"/>
      <c r="BY53" s="282"/>
      <c r="BZ53" s="282"/>
      <c r="CA53" s="281"/>
      <c r="CB53" s="281"/>
      <c r="CC53" s="282"/>
      <c r="CD53" s="282"/>
      <c r="CE53" s="282"/>
      <c r="CF53" s="282"/>
      <c r="CG53" s="282"/>
      <c r="CH53" s="281"/>
      <c r="CI53" s="281"/>
      <c r="CJ53" s="282"/>
      <c r="CK53" s="282"/>
      <c r="CL53" s="282"/>
      <c r="CM53" s="282"/>
      <c r="CN53" s="282"/>
      <c r="CO53" s="281"/>
      <c r="CP53" s="281"/>
      <c r="CQ53" s="282"/>
      <c r="CR53" s="282"/>
      <c r="CS53" s="282"/>
      <c r="CT53" s="282"/>
      <c r="CU53" s="282"/>
      <c r="CV53" s="281"/>
      <c r="CW53" s="281"/>
      <c r="CX53" s="282"/>
      <c r="CY53" s="282"/>
      <c r="CZ53" s="282"/>
      <c r="DA53" s="282"/>
      <c r="DB53" s="282"/>
      <c r="DC53" s="281"/>
      <c r="DD53" s="281"/>
      <c r="DE53" s="282"/>
      <c r="DF53" s="282"/>
      <c r="DG53" s="282"/>
      <c r="DH53" s="282"/>
      <c r="DI53" s="282"/>
      <c r="DJ53" s="281"/>
      <c r="DK53" s="281"/>
      <c r="DL53" s="282"/>
      <c r="DM53" s="282"/>
      <c r="DN53" s="282"/>
      <c r="DO53" s="282"/>
      <c r="DP53" s="282"/>
      <c r="DQ53" s="281"/>
      <c r="DR53" s="281"/>
    </row>
    <row r="54" spans="1:139" s="263" customFormat="1" x14ac:dyDescent="0.25">
      <c r="A54" s="211"/>
      <c r="B54" s="293" t="s">
        <v>523</v>
      </c>
      <c r="C54" s="284"/>
      <c r="D54" s="282"/>
      <c r="E54" s="282"/>
      <c r="F54" s="282"/>
      <c r="G54" s="282"/>
      <c r="H54" s="282"/>
      <c r="I54" s="281"/>
      <c r="J54" s="281"/>
      <c r="K54" s="282"/>
      <c r="L54" s="282"/>
      <c r="M54" s="282"/>
      <c r="N54" s="282"/>
      <c r="O54" s="282"/>
      <c r="P54" s="281"/>
      <c r="Q54" s="281"/>
      <c r="R54" s="282"/>
      <c r="S54" s="282"/>
      <c r="T54" s="282"/>
      <c r="U54" s="282"/>
      <c r="V54" s="282"/>
      <c r="W54" s="281"/>
      <c r="X54" s="281"/>
      <c r="Y54" s="282"/>
      <c r="Z54" s="282"/>
      <c r="AA54" s="282"/>
      <c r="AB54" s="282"/>
      <c r="AC54" s="282"/>
      <c r="AD54" s="281"/>
      <c r="AE54" s="281"/>
      <c r="AF54" s="282"/>
      <c r="AG54" s="282"/>
      <c r="AH54" s="282"/>
      <c r="AI54" s="282"/>
      <c r="AJ54" s="282"/>
      <c r="AK54" s="281"/>
      <c r="AL54" s="281"/>
      <c r="AM54" s="282"/>
      <c r="AN54" s="282"/>
      <c r="AO54" s="282"/>
      <c r="AP54" s="282"/>
      <c r="AQ54" s="282"/>
      <c r="AR54" s="281"/>
      <c r="AS54" s="281"/>
      <c r="AT54" s="282"/>
      <c r="AU54" s="282"/>
      <c r="AV54" s="282"/>
      <c r="AW54" s="282"/>
      <c r="AX54" s="282"/>
      <c r="AY54" s="281"/>
      <c r="AZ54" s="281"/>
      <c r="BA54" s="282"/>
      <c r="BB54" s="282"/>
      <c r="BC54" s="282"/>
      <c r="BD54" s="282"/>
      <c r="BE54" s="282"/>
      <c r="BF54" s="281"/>
      <c r="BG54" s="281"/>
      <c r="BH54" s="282"/>
      <c r="BI54" s="282"/>
      <c r="BJ54" s="282"/>
      <c r="BK54" s="282"/>
      <c r="BL54" s="282"/>
      <c r="BM54" s="281"/>
      <c r="BN54" s="281"/>
      <c r="BO54" s="282"/>
      <c r="BP54" s="282"/>
      <c r="BQ54" s="282"/>
      <c r="BR54" s="282"/>
      <c r="BS54" s="282"/>
      <c r="BT54" s="281"/>
      <c r="BU54" s="281"/>
      <c r="BV54" s="282"/>
      <c r="BW54" s="282"/>
      <c r="BX54" s="282"/>
      <c r="BY54" s="282"/>
      <c r="BZ54" s="282"/>
      <c r="CA54" s="281"/>
      <c r="CB54" s="281"/>
      <c r="CC54" s="282"/>
      <c r="CD54" s="282"/>
      <c r="CE54" s="282"/>
      <c r="CF54" s="282"/>
      <c r="CG54" s="282"/>
      <c r="CH54" s="281"/>
      <c r="CI54" s="281"/>
      <c r="CJ54" s="282"/>
      <c r="CK54" s="282"/>
      <c r="CL54" s="282"/>
      <c r="CM54" s="282"/>
      <c r="CN54" s="282"/>
      <c r="CO54" s="281"/>
      <c r="CP54" s="281"/>
      <c r="CQ54" s="282"/>
      <c r="CR54" s="282"/>
      <c r="CS54" s="282"/>
      <c r="CT54" s="282"/>
      <c r="CU54" s="282"/>
      <c r="CV54" s="281"/>
      <c r="CW54" s="281"/>
      <c r="CX54" s="282"/>
      <c r="CY54" s="282"/>
      <c r="CZ54" s="282"/>
      <c r="DA54" s="282"/>
      <c r="DB54" s="282"/>
      <c r="DC54" s="281"/>
      <c r="DD54" s="281"/>
      <c r="DE54" s="282"/>
      <c r="DF54" s="282"/>
      <c r="DG54" s="282"/>
      <c r="DH54" s="282"/>
      <c r="DI54" s="282"/>
      <c r="DJ54" s="281"/>
      <c r="DK54" s="281"/>
      <c r="DL54" s="282"/>
      <c r="DM54" s="282"/>
      <c r="DN54" s="282"/>
      <c r="DO54" s="282"/>
      <c r="DP54" s="282"/>
      <c r="DQ54" s="281"/>
      <c r="DR54" s="281"/>
    </row>
    <row r="55" spans="1:139" s="263" customFormat="1" x14ac:dyDescent="0.25">
      <c r="A55" s="211"/>
      <c r="B55" s="293" t="s">
        <v>524</v>
      </c>
      <c r="C55" s="284"/>
      <c r="D55" s="282"/>
      <c r="E55" s="282"/>
      <c r="F55" s="282"/>
      <c r="G55" s="282"/>
      <c r="H55" s="282"/>
      <c r="I55" s="281"/>
      <c r="J55" s="281"/>
      <c r="K55" s="282"/>
      <c r="L55" s="282"/>
      <c r="M55" s="282"/>
      <c r="N55" s="282"/>
      <c r="O55" s="282"/>
      <c r="P55" s="281"/>
      <c r="Q55" s="281"/>
      <c r="R55" s="282"/>
      <c r="S55" s="282"/>
      <c r="T55" s="282"/>
      <c r="U55" s="282"/>
      <c r="V55" s="282"/>
      <c r="W55" s="281"/>
      <c r="X55" s="281"/>
      <c r="Y55" s="282"/>
      <c r="Z55" s="282"/>
      <c r="AA55" s="282"/>
      <c r="AB55" s="282"/>
      <c r="AC55" s="282"/>
      <c r="AD55" s="281"/>
      <c r="AE55" s="281"/>
      <c r="AF55" s="282"/>
      <c r="AG55" s="282"/>
      <c r="AH55" s="282"/>
      <c r="AI55" s="282"/>
      <c r="AJ55" s="282"/>
      <c r="AK55" s="281"/>
      <c r="AL55" s="281"/>
      <c r="AM55" s="282"/>
      <c r="AN55" s="282"/>
      <c r="AO55" s="282"/>
      <c r="AP55" s="282"/>
      <c r="AQ55" s="282"/>
      <c r="AR55" s="281"/>
      <c r="AS55" s="281"/>
      <c r="AT55" s="282"/>
      <c r="AU55" s="282"/>
      <c r="AV55" s="282"/>
      <c r="AW55" s="282"/>
      <c r="AX55" s="282"/>
      <c r="AY55" s="281"/>
      <c r="AZ55" s="281"/>
      <c r="BA55" s="282"/>
      <c r="BB55" s="282"/>
      <c r="BC55" s="282"/>
      <c r="BD55" s="282"/>
      <c r="BE55" s="282"/>
      <c r="BF55" s="281"/>
      <c r="BG55" s="281"/>
      <c r="BH55" s="282"/>
      <c r="BI55" s="282"/>
      <c r="BJ55" s="282"/>
      <c r="BK55" s="282"/>
      <c r="BL55" s="282"/>
      <c r="BM55" s="281"/>
      <c r="BN55" s="281"/>
      <c r="BO55" s="282"/>
      <c r="BP55" s="282"/>
      <c r="BQ55" s="282"/>
      <c r="BR55" s="282"/>
      <c r="BS55" s="282"/>
      <c r="BT55" s="281"/>
      <c r="BU55" s="281"/>
      <c r="BV55" s="282"/>
      <c r="BW55" s="282"/>
      <c r="BX55" s="282"/>
      <c r="BY55" s="282"/>
      <c r="BZ55" s="282"/>
      <c r="CA55" s="281"/>
      <c r="CB55" s="281"/>
      <c r="CC55" s="282"/>
      <c r="CD55" s="282"/>
      <c r="CE55" s="282"/>
      <c r="CF55" s="282"/>
      <c r="CG55" s="282"/>
      <c r="CH55" s="281"/>
      <c r="CI55" s="281"/>
      <c r="CJ55" s="282"/>
      <c r="CK55" s="282"/>
      <c r="CL55" s="282"/>
      <c r="CM55" s="282"/>
      <c r="CN55" s="282"/>
      <c r="CO55" s="281"/>
      <c r="CP55" s="281"/>
      <c r="CQ55" s="282"/>
      <c r="CR55" s="282"/>
      <c r="CS55" s="282"/>
      <c r="CT55" s="282"/>
      <c r="CU55" s="282"/>
      <c r="CV55" s="281"/>
      <c r="CW55" s="281"/>
      <c r="CX55" s="282"/>
      <c r="CY55" s="282"/>
      <c r="CZ55" s="282"/>
      <c r="DA55" s="282"/>
      <c r="DB55" s="282"/>
      <c r="DC55" s="281"/>
      <c r="DD55" s="281"/>
      <c r="DE55" s="282"/>
      <c r="DF55" s="282"/>
      <c r="DG55" s="282"/>
      <c r="DH55" s="282"/>
      <c r="DI55" s="282"/>
      <c r="DJ55" s="281"/>
      <c r="DK55" s="281"/>
      <c r="DL55" s="282"/>
      <c r="DM55" s="282"/>
      <c r="DN55" s="282"/>
      <c r="DO55" s="282"/>
      <c r="DP55" s="282"/>
      <c r="DQ55" s="281"/>
      <c r="DR55" s="281"/>
    </row>
    <row r="56" spans="1:139" s="263" customFormat="1" x14ac:dyDescent="0.25">
      <c r="A56" s="211"/>
      <c r="B56" s="293" t="s">
        <v>525</v>
      </c>
      <c r="C56" s="284"/>
      <c r="D56" s="282"/>
      <c r="E56" s="282"/>
      <c r="F56" s="282"/>
      <c r="G56" s="282"/>
      <c r="H56" s="282"/>
      <c r="I56" s="281"/>
      <c r="J56" s="281"/>
      <c r="K56" s="282"/>
      <c r="L56" s="282"/>
      <c r="M56" s="282"/>
      <c r="N56" s="282"/>
      <c r="O56" s="282"/>
      <c r="P56" s="281"/>
      <c r="Q56" s="281"/>
      <c r="R56" s="282"/>
      <c r="S56" s="282"/>
      <c r="T56" s="282"/>
      <c r="U56" s="282"/>
      <c r="V56" s="282"/>
      <c r="W56" s="281"/>
      <c r="X56" s="281"/>
      <c r="Y56" s="282"/>
      <c r="Z56" s="282"/>
      <c r="AA56" s="282"/>
      <c r="AB56" s="282"/>
      <c r="AC56" s="282"/>
      <c r="AD56" s="281"/>
      <c r="AE56" s="281"/>
      <c r="AF56" s="282"/>
      <c r="AG56" s="282"/>
      <c r="AH56" s="282"/>
      <c r="AI56" s="282"/>
      <c r="AJ56" s="282"/>
      <c r="AK56" s="281"/>
      <c r="AL56" s="281"/>
      <c r="AM56" s="282"/>
      <c r="AN56" s="282"/>
      <c r="AO56" s="282"/>
      <c r="AP56" s="282"/>
      <c r="AQ56" s="282"/>
      <c r="AR56" s="281"/>
      <c r="AS56" s="281"/>
      <c r="AT56" s="282"/>
      <c r="AU56" s="282"/>
      <c r="AV56" s="282"/>
      <c r="AW56" s="282"/>
      <c r="AX56" s="282"/>
      <c r="AY56" s="281"/>
      <c r="AZ56" s="281"/>
      <c r="BA56" s="282"/>
      <c r="BB56" s="282"/>
      <c r="BC56" s="282"/>
      <c r="BD56" s="282"/>
      <c r="BE56" s="282"/>
      <c r="BF56" s="281"/>
      <c r="BG56" s="281"/>
      <c r="BH56" s="282"/>
      <c r="BI56" s="282"/>
      <c r="BJ56" s="282"/>
      <c r="BK56" s="282"/>
      <c r="BL56" s="282"/>
      <c r="BM56" s="281"/>
      <c r="BN56" s="281"/>
      <c r="BO56" s="282"/>
      <c r="BP56" s="282"/>
      <c r="BQ56" s="282"/>
      <c r="BR56" s="282"/>
      <c r="BS56" s="282"/>
      <c r="BT56" s="281"/>
      <c r="BU56" s="281"/>
      <c r="BV56" s="282"/>
      <c r="BW56" s="282"/>
      <c r="BX56" s="282"/>
      <c r="BY56" s="282"/>
      <c r="BZ56" s="282"/>
      <c r="CA56" s="281"/>
      <c r="CB56" s="281"/>
      <c r="CC56" s="282"/>
      <c r="CD56" s="282"/>
      <c r="CE56" s="282"/>
      <c r="CF56" s="282"/>
      <c r="CG56" s="282"/>
      <c r="CH56" s="281"/>
      <c r="CI56" s="281"/>
      <c r="CJ56" s="282"/>
      <c r="CK56" s="282"/>
      <c r="CL56" s="282"/>
      <c r="CM56" s="282"/>
      <c r="CN56" s="282"/>
      <c r="CO56" s="281"/>
      <c r="CP56" s="281"/>
      <c r="CQ56" s="282"/>
      <c r="CR56" s="282"/>
      <c r="CS56" s="282"/>
      <c r="CT56" s="282"/>
      <c r="CU56" s="282"/>
      <c r="CV56" s="281"/>
      <c r="CW56" s="281"/>
      <c r="CX56" s="282"/>
      <c r="CY56" s="282"/>
      <c r="CZ56" s="282"/>
      <c r="DA56" s="282"/>
      <c r="DB56" s="282"/>
      <c r="DC56" s="281"/>
      <c r="DD56" s="281"/>
      <c r="DE56" s="282"/>
      <c r="DF56" s="282"/>
      <c r="DG56" s="282"/>
      <c r="DH56" s="282"/>
      <c r="DI56" s="282"/>
      <c r="DJ56" s="281"/>
      <c r="DK56" s="281"/>
      <c r="DL56" s="282"/>
      <c r="DM56" s="282"/>
      <c r="DN56" s="282"/>
      <c r="DO56" s="282"/>
      <c r="DP56" s="282"/>
      <c r="DQ56" s="281"/>
      <c r="DR56" s="281"/>
    </row>
    <row r="57" spans="1:139" s="263" customFormat="1" x14ac:dyDescent="0.25">
      <c r="A57" s="211"/>
      <c r="B57" s="293" t="s">
        <v>526</v>
      </c>
      <c r="C57" s="284"/>
      <c r="D57" s="282"/>
      <c r="E57" s="282"/>
      <c r="F57" s="282"/>
      <c r="G57" s="282"/>
      <c r="H57" s="282"/>
      <c r="I57" s="281"/>
      <c r="J57" s="281"/>
      <c r="K57" s="282"/>
      <c r="L57" s="282"/>
      <c r="M57" s="282"/>
      <c r="N57" s="282"/>
      <c r="O57" s="282"/>
      <c r="P57" s="281"/>
      <c r="Q57" s="281"/>
      <c r="R57" s="282"/>
      <c r="S57" s="282"/>
      <c r="T57" s="282"/>
      <c r="U57" s="282"/>
      <c r="V57" s="282"/>
      <c r="W57" s="281"/>
      <c r="X57" s="281"/>
      <c r="Y57" s="282"/>
      <c r="Z57" s="282"/>
      <c r="AA57" s="282"/>
      <c r="AB57" s="282"/>
      <c r="AC57" s="282"/>
      <c r="AD57" s="281"/>
      <c r="AE57" s="281"/>
      <c r="AF57" s="282"/>
      <c r="AG57" s="282"/>
      <c r="AH57" s="282"/>
      <c r="AI57" s="282"/>
      <c r="AJ57" s="282"/>
      <c r="AK57" s="281"/>
      <c r="AL57" s="281"/>
      <c r="AM57" s="282"/>
      <c r="AN57" s="282"/>
      <c r="AO57" s="282"/>
      <c r="AP57" s="282"/>
      <c r="AQ57" s="282"/>
      <c r="AR57" s="281"/>
      <c r="AS57" s="281"/>
      <c r="AT57" s="282"/>
      <c r="AU57" s="282"/>
      <c r="AV57" s="282"/>
      <c r="AW57" s="282"/>
      <c r="AX57" s="282"/>
      <c r="AY57" s="281"/>
      <c r="AZ57" s="281"/>
      <c r="BA57" s="282"/>
      <c r="BB57" s="282"/>
      <c r="BC57" s="282"/>
      <c r="BD57" s="282"/>
      <c r="BE57" s="282"/>
      <c r="BF57" s="281"/>
      <c r="BG57" s="281"/>
      <c r="BH57" s="282"/>
      <c r="BI57" s="282"/>
      <c r="BJ57" s="282"/>
      <c r="BK57" s="282"/>
      <c r="BL57" s="282"/>
      <c r="BM57" s="281"/>
      <c r="BN57" s="281"/>
      <c r="BO57" s="282"/>
      <c r="BP57" s="282"/>
      <c r="BQ57" s="282"/>
      <c r="BR57" s="282"/>
      <c r="BS57" s="282"/>
      <c r="BT57" s="281"/>
      <c r="BU57" s="281"/>
      <c r="BV57" s="282"/>
      <c r="BW57" s="282"/>
      <c r="BX57" s="282"/>
      <c r="BY57" s="282"/>
      <c r="BZ57" s="282"/>
      <c r="CA57" s="281"/>
      <c r="CB57" s="281"/>
      <c r="CC57" s="282"/>
      <c r="CD57" s="282"/>
      <c r="CE57" s="282"/>
      <c r="CF57" s="282"/>
      <c r="CG57" s="282"/>
      <c r="CH57" s="281"/>
      <c r="CI57" s="281"/>
      <c r="CJ57" s="282"/>
      <c r="CK57" s="282"/>
      <c r="CL57" s="282"/>
      <c r="CM57" s="282"/>
      <c r="CN57" s="282"/>
      <c r="CO57" s="281"/>
      <c r="CP57" s="281"/>
      <c r="CQ57" s="282"/>
      <c r="CR57" s="282"/>
      <c r="CS57" s="282"/>
      <c r="CT57" s="282"/>
      <c r="CU57" s="282"/>
      <c r="CV57" s="281"/>
      <c r="CW57" s="281"/>
      <c r="CX57" s="282"/>
      <c r="CY57" s="282"/>
      <c r="CZ57" s="282"/>
      <c r="DA57" s="282"/>
      <c r="DB57" s="282"/>
      <c r="DC57" s="281"/>
      <c r="DD57" s="281"/>
      <c r="DE57" s="282"/>
      <c r="DF57" s="282"/>
      <c r="DG57" s="282"/>
      <c r="DH57" s="282"/>
      <c r="DI57" s="282"/>
      <c r="DJ57" s="281"/>
      <c r="DK57" s="281"/>
      <c r="DL57" s="282"/>
      <c r="DM57" s="282"/>
      <c r="DN57" s="282"/>
      <c r="DO57" s="282"/>
      <c r="DP57" s="282"/>
      <c r="DQ57" s="281"/>
      <c r="DR57" s="281"/>
    </row>
    <row r="58" spans="1:139" s="263" customFormat="1" x14ac:dyDescent="0.25">
      <c r="A58" s="211"/>
      <c r="B58" s="293" t="s">
        <v>527</v>
      </c>
      <c r="C58" s="284"/>
      <c r="D58" s="282"/>
      <c r="E58" s="282"/>
      <c r="F58" s="282"/>
      <c r="G58" s="282"/>
      <c r="H58" s="282"/>
      <c r="I58" s="281"/>
      <c r="J58" s="281"/>
      <c r="K58" s="282"/>
      <c r="L58" s="282"/>
      <c r="M58" s="282"/>
      <c r="N58" s="282"/>
      <c r="O58" s="282"/>
      <c r="P58" s="281"/>
      <c r="Q58" s="281"/>
      <c r="R58" s="282"/>
      <c r="S58" s="282"/>
      <c r="T58" s="282"/>
      <c r="U58" s="282"/>
      <c r="V58" s="282"/>
      <c r="W58" s="281"/>
      <c r="X58" s="281"/>
      <c r="Y58" s="282"/>
      <c r="Z58" s="282"/>
      <c r="AA58" s="282"/>
      <c r="AB58" s="282"/>
      <c r="AC58" s="282"/>
      <c r="AD58" s="281"/>
      <c r="AE58" s="281"/>
      <c r="AF58" s="282"/>
      <c r="AG58" s="282"/>
      <c r="AH58" s="282"/>
      <c r="AI58" s="282"/>
      <c r="AJ58" s="282"/>
      <c r="AK58" s="281"/>
      <c r="AL58" s="281"/>
      <c r="AM58" s="282"/>
      <c r="AN58" s="282"/>
      <c r="AO58" s="282"/>
      <c r="AP58" s="282"/>
      <c r="AQ58" s="282"/>
      <c r="AR58" s="281"/>
      <c r="AS58" s="281"/>
      <c r="AT58" s="282"/>
      <c r="AU58" s="282"/>
      <c r="AV58" s="282"/>
      <c r="AW58" s="282"/>
      <c r="AX58" s="282"/>
      <c r="AY58" s="281"/>
      <c r="AZ58" s="281"/>
      <c r="BA58" s="282"/>
      <c r="BB58" s="282"/>
      <c r="BC58" s="282"/>
      <c r="BD58" s="282"/>
      <c r="BE58" s="282"/>
      <c r="BF58" s="281"/>
      <c r="BG58" s="281"/>
      <c r="BH58" s="282"/>
      <c r="BI58" s="282"/>
      <c r="BJ58" s="282"/>
      <c r="BK58" s="282"/>
      <c r="BL58" s="282"/>
      <c r="BM58" s="281"/>
      <c r="BN58" s="281"/>
      <c r="BO58" s="282"/>
      <c r="BP58" s="282"/>
      <c r="BQ58" s="282"/>
      <c r="BR58" s="282"/>
      <c r="BS58" s="282"/>
      <c r="BT58" s="281"/>
      <c r="BU58" s="281"/>
      <c r="BV58" s="282"/>
      <c r="BW58" s="282"/>
      <c r="BX58" s="282"/>
      <c r="BY58" s="282"/>
      <c r="BZ58" s="282"/>
      <c r="CA58" s="281"/>
      <c r="CB58" s="281"/>
      <c r="CC58" s="282"/>
      <c r="CD58" s="282"/>
      <c r="CE58" s="282"/>
      <c r="CF58" s="282"/>
      <c r="CG58" s="282"/>
      <c r="CH58" s="281"/>
      <c r="CI58" s="281"/>
      <c r="CJ58" s="282"/>
      <c r="CK58" s="282"/>
      <c r="CL58" s="282"/>
      <c r="CM58" s="282"/>
      <c r="CN58" s="282"/>
      <c r="CO58" s="281"/>
      <c r="CP58" s="281"/>
      <c r="CQ58" s="282"/>
      <c r="CR58" s="282"/>
      <c r="CS58" s="282"/>
      <c r="CT58" s="282"/>
      <c r="CU58" s="282"/>
      <c r="CV58" s="281"/>
      <c r="CW58" s="281"/>
      <c r="CX58" s="282"/>
      <c r="CY58" s="282"/>
      <c r="CZ58" s="282"/>
      <c r="DA58" s="282"/>
      <c r="DB58" s="282"/>
      <c r="DC58" s="281"/>
      <c r="DD58" s="281"/>
      <c r="DE58" s="282"/>
      <c r="DF58" s="282"/>
      <c r="DG58" s="282"/>
      <c r="DH58" s="282"/>
      <c r="DI58" s="282"/>
      <c r="DJ58" s="281"/>
      <c r="DK58" s="281"/>
      <c r="DL58" s="282"/>
      <c r="DM58" s="282"/>
      <c r="DN58" s="282"/>
      <c r="DO58" s="282"/>
      <c r="DP58" s="282"/>
      <c r="DQ58" s="281"/>
      <c r="DR58" s="281"/>
    </row>
    <row r="59" spans="1:139" ht="13.9" customHeight="1" x14ac:dyDescent="0.25"/>
    <row r="61" spans="1:139" s="263" customFormat="1" x14ac:dyDescent="0.25">
      <c r="A61" s="211"/>
      <c r="B61" s="283"/>
      <c r="C61" s="284"/>
      <c r="D61" s="211"/>
      <c r="E61" s="211"/>
      <c r="F61" s="211"/>
      <c r="G61" s="211"/>
      <c r="H61" s="211"/>
      <c r="K61" s="211"/>
      <c r="L61" s="211"/>
      <c r="M61" s="211"/>
      <c r="N61" s="211"/>
      <c r="O61" s="211"/>
      <c r="R61" s="211"/>
      <c r="S61" s="211"/>
      <c r="T61" s="211"/>
      <c r="U61" s="211"/>
      <c r="V61" s="211"/>
      <c r="Y61" s="211"/>
      <c r="Z61" s="211"/>
      <c r="AA61" s="211"/>
      <c r="AB61" s="211"/>
      <c r="AC61" s="211"/>
      <c r="AF61" s="211"/>
      <c r="AG61" s="211"/>
      <c r="AH61" s="211"/>
      <c r="AI61" s="211"/>
      <c r="AJ61" s="211"/>
      <c r="AM61" s="211"/>
      <c r="AN61" s="211"/>
      <c r="AO61" s="211"/>
      <c r="AP61" s="211"/>
      <c r="AQ61" s="211"/>
      <c r="AT61" s="211"/>
      <c r="AU61" s="211"/>
      <c r="AV61" s="211"/>
      <c r="AW61" s="211"/>
      <c r="AX61" s="211"/>
      <c r="BA61" s="211"/>
      <c r="BB61" s="211"/>
      <c r="BC61" s="211"/>
      <c r="BD61" s="211"/>
      <c r="BE61" s="211"/>
      <c r="BH61" s="211"/>
      <c r="BI61" s="211"/>
      <c r="BJ61" s="211"/>
      <c r="BK61" s="211"/>
      <c r="BL61" s="211"/>
      <c r="BO61" s="211"/>
      <c r="BP61" s="211"/>
      <c r="BQ61" s="211"/>
      <c r="BR61" s="211"/>
      <c r="BS61" s="211"/>
      <c r="BV61" s="211"/>
      <c r="BW61" s="211"/>
      <c r="BX61" s="211"/>
      <c r="BY61" s="211"/>
      <c r="BZ61" s="211"/>
      <c r="CC61" s="211"/>
      <c r="CD61" s="211"/>
      <c r="CE61" s="211"/>
      <c r="CF61" s="211"/>
      <c r="CG61" s="211"/>
      <c r="CJ61" s="211"/>
      <c r="CK61" s="211"/>
      <c r="CL61" s="211"/>
      <c r="CM61" s="211"/>
      <c r="CN61" s="211"/>
      <c r="CQ61" s="211"/>
      <c r="CR61" s="211"/>
      <c r="CS61" s="211"/>
      <c r="CT61" s="211"/>
      <c r="CU61" s="211"/>
      <c r="CX61" s="211"/>
      <c r="CY61" s="211"/>
      <c r="CZ61" s="211"/>
      <c r="DA61" s="211"/>
      <c r="DB61" s="211"/>
      <c r="DE61" s="211"/>
      <c r="DF61" s="211"/>
      <c r="DG61" s="211"/>
      <c r="DH61" s="211"/>
      <c r="DI61" s="211"/>
      <c r="DL61" s="211"/>
      <c r="DM61" s="211"/>
      <c r="DN61" s="211"/>
      <c r="DO61" s="211"/>
      <c r="DP61" s="211"/>
      <c r="DS61" s="211"/>
      <c r="DT61" s="211"/>
      <c r="DU61" s="211"/>
      <c r="DV61" s="211"/>
      <c r="DW61" s="211"/>
      <c r="DX61" s="211"/>
      <c r="DY61" s="211"/>
      <c r="DZ61" s="211"/>
      <c r="EA61" s="211"/>
      <c r="EB61" s="211"/>
      <c r="EC61" s="211"/>
      <c r="ED61" s="211"/>
      <c r="EE61" s="211"/>
      <c r="EF61" s="211"/>
      <c r="EG61" s="211"/>
      <c r="EH61" s="211"/>
      <c r="EI61" s="211"/>
    </row>
    <row r="62" spans="1:139" s="263" customFormat="1" x14ac:dyDescent="0.25">
      <c r="A62" s="211"/>
      <c r="B62" s="283"/>
      <c r="C62" s="284"/>
      <c r="D62" s="211"/>
      <c r="E62" s="211"/>
      <c r="F62" s="211"/>
      <c r="G62" s="211"/>
      <c r="H62" s="211"/>
      <c r="K62" s="211"/>
      <c r="L62" s="211"/>
      <c r="M62" s="211"/>
      <c r="N62" s="211"/>
      <c r="O62" s="211"/>
      <c r="R62" s="211"/>
      <c r="S62" s="211"/>
      <c r="T62" s="211"/>
      <c r="U62" s="211"/>
      <c r="V62" s="211"/>
      <c r="Y62" s="211"/>
      <c r="Z62" s="211"/>
      <c r="AA62" s="211"/>
      <c r="AB62" s="211"/>
      <c r="AC62" s="211"/>
      <c r="AF62" s="211"/>
      <c r="AG62" s="211"/>
      <c r="AH62" s="211"/>
      <c r="AI62" s="211"/>
      <c r="AJ62" s="211"/>
      <c r="AM62" s="211"/>
      <c r="AN62" s="211"/>
      <c r="AO62" s="211"/>
      <c r="AP62" s="211"/>
      <c r="AQ62" s="211"/>
      <c r="AT62" s="211"/>
      <c r="AU62" s="211"/>
      <c r="AV62" s="211"/>
      <c r="AW62" s="211"/>
      <c r="AX62" s="211"/>
      <c r="BA62" s="211"/>
      <c r="BB62" s="211"/>
      <c r="BC62" s="211"/>
      <c r="BD62" s="211"/>
      <c r="BE62" s="211"/>
      <c r="BH62" s="211"/>
      <c r="BI62" s="211"/>
      <c r="BJ62" s="211"/>
      <c r="BK62" s="211"/>
      <c r="BL62" s="211"/>
      <c r="BO62" s="211"/>
      <c r="BP62" s="211"/>
      <c r="BQ62" s="211"/>
      <c r="BR62" s="211"/>
      <c r="BS62" s="211"/>
      <c r="BV62" s="211"/>
      <c r="BW62" s="211"/>
      <c r="BX62" s="211"/>
      <c r="BY62" s="211"/>
      <c r="BZ62" s="211"/>
      <c r="CC62" s="211"/>
      <c r="CD62" s="211"/>
      <c r="CE62" s="211"/>
      <c r="CF62" s="211"/>
      <c r="CG62" s="211"/>
      <c r="CJ62" s="211"/>
      <c r="CK62" s="211"/>
      <c r="CL62" s="211"/>
      <c r="CM62" s="211"/>
      <c r="CN62" s="211"/>
      <c r="CQ62" s="211"/>
      <c r="CR62" s="211"/>
      <c r="CS62" s="211"/>
      <c r="CT62" s="211"/>
      <c r="CU62" s="211"/>
      <c r="CX62" s="211"/>
      <c r="CY62" s="211"/>
      <c r="CZ62" s="211"/>
      <c r="DA62" s="211"/>
      <c r="DB62" s="211"/>
      <c r="DE62" s="211"/>
      <c r="DF62" s="211"/>
      <c r="DG62" s="211"/>
      <c r="DH62" s="211"/>
      <c r="DI62" s="211"/>
      <c r="DL62" s="211"/>
      <c r="DM62" s="211"/>
      <c r="DN62" s="211"/>
      <c r="DO62" s="211"/>
      <c r="DP62" s="211"/>
      <c r="DS62" s="211"/>
      <c r="DT62" s="211"/>
      <c r="DU62" s="211"/>
      <c r="DV62" s="211"/>
      <c r="DW62" s="211"/>
      <c r="DX62" s="211"/>
      <c r="DY62" s="211"/>
      <c r="DZ62" s="211"/>
      <c r="EA62" s="211"/>
      <c r="EB62" s="211"/>
      <c r="EC62" s="211"/>
      <c r="ED62" s="211"/>
      <c r="EE62" s="211"/>
      <c r="EF62" s="211"/>
      <c r="EG62" s="211"/>
      <c r="EH62" s="211"/>
      <c r="EI62" s="211"/>
    </row>
    <row r="63" spans="1:139" s="263" customFormat="1" x14ac:dyDescent="0.25">
      <c r="A63" s="211"/>
      <c r="B63" s="294"/>
      <c r="C63" s="295"/>
      <c r="D63" s="211"/>
      <c r="E63" s="211"/>
      <c r="F63" s="211"/>
      <c r="G63" s="211"/>
      <c r="H63" s="211"/>
      <c r="K63" s="211"/>
      <c r="L63" s="211"/>
      <c r="M63" s="211"/>
      <c r="N63" s="211"/>
      <c r="O63" s="211"/>
      <c r="R63" s="211"/>
      <c r="S63" s="211"/>
      <c r="T63" s="211"/>
      <c r="U63" s="211"/>
      <c r="V63" s="211"/>
      <c r="Y63" s="211"/>
      <c r="Z63" s="211"/>
      <c r="AA63" s="211"/>
      <c r="AB63" s="211"/>
      <c r="AC63" s="211"/>
      <c r="AF63" s="211"/>
      <c r="AG63" s="211"/>
      <c r="AH63" s="211"/>
      <c r="AI63" s="211"/>
      <c r="AJ63" s="211"/>
      <c r="AM63" s="211"/>
      <c r="AN63" s="211"/>
      <c r="AO63" s="211"/>
      <c r="AP63" s="211"/>
      <c r="AQ63" s="211"/>
      <c r="AT63" s="211"/>
      <c r="AU63" s="211"/>
      <c r="AV63" s="211"/>
      <c r="AW63" s="211"/>
      <c r="AX63" s="211"/>
      <c r="BA63" s="211"/>
      <c r="BB63" s="211"/>
      <c r="BC63" s="211"/>
      <c r="BD63" s="211"/>
      <c r="BE63" s="211"/>
      <c r="BH63" s="211"/>
      <c r="BI63" s="211"/>
      <c r="BJ63" s="211"/>
      <c r="BK63" s="211"/>
      <c r="BL63" s="211"/>
      <c r="BO63" s="211"/>
      <c r="BP63" s="211"/>
      <c r="BQ63" s="211"/>
      <c r="BR63" s="211"/>
      <c r="BS63" s="211"/>
      <c r="BV63" s="211"/>
      <c r="BW63" s="211"/>
      <c r="BX63" s="211"/>
      <c r="BY63" s="211"/>
      <c r="BZ63" s="211"/>
      <c r="CC63" s="211"/>
      <c r="CD63" s="211"/>
      <c r="CE63" s="211"/>
      <c r="CF63" s="211"/>
      <c r="CG63" s="211"/>
      <c r="CJ63" s="211"/>
      <c r="CK63" s="211"/>
      <c r="CL63" s="211"/>
      <c r="CM63" s="211"/>
      <c r="CN63" s="211"/>
      <c r="CQ63" s="211"/>
      <c r="CR63" s="211"/>
      <c r="CS63" s="211"/>
      <c r="CT63" s="211"/>
      <c r="CU63" s="211"/>
      <c r="CX63" s="211"/>
      <c r="CY63" s="211"/>
      <c r="CZ63" s="211"/>
      <c r="DA63" s="211"/>
      <c r="DB63" s="211"/>
      <c r="DE63" s="211"/>
      <c r="DF63" s="211"/>
      <c r="DG63" s="211"/>
      <c r="DH63" s="211"/>
      <c r="DI63" s="211"/>
      <c r="DL63" s="211"/>
      <c r="DM63" s="211"/>
      <c r="DN63" s="211"/>
      <c r="DO63" s="211"/>
      <c r="DP63" s="211"/>
      <c r="DS63" s="211"/>
      <c r="DT63" s="211"/>
      <c r="DU63" s="211"/>
      <c r="DV63" s="211"/>
      <c r="DW63" s="211"/>
      <c r="DX63" s="211"/>
      <c r="DY63" s="211"/>
      <c r="DZ63" s="211"/>
      <c r="EA63" s="211"/>
      <c r="EB63" s="211"/>
      <c r="EC63" s="211"/>
      <c r="ED63" s="211"/>
      <c r="EE63" s="211"/>
      <c r="EF63" s="211"/>
      <c r="EG63" s="211"/>
      <c r="EH63" s="211"/>
      <c r="EI63" s="211"/>
    </row>
    <row r="64" spans="1:139" s="263" customFormat="1" x14ac:dyDescent="0.25">
      <c r="A64" s="211"/>
      <c r="B64" s="294"/>
      <c r="C64" s="295"/>
      <c r="D64" s="211"/>
      <c r="E64" s="211"/>
      <c r="F64" s="211"/>
      <c r="G64" s="211"/>
      <c r="H64" s="211"/>
      <c r="K64" s="211"/>
      <c r="L64" s="211"/>
      <c r="M64" s="211"/>
      <c r="N64" s="211"/>
      <c r="O64" s="211"/>
      <c r="R64" s="211"/>
      <c r="S64" s="211"/>
      <c r="T64" s="211"/>
      <c r="U64" s="211"/>
      <c r="V64" s="211"/>
      <c r="Y64" s="211"/>
      <c r="Z64" s="211"/>
      <c r="AA64" s="211"/>
      <c r="AB64" s="211"/>
      <c r="AC64" s="211"/>
      <c r="AF64" s="211"/>
      <c r="AG64" s="211"/>
      <c r="AH64" s="211"/>
      <c r="AI64" s="211"/>
      <c r="AJ64" s="211"/>
      <c r="AM64" s="211"/>
      <c r="AN64" s="211"/>
      <c r="AO64" s="211"/>
      <c r="AP64" s="211"/>
      <c r="AQ64" s="211"/>
      <c r="AT64" s="211"/>
      <c r="AU64" s="211"/>
      <c r="AV64" s="211"/>
      <c r="AW64" s="211"/>
      <c r="AX64" s="211"/>
      <c r="BA64" s="211"/>
      <c r="BB64" s="211"/>
      <c r="BC64" s="211"/>
      <c r="BD64" s="211"/>
      <c r="BE64" s="211"/>
      <c r="BH64" s="211"/>
      <c r="BI64" s="211"/>
      <c r="BJ64" s="211"/>
      <c r="BK64" s="211"/>
      <c r="BL64" s="211"/>
      <c r="BO64" s="211"/>
      <c r="BP64" s="211"/>
      <c r="BQ64" s="211"/>
      <c r="BR64" s="211"/>
      <c r="BS64" s="211"/>
      <c r="BV64" s="211"/>
      <c r="BW64" s="211"/>
      <c r="BX64" s="211"/>
      <c r="BY64" s="211"/>
      <c r="BZ64" s="211"/>
      <c r="CC64" s="211"/>
      <c r="CD64" s="211"/>
      <c r="CE64" s="211"/>
      <c r="CF64" s="211"/>
      <c r="CG64" s="211"/>
      <c r="CJ64" s="211"/>
      <c r="CK64" s="211"/>
      <c r="CL64" s="211"/>
      <c r="CM64" s="211"/>
      <c r="CN64" s="211"/>
      <c r="CQ64" s="211"/>
      <c r="CR64" s="211"/>
      <c r="CS64" s="211"/>
      <c r="CT64" s="211"/>
      <c r="CU64" s="211"/>
      <c r="CX64" s="211"/>
      <c r="CY64" s="211"/>
      <c r="CZ64" s="211"/>
      <c r="DA64" s="211"/>
      <c r="DB64" s="211"/>
      <c r="DE64" s="211"/>
      <c r="DF64" s="211"/>
      <c r="DG64" s="211"/>
      <c r="DH64" s="211"/>
      <c r="DI64" s="211"/>
      <c r="DL64" s="211"/>
      <c r="DM64" s="211"/>
      <c r="DN64" s="211"/>
      <c r="DO64" s="211"/>
      <c r="DP64" s="211"/>
      <c r="DS64" s="211"/>
      <c r="DT64" s="211"/>
      <c r="DU64" s="211"/>
      <c r="DV64" s="211"/>
      <c r="DW64" s="211"/>
      <c r="DX64" s="211"/>
      <c r="DY64" s="211"/>
      <c r="DZ64" s="211"/>
      <c r="EA64" s="211"/>
      <c r="EB64" s="211"/>
      <c r="EC64" s="211"/>
      <c r="ED64" s="211"/>
      <c r="EE64" s="211"/>
      <c r="EF64" s="211"/>
      <c r="EG64" s="211"/>
      <c r="EH64" s="211"/>
      <c r="EI64" s="211"/>
    </row>
    <row r="65" spans="1:139" s="263" customFormat="1" x14ac:dyDescent="0.25">
      <c r="A65" s="211"/>
      <c r="B65" s="294"/>
      <c r="C65" s="295"/>
      <c r="D65" s="211"/>
      <c r="E65" s="211"/>
      <c r="F65" s="211"/>
      <c r="G65" s="211"/>
      <c r="H65" s="211"/>
      <c r="K65" s="211"/>
      <c r="L65" s="211"/>
      <c r="M65" s="211"/>
      <c r="N65" s="211"/>
      <c r="O65" s="211"/>
      <c r="R65" s="211"/>
      <c r="S65" s="211"/>
      <c r="T65" s="211"/>
      <c r="U65" s="211"/>
      <c r="V65" s="211"/>
      <c r="Y65" s="211"/>
      <c r="Z65" s="211"/>
      <c r="AA65" s="211"/>
      <c r="AB65" s="211"/>
      <c r="AC65" s="211"/>
      <c r="AF65" s="211"/>
      <c r="AG65" s="211"/>
      <c r="AH65" s="211"/>
      <c r="AI65" s="211"/>
      <c r="AJ65" s="211"/>
      <c r="AM65" s="211"/>
      <c r="AN65" s="211"/>
      <c r="AO65" s="211"/>
      <c r="AP65" s="211"/>
      <c r="AQ65" s="211"/>
      <c r="AT65" s="211"/>
      <c r="AU65" s="211"/>
      <c r="AV65" s="211"/>
      <c r="AW65" s="211"/>
      <c r="AX65" s="211"/>
      <c r="BA65" s="211"/>
      <c r="BB65" s="211"/>
      <c r="BC65" s="211"/>
      <c r="BD65" s="211"/>
      <c r="BE65" s="211"/>
      <c r="BH65" s="211"/>
      <c r="BI65" s="211"/>
      <c r="BJ65" s="211"/>
      <c r="BK65" s="211"/>
      <c r="BL65" s="211"/>
      <c r="BO65" s="211"/>
      <c r="BP65" s="211"/>
      <c r="BQ65" s="211"/>
      <c r="BR65" s="211"/>
      <c r="BS65" s="211"/>
      <c r="BV65" s="211"/>
      <c r="BW65" s="211"/>
      <c r="BX65" s="211"/>
      <c r="BY65" s="211"/>
      <c r="BZ65" s="211"/>
      <c r="CC65" s="211"/>
      <c r="CD65" s="211"/>
      <c r="CE65" s="211"/>
      <c r="CF65" s="211"/>
      <c r="CG65" s="211"/>
      <c r="CJ65" s="211"/>
      <c r="CK65" s="211"/>
      <c r="CL65" s="211"/>
      <c r="CM65" s="211"/>
      <c r="CN65" s="211"/>
      <c r="CQ65" s="211"/>
      <c r="CR65" s="211"/>
      <c r="CS65" s="211"/>
      <c r="CT65" s="211"/>
      <c r="CU65" s="211"/>
      <c r="CX65" s="211"/>
      <c r="CY65" s="211"/>
      <c r="CZ65" s="211"/>
      <c r="DA65" s="211"/>
      <c r="DB65" s="211"/>
      <c r="DE65" s="211"/>
      <c r="DF65" s="211"/>
      <c r="DG65" s="211"/>
      <c r="DH65" s="211"/>
      <c r="DI65" s="211"/>
      <c r="DL65" s="211"/>
      <c r="DM65" s="211"/>
      <c r="DN65" s="211"/>
      <c r="DO65" s="211"/>
      <c r="DP65" s="211"/>
      <c r="DS65" s="211"/>
      <c r="DT65" s="211"/>
      <c r="DU65" s="211"/>
      <c r="DV65" s="211"/>
      <c r="DW65" s="211"/>
      <c r="DX65" s="211"/>
      <c r="DY65" s="211"/>
      <c r="DZ65" s="211"/>
      <c r="EA65" s="211"/>
      <c r="EB65" s="211"/>
      <c r="EC65" s="211"/>
      <c r="ED65" s="211"/>
      <c r="EE65" s="211"/>
      <c r="EF65" s="211"/>
      <c r="EG65" s="211"/>
      <c r="EH65" s="211"/>
      <c r="EI65" s="211"/>
    </row>
    <row r="66" spans="1:139" s="263" customFormat="1" x14ac:dyDescent="0.25">
      <c r="A66" s="211"/>
      <c r="B66" s="283"/>
      <c r="C66" s="284"/>
      <c r="D66" s="211"/>
      <c r="E66" s="211"/>
      <c r="F66" s="211"/>
      <c r="G66" s="211"/>
      <c r="H66" s="211"/>
      <c r="K66" s="211"/>
      <c r="L66" s="211"/>
      <c r="M66" s="211"/>
      <c r="N66" s="211"/>
      <c r="O66" s="211"/>
      <c r="R66" s="211"/>
      <c r="S66" s="211"/>
      <c r="T66" s="211"/>
      <c r="U66" s="211"/>
      <c r="V66" s="211"/>
      <c r="Y66" s="211"/>
      <c r="Z66" s="211"/>
      <c r="AA66" s="211"/>
      <c r="AB66" s="211"/>
      <c r="AC66" s="211"/>
      <c r="AF66" s="211"/>
      <c r="AG66" s="211"/>
      <c r="AH66" s="211"/>
      <c r="AI66" s="211"/>
      <c r="AJ66" s="211"/>
      <c r="AM66" s="211"/>
      <c r="AN66" s="211"/>
      <c r="AO66" s="211"/>
      <c r="AP66" s="211"/>
      <c r="AQ66" s="211"/>
      <c r="AT66" s="211"/>
      <c r="AU66" s="211"/>
      <c r="AV66" s="211"/>
      <c r="AW66" s="211"/>
      <c r="AX66" s="211"/>
      <c r="BA66" s="211"/>
      <c r="BB66" s="211"/>
      <c r="BC66" s="211"/>
      <c r="BD66" s="211"/>
      <c r="BE66" s="211"/>
      <c r="BH66" s="211"/>
      <c r="BI66" s="211"/>
      <c r="BJ66" s="211"/>
      <c r="BK66" s="211"/>
      <c r="BL66" s="211"/>
      <c r="BO66" s="211"/>
      <c r="BP66" s="211"/>
      <c r="BQ66" s="211"/>
      <c r="BR66" s="211"/>
      <c r="BS66" s="211"/>
      <c r="BV66" s="211"/>
      <c r="BW66" s="211"/>
      <c r="BX66" s="211"/>
      <c r="BY66" s="211"/>
      <c r="BZ66" s="211"/>
      <c r="CC66" s="211"/>
      <c r="CD66" s="211"/>
      <c r="CE66" s="211"/>
      <c r="CF66" s="211"/>
      <c r="CG66" s="211"/>
      <c r="CJ66" s="211"/>
      <c r="CK66" s="211"/>
      <c r="CL66" s="211"/>
      <c r="CM66" s="211"/>
      <c r="CN66" s="211"/>
      <c r="CQ66" s="211"/>
      <c r="CR66" s="211"/>
      <c r="CS66" s="211"/>
      <c r="CT66" s="211"/>
      <c r="CU66" s="211"/>
      <c r="CX66" s="211"/>
      <c r="CY66" s="211"/>
      <c r="CZ66" s="211"/>
      <c r="DA66" s="211"/>
      <c r="DB66" s="211"/>
      <c r="DE66" s="211"/>
      <c r="DF66" s="211"/>
      <c r="DG66" s="211"/>
      <c r="DH66" s="211"/>
      <c r="DI66" s="211"/>
      <c r="DL66" s="211"/>
      <c r="DM66" s="211"/>
      <c r="DN66" s="211"/>
      <c r="DO66" s="211"/>
      <c r="DP66" s="211"/>
    </row>
    <row r="68" spans="1:139" s="263" customFormat="1" x14ac:dyDescent="0.25">
      <c r="A68" s="211"/>
      <c r="B68" s="283"/>
      <c r="C68" s="284"/>
      <c r="D68" s="211"/>
      <c r="E68" s="211"/>
      <c r="F68" s="211"/>
      <c r="G68" s="211"/>
      <c r="H68" s="211"/>
      <c r="K68" s="211"/>
      <c r="L68" s="211"/>
      <c r="M68" s="211"/>
      <c r="N68" s="211"/>
      <c r="O68" s="211"/>
      <c r="R68" s="211"/>
      <c r="S68" s="211"/>
      <c r="T68" s="211"/>
      <c r="U68" s="211"/>
      <c r="V68" s="211"/>
      <c r="Y68" s="211"/>
      <c r="Z68" s="211"/>
      <c r="AA68" s="211"/>
      <c r="AB68" s="211"/>
      <c r="AC68" s="211"/>
      <c r="AF68" s="211"/>
      <c r="AG68" s="211"/>
      <c r="AH68" s="211"/>
      <c r="AI68" s="211"/>
      <c r="AJ68" s="211"/>
      <c r="AM68" s="211"/>
      <c r="AN68" s="211"/>
      <c r="AO68" s="211"/>
      <c r="AP68" s="211"/>
      <c r="AQ68" s="211"/>
      <c r="AT68" s="211"/>
      <c r="AU68" s="211"/>
      <c r="AV68" s="211"/>
      <c r="AW68" s="211"/>
      <c r="AX68" s="211"/>
      <c r="BA68" s="211"/>
      <c r="BB68" s="211"/>
      <c r="BC68" s="211"/>
      <c r="BD68" s="211"/>
      <c r="BE68" s="211"/>
      <c r="BH68" s="211"/>
      <c r="BI68" s="211"/>
      <c r="BJ68" s="211"/>
      <c r="BK68" s="211"/>
      <c r="BL68" s="211"/>
      <c r="BO68" s="211"/>
      <c r="BP68" s="211"/>
      <c r="BQ68" s="211"/>
      <c r="BR68" s="211"/>
      <c r="BS68" s="211"/>
      <c r="BV68" s="211"/>
      <c r="BW68" s="211"/>
      <c r="BX68" s="211"/>
      <c r="BY68" s="211"/>
      <c r="BZ68" s="211"/>
      <c r="CC68" s="211"/>
      <c r="CD68" s="211"/>
      <c r="CE68" s="211"/>
      <c r="CF68" s="211"/>
      <c r="CG68" s="211"/>
      <c r="CJ68" s="211"/>
      <c r="CK68" s="211"/>
      <c r="CL68" s="211"/>
      <c r="CM68" s="211"/>
      <c r="CN68" s="211"/>
      <c r="CQ68" s="211"/>
      <c r="CR68" s="211"/>
      <c r="CS68" s="211"/>
      <c r="CT68" s="211"/>
      <c r="CU68" s="211"/>
      <c r="CX68" s="211"/>
      <c r="CY68" s="211"/>
      <c r="CZ68" s="211"/>
      <c r="DA68" s="211"/>
      <c r="DB68" s="211"/>
      <c r="DE68" s="211"/>
      <c r="DF68" s="211"/>
      <c r="DG68" s="211"/>
      <c r="DH68" s="211"/>
      <c r="DI68" s="211"/>
      <c r="DL68" s="211"/>
      <c r="DM68" s="211"/>
      <c r="DN68" s="211"/>
      <c r="DO68" s="211"/>
      <c r="DP68" s="211"/>
    </row>
    <row r="69" spans="1:139" s="263" customFormat="1" x14ac:dyDescent="0.25">
      <c r="A69" s="211"/>
      <c r="B69" s="283"/>
      <c r="C69" s="284"/>
      <c r="D69" s="211"/>
      <c r="E69" s="211"/>
      <c r="F69" s="211"/>
      <c r="G69" s="211"/>
      <c r="H69" s="211"/>
      <c r="K69" s="211"/>
      <c r="L69" s="211"/>
      <c r="M69" s="211"/>
      <c r="N69" s="211"/>
      <c r="O69" s="211"/>
      <c r="R69" s="211"/>
      <c r="S69" s="211"/>
      <c r="T69" s="211"/>
      <c r="U69" s="211"/>
      <c r="V69" s="211"/>
      <c r="Y69" s="211"/>
      <c r="Z69" s="211"/>
      <c r="AA69" s="211"/>
      <c r="AB69" s="211"/>
      <c r="AC69" s="211"/>
      <c r="AF69" s="211"/>
      <c r="AG69" s="211"/>
      <c r="AH69" s="211"/>
      <c r="AI69" s="211"/>
      <c r="AJ69" s="211"/>
      <c r="AM69" s="211"/>
      <c r="AN69" s="211"/>
      <c r="AO69" s="211"/>
      <c r="AP69" s="211"/>
      <c r="AQ69" s="211"/>
      <c r="AT69" s="211"/>
      <c r="AU69" s="211"/>
      <c r="AV69" s="211"/>
      <c r="AW69" s="211"/>
      <c r="AX69" s="211"/>
      <c r="BA69" s="211"/>
      <c r="BB69" s="211"/>
      <c r="BC69" s="211"/>
      <c r="BD69" s="211"/>
      <c r="BE69" s="211"/>
      <c r="BH69" s="211"/>
      <c r="BI69" s="211"/>
      <c r="BJ69" s="211"/>
      <c r="BK69" s="211"/>
      <c r="BL69" s="211"/>
      <c r="BO69" s="211"/>
      <c r="BP69" s="211"/>
      <c r="BQ69" s="211"/>
      <c r="BR69" s="211"/>
      <c r="BS69" s="211"/>
      <c r="BV69" s="211"/>
      <c r="BW69" s="211"/>
      <c r="BX69" s="211"/>
      <c r="BY69" s="211"/>
      <c r="BZ69" s="211"/>
      <c r="CC69" s="211"/>
      <c r="CD69" s="211"/>
      <c r="CE69" s="211"/>
      <c r="CF69" s="211"/>
      <c r="CG69" s="211"/>
      <c r="CJ69" s="211"/>
      <c r="CK69" s="211"/>
      <c r="CL69" s="211"/>
      <c r="CM69" s="211"/>
      <c r="CN69" s="211"/>
      <c r="CQ69" s="211"/>
      <c r="CR69" s="211"/>
      <c r="CS69" s="211"/>
      <c r="CT69" s="211"/>
      <c r="CU69" s="211"/>
      <c r="CX69" s="211"/>
      <c r="CY69" s="211"/>
      <c r="CZ69" s="211"/>
      <c r="DA69" s="211"/>
      <c r="DB69" s="211"/>
      <c r="DE69" s="211"/>
      <c r="DF69" s="211"/>
      <c r="DG69" s="211"/>
      <c r="DH69" s="211"/>
      <c r="DI69" s="211"/>
      <c r="DL69" s="211"/>
      <c r="DM69" s="211"/>
      <c r="DN69" s="211"/>
      <c r="DO69" s="211"/>
      <c r="DP69" s="211"/>
    </row>
    <row r="70" spans="1:139" s="263" customFormat="1" x14ac:dyDescent="0.25">
      <c r="A70" s="211"/>
      <c r="B70" s="283"/>
      <c r="C70" s="284"/>
      <c r="D70" s="211"/>
      <c r="E70" s="211"/>
      <c r="F70" s="211"/>
      <c r="G70" s="211"/>
      <c r="H70" s="211"/>
      <c r="K70" s="211"/>
      <c r="L70" s="211"/>
      <c r="M70" s="211"/>
      <c r="N70" s="211"/>
      <c r="O70" s="211"/>
      <c r="R70" s="211"/>
      <c r="S70" s="211"/>
      <c r="T70" s="211"/>
      <c r="U70" s="211"/>
      <c r="V70" s="211"/>
      <c r="Y70" s="211"/>
      <c r="Z70" s="211"/>
      <c r="AA70" s="211"/>
      <c r="AB70" s="211"/>
      <c r="AC70" s="211"/>
      <c r="AF70" s="211"/>
      <c r="AG70" s="211"/>
      <c r="AH70" s="211"/>
      <c r="AI70" s="211"/>
      <c r="AJ70" s="211"/>
      <c r="AM70" s="211"/>
      <c r="AN70" s="211"/>
      <c r="AO70" s="211"/>
      <c r="AP70" s="211"/>
      <c r="AQ70" s="211"/>
      <c r="AT70" s="211"/>
      <c r="AU70" s="211"/>
      <c r="AV70" s="211"/>
      <c r="AW70" s="211"/>
      <c r="AX70" s="211"/>
      <c r="BA70" s="211"/>
      <c r="BB70" s="211"/>
      <c r="BC70" s="211"/>
      <c r="BD70" s="211"/>
      <c r="BE70" s="211"/>
      <c r="BH70" s="211"/>
      <c r="BI70" s="211"/>
      <c r="BJ70" s="211"/>
      <c r="BK70" s="211"/>
      <c r="BL70" s="211"/>
      <c r="BO70" s="211"/>
      <c r="BP70" s="211"/>
      <c r="BQ70" s="211"/>
      <c r="BR70" s="211"/>
      <c r="BS70" s="211"/>
      <c r="BV70" s="211"/>
      <c r="BW70" s="211"/>
      <c r="BX70" s="211"/>
      <c r="BY70" s="211"/>
      <c r="BZ70" s="211"/>
      <c r="CC70" s="211"/>
      <c r="CD70" s="211"/>
      <c r="CE70" s="211"/>
      <c r="CF70" s="211"/>
      <c r="CG70" s="211"/>
      <c r="CJ70" s="211"/>
      <c r="CK70" s="211"/>
      <c r="CL70" s="211"/>
      <c r="CM70" s="211"/>
      <c r="CN70" s="211"/>
      <c r="CQ70" s="211"/>
      <c r="CR70" s="211"/>
      <c r="CS70" s="211"/>
      <c r="CT70" s="211"/>
      <c r="CU70" s="211"/>
      <c r="CX70" s="211"/>
      <c r="CY70" s="211"/>
      <c r="CZ70" s="211"/>
      <c r="DA70" s="211"/>
      <c r="DB70" s="211"/>
      <c r="DE70" s="211"/>
      <c r="DF70" s="211"/>
      <c r="DG70" s="211"/>
      <c r="DH70" s="211"/>
      <c r="DI70" s="211"/>
      <c r="DL70" s="211"/>
      <c r="DM70" s="211"/>
      <c r="DN70" s="211"/>
      <c r="DO70" s="211"/>
      <c r="DP70" s="211"/>
    </row>
    <row r="71" spans="1:139" s="263" customFormat="1" x14ac:dyDescent="0.25">
      <c r="A71" s="211"/>
      <c r="B71" s="283"/>
      <c r="C71" s="284"/>
      <c r="D71" s="211"/>
      <c r="E71" s="211"/>
      <c r="F71" s="211"/>
      <c r="G71" s="211"/>
      <c r="H71" s="211"/>
      <c r="K71" s="211"/>
      <c r="L71" s="211"/>
      <c r="M71" s="211"/>
      <c r="N71" s="211"/>
      <c r="O71" s="211"/>
      <c r="R71" s="211"/>
      <c r="S71" s="211"/>
      <c r="T71" s="211"/>
      <c r="U71" s="211"/>
      <c r="V71" s="211"/>
      <c r="Y71" s="211"/>
      <c r="Z71" s="211"/>
      <c r="AA71" s="211"/>
      <c r="AB71" s="211"/>
      <c r="AC71" s="211"/>
      <c r="AF71" s="211"/>
      <c r="AG71" s="211"/>
      <c r="AH71" s="211"/>
      <c r="AI71" s="211"/>
      <c r="AJ71" s="211"/>
      <c r="AM71" s="211"/>
      <c r="AN71" s="211"/>
      <c r="AO71" s="211"/>
      <c r="AP71" s="211"/>
      <c r="AQ71" s="211"/>
      <c r="AT71" s="211"/>
      <c r="AU71" s="211"/>
      <c r="AV71" s="211"/>
      <c r="AW71" s="211"/>
      <c r="AX71" s="211"/>
      <c r="BA71" s="211"/>
      <c r="BB71" s="211"/>
      <c r="BC71" s="211"/>
      <c r="BD71" s="211"/>
      <c r="BE71" s="211"/>
      <c r="BH71" s="211"/>
      <c r="BI71" s="211"/>
      <c r="BJ71" s="211"/>
      <c r="BK71" s="211"/>
      <c r="BL71" s="211"/>
      <c r="BO71" s="211"/>
      <c r="BP71" s="211"/>
      <c r="BQ71" s="211"/>
      <c r="BR71" s="211"/>
      <c r="BS71" s="211"/>
      <c r="BV71" s="211"/>
      <c r="BW71" s="211"/>
      <c r="BX71" s="211"/>
      <c r="BY71" s="211"/>
      <c r="BZ71" s="211"/>
      <c r="CC71" s="211"/>
      <c r="CD71" s="211"/>
      <c r="CE71" s="211"/>
      <c r="CF71" s="211"/>
      <c r="CG71" s="211"/>
      <c r="CJ71" s="211"/>
      <c r="CK71" s="211"/>
      <c r="CL71" s="211"/>
      <c r="CM71" s="211"/>
      <c r="CN71" s="211"/>
      <c r="CQ71" s="211"/>
      <c r="CR71" s="211"/>
      <c r="CS71" s="211"/>
      <c r="CT71" s="211"/>
      <c r="CU71" s="211"/>
      <c r="CX71" s="211"/>
      <c r="CY71" s="211"/>
      <c r="CZ71" s="211"/>
      <c r="DA71" s="211"/>
      <c r="DB71" s="211"/>
      <c r="DE71" s="211"/>
      <c r="DF71" s="211"/>
      <c r="DG71" s="211"/>
      <c r="DH71" s="211"/>
      <c r="DI71" s="211"/>
      <c r="DL71" s="211"/>
      <c r="DM71" s="211"/>
      <c r="DN71" s="211"/>
      <c r="DO71" s="211"/>
      <c r="DP71" s="211"/>
    </row>
    <row r="72" spans="1:139" s="263" customFormat="1" x14ac:dyDescent="0.25">
      <c r="A72" s="211"/>
      <c r="B72" s="283"/>
      <c r="C72" s="284"/>
      <c r="D72" s="211"/>
      <c r="E72" s="211"/>
      <c r="F72" s="211"/>
      <c r="G72" s="211"/>
      <c r="H72" s="211"/>
      <c r="K72" s="211"/>
      <c r="L72" s="211"/>
      <c r="M72" s="211"/>
      <c r="N72" s="211"/>
      <c r="O72" s="211"/>
      <c r="R72" s="211"/>
      <c r="S72" s="211"/>
      <c r="T72" s="211"/>
      <c r="U72" s="211"/>
      <c r="V72" s="211"/>
      <c r="Y72" s="211"/>
      <c r="Z72" s="211"/>
      <c r="AA72" s="211"/>
      <c r="AB72" s="211"/>
      <c r="AC72" s="211"/>
      <c r="AF72" s="211"/>
      <c r="AG72" s="211"/>
      <c r="AH72" s="211"/>
      <c r="AI72" s="211"/>
      <c r="AJ72" s="211"/>
      <c r="AM72" s="211"/>
      <c r="AN72" s="211"/>
      <c r="AO72" s="211"/>
      <c r="AP72" s="211"/>
      <c r="AQ72" s="211"/>
      <c r="AT72" s="211"/>
      <c r="AU72" s="211"/>
      <c r="AV72" s="211"/>
      <c r="AW72" s="211"/>
      <c r="AX72" s="211"/>
      <c r="BA72" s="211"/>
      <c r="BB72" s="211"/>
      <c r="BC72" s="211"/>
      <c r="BD72" s="211"/>
      <c r="BE72" s="211"/>
      <c r="BH72" s="211"/>
      <c r="BI72" s="211"/>
      <c r="BJ72" s="211"/>
      <c r="BK72" s="211"/>
      <c r="BL72" s="211"/>
      <c r="BO72" s="211"/>
      <c r="BP72" s="211"/>
      <c r="BQ72" s="211"/>
      <c r="BR72" s="211"/>
      <c r="BS72" s="211"/>
      <c r="BV72" s="211"/>
      <c r="BW72" s="211"/>
      <c r="BX72" s="211"/>
      <c r="BY72" s="211"/>
      <c r="BZ72" s="211"/>
      <c r="CC72" s="211"/>
      <c r="CD72" s="211"/>
      <c r="CE72" s="211"/>
      <c r="CF72" s="211"/>
      <c r="CG72" s="211"/>
      <c r="CJ72" s="211"/>
      <c r="CK72" s="211"/>
      <c r="CL72" s="211"/>
      <c r="CM72" s="211"/>
      <c r="CN72" s="211"/>
      <c r="CQ72" s="211"/>
      <c r="CR72" s="211"/>
      <c r="CS72" s="211"/>
      <c r="CT72" s="211"/>
      <c r="CU72" s="211"/>
      <c r="CX72" s="211"/>
      <c r="CY72" s="211"/>
      <c r="CZ72" s="211"/>
      <c r="DA72" s="211"/>
      <c r="DB72" s="211"/>
      <c r="DE72" s="211"/>
      <c r="DF72" s="211"/>
      <c r="DG72" s="211"/>
      <c r="DH72" s="211"/>
      <c r="DI72" s="211"/>
      <c r="DL72" s="211"/>
      <c r="DM72" s="211"/>
      <c r="DN72" s="211"/>
      <c r="DO72" s="211"/>
      <c r="DP72" s="211"/>
    </row>
    <row r="73" spans="1:139" s="263" customFormat="1" x14ac:dyDescent="0.25">
      <c r="A73" s="211"/>
      <c r="B73" s="283"/>
      <c r="C73" s="284"/>
      <c r="D73" s="211"/>
      <c r="E73" s="211"/>
      <c r="F73" s="211"/>
      <c r="G73" s="211"/>
      <c r="H73" s="211"/>
      <c r="K73" s="211"/>
      <c r="L73" s="211"/>
      <c r="M73" s="211"/>
      <c r="N73" s="211"/>
      <c r="O73" s="211"/>
      <c r="R73" s="211"/>
      <c r="S73" s="211"/>
      <c r="T73" s="211"/>
      <c r="U73" s="211"/>
      <c r="V73" s="211"/>
      <c r="Y73" s="211"/>
      <c r="Z73" s="211"/>
      <c r="AA73" s="211"/>
      <c r="AB73" s="211"/>
      <c r="AC73" s="211"/>
      <c r="AF73" s="211"/>
      <c r="AG73" s="211"/>
      <c r="AH73" s="211"/>
      <c r="AI73" s="211"/>
      <c r="AJ73" s="211"/>
      <c r="AM73" s="211"/>
      <c r="AN73" s="211"/>
      <c r="AO73" s="211"/>
      <c r="AP73" s="211"/>
      <c r="AQ73" s="211"/>
      <c r="AT73" s="211"/>
      <c r="AU73" s="211"/>
      <c r="AV73" s="211"/>
      <c r="AW73" s="211"/>
      <c r="AX73" s="211"/>
      <c r="BA73" s="211"/>
      <c r="BB73" s="211"/>
      <c r="BC73" s="211"/>
      <c r="BD73" s="211"/>
      <c r="BE73" s="211"/>
      <c r="BH73" s="211"/>
      <c r="BI73" s="211"/>
      <c r="BJ73" s="211"/>
      <c r="BK73" s="211"/>
      <c r="BL73" s="211"/>
      <c r="BO73" s="211"/>
      <c r="BP73" s="211"/>
      <c r="BQ73" s="211"/>
      <c r="BR73" s="211"/>
      <c r="BS73" s="211"/>
      <c r="BV73" s="211"/>
      <c r="BW73" s="211"/>
      <c r="BX73" s="211"/>
      <c r="BY73" s="211"/>
      <c r="BZ73" s="211"/>
      <c r="CC73" s="211"/>
      <c r="CD73" s="211"/>
      <c r="CE73" s="211"/>
      <c r="CF73" s="211"/>
      <c r="CG73" s="211"/>
      <c r="CJ73" s="211"/>
      <c r="CK73" s="211"/>
      <c r="CL73" s="211"/>
      <c r="CM73" s="211"/>
      <c r="CN73" s="211"/>
      <c r="CQ73" s="211"/>
      <c r="CR73" s="211"/>
      <c r="CS73" s="211"/>
      <c r="CT73" s="211"/>
      <c r="CU73" s="211"/>
      <c r="CX73" s="211"/>
      <c r="CY73" s="211"/>
      <c r="CZ73" s="211"/>
      <c r="DA73" s="211"/>
      <c r="DB73" s="211"/>
      <c r="DE73" s="211"/>
      <c r="DF73" s="211"/>
      <c r="DG73" s="211"/>
      <c r="DH73" s="211"/>
      <c r="DI73" s="211"/>
      <c r="DL73" s="211"/>
      <c r="DM73" s="211"/>
      <c r="DN73" s="211"/>
      <c r="DO73" s="211"/>
      <c r="DP73" s="211"/>
    </row>
    <row r="74" spans="1:139" s="263" customFormat="1" x14ac:dyDescent="0.25">
      <c r="A74" s="211"/>
      <c r="B74" s="283"/>
      <c r="C74" s="284"/>
      <c r="D74" s="211"/>
      <c r="E74" s="211"/>
      <c r="F74" s="211"/>
      <c r="G74" s="211"/>
      <c r="H74" s="211"/>
      <c r="K74" s="211"/>
      <c r="L74" s="211"/>
      <c r="M74" s="211"/>
      <c r="N74" s="211"/>
      <c r="O74" s="211"/>
      <c r="R74" s="211"/>
      <c r="S74" s="211"/>
      <c r="T74" s="211"/>
      <c r="U74" s="211"/>
      <c r="V74" s="211"/>
      <c r="Y74" s="211"/>
      <c r="Z74" s="211"/>
      <c r="AA74" s="211"/>
      <c r="AB74" s="211"/>
      <c r="AC74" s="211"/>
      <c r="AF74" s="211"/>
      <c r="AG74" s="211"/>
      <c r="AH74" s="211"/>
      <c r="AI74" s="211"/>
      <c r="AJ74" s="211"/>
      <c r="AM74" s="211"/>
      <c r="AN74" s="211"/>
      <c r="AO74" s="211"/>
      <c r="AP74" s="211"/>
      <c r="AQ74" s="211"/>
      <c r="AT74" s="211"/>
      <c r="AU74" s="211"/>
      <c r="AV74" s="211"/>
      <c r="AW74" s="211"/>
      <c r="AX74" s="211"/>
      <c r="BA74" s="211"/>
      <c r="BB74" s="211"/>
      <c r="BC74" s="211"/>
      <c r="BD74" s="211"/>
      <c r="BE74" s="211"/>
      <c r="BH74" s="211"/>
      <c r="BI74" s="211"/>
      <c r="BJ74" s="211"/>
      <c r="BK74" s="211"/>
      <c r="BL74" s="211"/>
      <c r="BO74" s="211"/>
      <c r="BP74" s="211"/>
      <c r="BQ74" s="211"/>
      <c r="BR74" s="211"/>
      <c r="BS74" s="211"/>
      <c r="BV74" s="211"/>
      <c r="BW74" s="211"/>
      <c r="BX74" s="211"/>
      <c r="BY74" s="211"/>
      <c r="BZ74" s="211"/>
      <c r="CC74" s="211"/>
      <c r="CD74" s="211"/>
      <c r="CE74" s="211"/>
      <c r="CF74" s="211"/>
      <c r="CG74" s="211"/>
      <c r="CJ74" s="211"/>
      <c r="CK74" s="211"/>
      <c r="CL74" s="211"/>
      <c r="CM74" s="211"/>
      <c r="CN74" s="211"/>
      <c r="CQ74" s="211"/>
      <c r="CR74" s="211"/>
      <c r="CS74" s="211"/>
      <c r="CT74" s="211"/>
      <c r="CU74" s="211"/>
      <c r="CX74" s="211"/>
      <c r="CY74" s="211"/>
      <c r="CZ74" s="211"/>
      <c r="DA74" s="211"/>
      <c r="DB74" s="211"/>
      <c r="DE74" s="211"/>
      <c r="DF74" s="211"/>
      <c r="DG74" s="211"/>
      <c r="DH74" s="211"/>
      <c r="DI74" s="211"/>
      <c r="DL74" s="211"/>
      <c r="DM74" s="211"/>
      <c r="DN74" s="211"/>
      <c r="DO74" s="211"/>
      <c r="DP74" s="211"/>
    </row>
    <row r="75" spans="1:139" s="263" customFormat="1" x14ac:dyDescent="0.25">
      <c r="A75" s="211"/>
      <c r="B75" s="283"/>
      <c r="C75" s="284"/>
      <c r="D75" s="211"/>
      <c r="E75" s="211"/>
      <c r="F75" s="211"/>
      <c r="G75" s="211"/>
      <c r="H75" s="211"/>
      <c r="K75" s="211"/>
      <c r="L75" s="211"/>
      <c r="M75" s="211"/>
      <c r="N75" s="211"/>
      <c r="O75" s="211"/>
      <c r="R75" s="211"/>
      <c r="S75" s="211"/>
      <c r="T75" s="211"/>
      <c r="U75" s="211"/>
      <c r="V75" s="211"/>
      <c r="Y75" s="211"/>
      <c r="Z75" s="211"/>
      <c r="AA75" s="211"/>
      <c r="AB75" s="211"/>
      <c r="AC75" s="211"/>
      <c r="AF75" s="211"/>
      <c r="AG75" s="211"/>
      <c r="AH75" s="211"/>
      <c r="AI75" s="211"/>
      <c r="AJ75" s="211"/>
      <c r="AM75" s="211"/>
      <c r="AN75" s="211"/>
      <c r="AO75" s="211"/>
      <c r="AP75" s="211"/>
      <c r="AQ75" s="211"/>
      <c r="AT75" s="211"/>
      <c r="AU75" s="211"/>
      <c r="AV75" s="211"/>
      <c r="AW75" s="211"/>
      <c r="AX75" s="211"/>
      <c r="BA75" s="211"/>
      <c r="BB75" s="211"/>
      <c r="BC75" s="211"/>
      <c r="BD75" s="211"/>
      <c r="BE75" s="211"/>
      <c r="BH75" s="211"/>
      <c r="BI75" s="211"/>
      <c r="BJ75" s="211"/>
      <c r="BK75" s="211"/>
      <c r="BL75" s="211"/>
      <c r="BO75" s="211"/>
      <c r="BP75" s="211"/>
      <c r="BQ75" s="211"/>
      <c r="BR75" s="211"/>
      <c r="BS75" s="211"/>
      <c r="BV75" s="211"/>
      <c r="BW75" s="211"/>
      <c r="BX75" s="211"/>
      <c r="BY75" s="211"/>
      <c r="BZ75" s="211"/>
      <c r="CC75" s="211"/>
      <c r="CD75" s="211"/>
      <c r="CE75" s="211"/>
      <c r="CF75" s="211"/>
      <c r="CG75" s="211"/>
      <c r="CJ75" s="211"/>
      <c r="CK75" s="211"/>
      <c r="CL75" s="211"/>
      <c r="CM75" s="211"/>
      <c r="CN75" s="211"/>
      <c r="CQ75" s="211"/>
      <c r="CR75" s="211"/>
      <c r="CS75" s="211"/>
      <c r="CT75" s="211"/>
      <c r="CU75" s="211"/>
      <c r="CX75" s="211"/>
      <c r="CY75" s="211"/>
      <c r="CZ75" s="211"/>
      <c r="DA75" s="211"/>
      <c r="DB75" s="211"/>
      <c r="DE75" s="211"/>
      <c r="DF75" s="211"/>
      <c r="DG75" s="211"/>
      <c r="DH75" s="211"/>
      <c r="DI75" s="211"/>
      <c r="DL75" s="211"/>
      <c r="DM75" s="211"/>
      <c r="DN75" s="211"/>
      <c r="DO75" s="211"/>
      <c r="DP75" s="211"/>
    </row>
    <row r="76" spans="1:139" s="263" customFormat="1" x14ac:dyDescent="0.25">
      <c r="A76" s="211"/>
      <c r="B76" s="283"/>
      <c r="C76" s="284"/>
      <c r="D76" s="211"/>
      <c r="E76" s="211"/>
      <c r="F76" s="211"/>
      <c r="G76" s="211"/>
      <c r="H76" s="211"/>
      <c r="K76" s="211"/>
      <c r="L76" s="211"/>
      <c r="M76" s="211"/>
      <c r="N76" s="211"/>
      <c r="O76" s="211"/>
      <c r="R76" s="211"/>
      <c r="S76" s="211"/>
      <c r="T76" s="211"/>
      <c r="U76" s="211"/>
      <c r="V76" s="211"/>
      <c r="Y76" s="211"/>
      <c r="Z76" s="211"/>
      <c r="AA76" s="211"/>
      <c r="AB76" s="211"/>
      <c r="AC76" s="211"/>
      <c r="AF76" s="211"/>
      <c r="AG76" s="211"/>
      <c r="AH76" s="211"/>
      <c r="AI76" s="211"/>
      <c r="AJ76" s="211"/>
      <c r="AM76" s="211"/>
      <c r="AN76" s="211"/>
      <c r="AO76" s="211"/>
      <c r="AP76" s="211"/>
      <c r="AQ76" s="211"/>
      <c r="AT76" s="211"/>
      <c r="AU76" s="211"/>
      <c r="AV76" s="211"/>
      <c r="AW76" s="211"/>
      <c r="AX76" s="211"/>
      <c r="BA76" s="211"/>
      <c r="BB76" s="211"/>
      <c r="BC76" s="211"/>
      <c r="BD76" s="211"/>
      <c r="BE76" s="211"/>
      <c r="BH76" s="211"/>
      <c r="BI76" s="211"/>
      <c r="BJ76" s="211"/>
      <c r="BK76" s="211"/>
      <c r="BL76" s="211"/>
      <c r="BO76" s="211"/>
      <c r="BP76" s="211"/>
      <c r="BQ76" s="211"/>
      <c r="BR76" s="211"/>
      <c r="BS76" s="211"/>
      <c r="BV76" s="211"/>
      <c r="BW76" s="211"/>
      <c r="BX76" s="211"/>
      <c r="BY76" s="211"/>
      <c r="BZ76" s="211"/>
      <c r="CC76" s="211"/>
      <c r="CD76" s="211"/>
      <c r="CE76" s="211"/>
      <c r="CF76" s="211"/>
      <c r="CG76" s="211"/>
      <c r="CJ76" s="211"/>
      <c r="CK76" s="211"/>
      <c r="CL76" s="211"/>
      <c r="CM76" s="211"/>
      <c r="CN76" s="211"/>
      <c r="CQ76" s="211"/>
      <c r="CR76" s="211"/>
      <c r="CS76" s="211"/>
      <c r="CT76" s="211"/>
      <c r="CU76" s="211"/>
      <c r="CX76" s="211"/>
      <c r="CY76" s="211"/>
      <c r="CZ76" s="211"/>
      <c r="DA76" s="211"/>
      <c r="DB76" s="211"/>
      <c r="DE76" s="211"/>
      <c r="DF76" s="211"/>
      <c r="DG76" s="211"/>
      <c r="DH76" s="211"/>
      <c r="DI76" s="211"/>
      <c r="DL76" s="211"/>
      <c r="DM76" s="211"/>
      <c r="DN76" s="211"/>
      <c r="DO76" s="211"/>
      <c r="DP76" s="211"/>
    </row>
    <row r="77" spans="1:139" s="263" customFormat="1" x14ac:dyDescent="0.25">
      <c r="A77" s="211"/>
      <c r="B77" s="283"/>
      <c r="C77" s="284"/>
      <c r="D77" s="211"/>
      <c r="E77" s="211"/>
      <c r="F77" s="211"/>
      <c r="G77" s="211"/>
      <c r="H77" s="211"/>
      <c r="K77" s="211"/>
      <c r="L77" s="211"/>
      <c r="M77" s="211"/>
      <c r="N77" s="211"/>
      <c r="O77" s="211"/>
      <c r="R77" s="211"/>
      <c r="S77" s="211"/>
      <c r="T77" s="211"/>
      <c r="U77" s="211"/>
      <c r="V77" s="211"/>
      <c r="Y77" s="211"/>
      <c r="Z77" s="211"/>
      <c r="AA77" s="211"/>
      <c r="AB77" s="211"/>
      <c r="AC77" s="211"/>
      <c r="AF77" s="211"/>
      <c r="AG77" s="211"/>
      <c r="AH77" s="211"/>
      <c r="AI77" s="211"/>
      <c r="AJ77" s="211"/>
      <c r="AM77" s="211"/>
      <c r="AN77" s="211"/>
      <c r="AO77" s="211"/>
      <c r="AP77" s="211"/>
      <c r="AQ77" s="211"/>
      <c r="AT77" s="211"/>
      <c r="AU77" s="211"/>
      <c r="AV77" s="211"/>
      <c r="AW77" s="211"/>
      <c r="AX77" s="211"/>
      <c r="BA77" s="211"/>
      <c r="BB77" s="211"/>
      <c r="BC77" s="211"/>
      <c r="BD77" s="211"/>
      <c r="BE77" s="211"/>
      <c r="BH77" s="211"/>
      <c r="BI77" s="211"/>
      <c r="BJ77" s="211"/>
      <c r="BK77" s="211"/>
      <c r="BL77" s="211"/>
      <c r="BO77" s="211"/>
      <c r="BP77" s="211"/>
      <c r="BQ77" s="211"/>
      <c r="BR77" s="211"/>
      <c r="BS77" s="211"/>
      <c r="BV77" s="211"/>
      <c r="BW77" s="211"/>
      <c r="BX77" s="211"/>
      <c r="BY77" s="211"/>
      <c r="BZ77" s="211"/>
      <c r="CC77" s="211"/>
      <c r="CD77" s="211"/>
      <c r="CE77" s="211"/>
      <c r="CF77" s="211"/>
      <c r="CG77" s="211"/>
      <c r="CJ77" s="211"/>
      <c r="CK77" s="211"/>
      <c r="CL77" s="211"/>
      <c r="CM77" s="211"/>
      <c r="CN77" s="211"/>
      <c r="CQ77" s="211"/>
      <c r="CR77" s="211"/>
      <c r="CS77" s="211"/>
      <c r="CT77" s="211"/>
      <c r="CU77" s="211"/>
      <c r="CX77" s="211"/>
      <c r="CY77" s="211"/>
      <c r="CZ77" s="211"/>
      <c r="DA77" s="211"/>
      <c r="DB77" s="211"/>
      <c r="DE77" s="211"/>
      <c r="DF77" s="211"/>
      <c r="DG77" s="211"/>
      <c r="DH77" s="211"/>
      <c r="DI77" s="211"/>
      <c r="DL77" s="211"/>
      <c r="DM77" s="211"/>
      <c r="DN77" s="211"/>
      <c r="DO77" s="211"/>
      <c r="DP77" s="211"/>
    </row>
  </sheetData>
  <mergeCells count="25">
    <mergeCell ref="CC2:CI2"/>
    <mergeCell ref="D2:J2"/>
    <mergeCell ref="K2:Q2"/>
    <mergeCell ref="R2:X2"/>
    <mergeCell ref="Y2:AE2"/>
    <mergeCell ref="AF2:AL2"/>
    <mergeCell ref="AM2:AS2"/>
    <mergeCell ref="AT2:AZ2"/>
    <mergeCell ref="BA2:BG2"/>
    <mergeCell ref="DL1:DR1"/>
    <mergeCell ref="A4:B4"/>
    <mergeCell ref="A30:B30"/>
    <mergeCell ref="CJ2:CP2"/>
    <mergeCell ref="CQ2:CW2"/>
    <mergeCell ref="CX2:DD2"/>
    <mergeCell ref="DE2:DK2"/>
    <mergeCell ref="DL2:DR2"/>
    <mergeCell ref="A1:B3"/>
    <mergeCell ref="D1:AE1"/>
    <mergeCell ref="AF1:BG1"/>
    <mergeCell ref="BH1:CI1"/>
    <mergeCell ref="CJ1:DK1"/>
    <mergeCell ref="BH2:BN2"/>
    <mergeCell ref="BO2:BU2"/>
    <mergeCell ref="BV2:CB2"/>
  </mergeCells>
  <printOptions horizontalCentered="1"/>
  <pageMargins left="0.70866141732283472" right="0.70866141732283472" top="0.74803149606299213" bottom="0.74803149606299213" header="0.31496062992125984" footer="0.31496062992125984"/>
  <pageSetup paperSize="4401" scale="38" fitToWidth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B30F2-2FD8-4FE8-B183-B8283E7C819F}">
  <sheetPr>
    <tabColor rgb="FF7030A0"/>
  </sheetPr>
  <dimension ref="A1:J60"/>
  <sheetViews>
    <sheetView zoomScaleNormal="100" workbookViewId="0">
      <selection activeCell="N14" sqref="N14"/>
    </sheetView>
  </sheetViews>
  <sheetFormatPr defaultColWidth="9.140625" defaultRowHeight="11.25" x14ac:dyDescent="0.2"/>
  <cols>
    <col min="1" max="1" width="8.140625" style="49" customWidth="1"/>
    <col min="2" max="2" width="79" style="49" customWidth="1"/>
    <col min="3" max="3" width="11.42578125" style="51" customWidth="1"/>
    <col min="4" max="4" width="10.42578125" style="51" customWidth="1"/>
    <col min="5" max="5" width="13.140625" style="52" customWidth="1"/>
    <col min="6" max="6" width="18.28515625" style="52" customWidth="1"/>
    <col min="7" max="7" width="13.85546875" style="49" customWidth="1"/>
    <col min="8" max="10" width="14.140625" style="49" bestFit="1" customWidth="1"/>
    <col min="11" max="256" width="9.140625" style="49"/>
    <col min="257" max="257" width="8.140625" style="49" customWidth="1"/>
    <col min="258" max="258" width="70.42578125" style="49" bestFit="1" customWidth="1"/>
    <col min="259" max="259" width="11.42578125" style="49" customWidth="1"/>
    <col min="260" max="260" width="10.42578125" style="49" customWidth="1"/>
    <col min="261" max="261" width="13.140625" style="49" customWidth="1"/>
    <col min="262" max="262" width="14.140625" style="49" customWidth="1"/>
    <col min="263" max="263" width="12.28515625" style="49" customWidth="1"/>
    <col min="264" max="512" width="9.140625" style="49"/>
    <col min="513" max="513" width="8.140625" style="49" customWidth="1"/>
    <col min="514" max="514" width="70.42578125" style="49" bestFit="1" customWidth="1"/>
    <col min="515" max="515" width="11.42578125" style="49" customWidth="1"/>
    <col min="516" max="516" width="10.42578125" style="49" customWidth="1"/>
    <col min="517" max="517" width="13.140625" style="49" customWidth="1"/>
    <col min="518" max="518" width="14.140625" style="49" customWidth="1"/>
    <col min="519" max="519" width="12.28515625" style="49" customWidth="1"/>
    <col min="520" max="768" width="9.140625" style="49"/>
    <col min="769" max="769" width="8.140625" style="49" customWidth="1"/>
    <col min="770" max="770" width="70.42578125" style="49" bestFit="1" customWidth="1"/>
    <col min="771" max="771" width="11.42578125" style="49" customWidth="1"/>
    <col min="772" max="772" width="10.42578125" style="49" customWidth="1"/>
    <col min="773" max="773" width="13.140625" style="49" customWidth="1"/>
    <col min="774" max="774" width="14.140625" style="49" customWidth="1"/>
    <col min="775" max="775" width="12.28515625" style="49" customWidth="1"/>
    <col min="776" max="1024" width="9.140625" style="49"/>
    <col min="1025" max="1025" width="8.140625" style="49" customWidth="1"/>
    <col min="1026" max="1026" width="70.42578125" style="49" bestFit="1" customWidth="1"/>
    <col min="1027" max="1027" width="11.42578125" style="49" customWidth="1"/>
    <col min="1028" max="1028" width="10.42578125" style="49" customWidth="1"/>
    <col min="1029" max="1029" width="13.140625" style="49" customWidth="1"/>
    <col min="1030" max="1030" width="14.140625" style="49" customWidth="1"/>
    <col min="1031" max="1031" width="12.28515625" style="49" customWidth="1"/>
    <col min="1032" max="1280" width="9.140625" style="49"/>
    <col min="1281" max="1281" width="8.140625" style="49" customWidth="1"/>
    <col min="1282" max="1282" width="70.42578125" style="49" bestFit="1" customWidth="1"/>
    <col min="1283" max="1283" width="11.42578125" style="49" customWidth="1"/>
    <col min="1284" max="1284" width="10.42578125" style="49" customWidth="1"/>
    <col min="1285" max="1285" width="13.140625" style="49" customWidth="1"/>
    <col min="1286" max="1286" width="14.140625" style="49" customWidth="1"/>
    <col min="1287" max="1287" width="12.28515625" style="49" customWidth="1"/>
    <col min="1288" max="1536" width="9.140625" style="49"/>
    <col min="1537" max="1537" width="8.140625" style="49" customWidth="1"/>
    <col min="1538" max="1538" width="70.42578125" style="49" bestFit="1" customWidth="1"/>
    <col min="1539" max="1539" width="11.42578125" style="49" customWidth="1"/>
    <col min="1540" max="1540" width="10.42578125" style="49" customWidth="1"/>
    <col min="1541" max="1541" width="13.140625" style="49" customWidth="1"/>
    <col min="1542" max="1542" width="14.140625" style="49" customWidth="1"/>
    <col min="1543" max="1543" width="12.28515625" style="49" customWidth="1"/>
    <col min="1544" max="1792" width="9.140625" style="49"/>
    <col min="1793" max="1793" width="8.140625" style="49" customWidth="1"/>
    <col min="1794" max="1794" width="70.42578125" style="49" bestFit="1" customWidth="1"/>
    <col min="1795" max="1795" width="11.42578125" style="49" customWidth="1"/>
    <col min="1796" max="1796" width="10.42578125" style="49" customWidth="1"/>
    <col min="1797" max="1797" width="13.140625" style="49" customWidth="1"/>
    <col min="1798" max="1798" width="14.140625" style="49" customWidth="1"/>
    <col min="1799" max="1799" width="12.28515625" style="49" customWidth="1"/>
    <col min="1800" max="2048" width="9.140625" style="49"/>
    <col min="2049" max="2049" width="8.140625" style="49" customWidth="1"/>
    <col min="2050" max="2050" width="70.42578125" style="49" bestFit="1" customWidth="1"/>
    <col min="2051" max="2051" width="11.42578125" style="49" customWidth="1"/>
    <col min="2052" max="2052" width="10.42578125" style="49" customWidth="1"/>
    <col min="2053" max="2053" width="13.140625" style="49" customWidth="1"/>
    <col min="2054" max="2054" width="14.140625" style="49" customWidth="1"/>
    <col min="2055" max="2055" width="12.28515625" style="49" customWidth="1"/>
    <col min="2056" max="2304" width="9.140625" style="49"/>
    <col min="2305" max="2305" width="8.140625" style="49" customWidth="1"/>
    <col min="2306" max="2306" width="70.42578125" style="49" bestFit="1" customWidth="1"/>
    <col min="2307" max="2307" width="11.42578125" style="49" customWidth="1"/>
    <col min="2308" max="2308" width="10.42578125" style="49" customWidth="1"/>
    <col min="2309" max="2309" width="13.140625" style="49" customWidth="1"/>
    <col min="2310" max="2310" width="14.140625" style="49" customWidth="1"/>
    <col min="2311" max="2311" width="12.28515625" style="49" customWidth="1"/>
    <col min="2312" max="2560" width="9.140625" style="49"/>
    <col min="2561" max="2561" width="8.140625" style="49" customWidth="1"/>
    <col min="2562" max="2562" width="70.42578125" style="49" bestFit="1" customWidth="1"/>
    <col min="2563" max="2563" width="11.42578125" style="49" customWidth="1"/>
    <col min="2564" max="2564" width="10.42578125" style="49" customWidth="1"/>
    <col min="2565" max="2565" width="13.140625" style="49" customWidth="1"/>
    <col min="2566" max="2566" width="14.140625" style="49" customWidth="1"/>
    <col min="2567" max="2567" width="12.28515625" style="49" customWidth="1"/>
    <col min="2568" max="2816" width="9.140625" style="49"/>
    <col min="2817" max="2817" width="8.140625" style="49" customWidth="1"/>
    <col min="2818" max="2818" width="70.42578125" style="49" bestFit="1" customWidth="1"/>
    <col min="2819" max="2819" width="11.42578125" style="49" customWidth="1"/>
    <col min="2820" max="2820" width="10.42578125" style="49" customWidth="1"/>
    <col min="2821" max="2821" width="13.140625" style="49" customWidth="1"/>
    <col min="2822" max="2822" width="14.140625" style="49" customWidth="1"/>
    <col min="2823" max="2823" width="12.28515625" style="49" customWidth="1"/>
    <col min="2824" max="3072" width="9.140625" style="49"/>
    <col min="3073" max="3073" width="8.140625" style="49" customWidth="1"/>
    <col min="3074" max="3074" width="70.42578125" style="49" bestFit="1" customWidth="1"/>
    <col min="3075" max="3075" width="11.42578125" style="49" customWidth="1"/>
    <col min="3076" max="3076" width="10.42578125" style="49" customWidth="1"/>
    <col min="3077" max="3077" width="13.140625" style="49" customWidth="1"/>
    <col min="3078" max="3078" width="14.140625" style="49" customWidth="1"/>
    <col min="3079" max="3079" width="12.28515625" style="49" customWidth="1"/>
    <col min="3080" max="3328" width="9.140625" style="49"/>
    <col min="3329" max="3329" width="8.140625" style="49" customWidth="1"/>
    <col min="3330" max="3330" width="70.42578125" style="49" bestFit="1" customWidth="1"/>
    <col min="3331" max="3331" width="11.42578125" style="49" customWidth="1"/>
    <col min="3332" max="3332" width="10.42578125" style="49" customWidth="1"/>
    <col min="3333" max="3333" width="13.140625" style="49" customWidth="1"/>
    <col min="3334" max="3334" width="14.140625" style="49" customWidth="1"/>
    <col min="3335" max="3335" width="12.28515625" style="49" customWidth="1"/>
    <col min="3336" max="3584" width="9.140625" style="49"/>
    <col min="3585" max="3585" width="8.140625" style="49" customWidth="1"/>
    <col min="3586" max="3586" width="70.42578125" style="49" bestFit="1" customWidth="1"/>
    <col min="3587" max="3587" width="11.42578125" style="49" customWidth="1"/>
    <col min="3588" max="3588" width="10.42578125" style="49" customWidth="1"/>
    <col min="3589" max="3589" width="13.140625" style="49" customWidth="1"/>
    <col min="3590" max="3590" width="14.140625" style="49" customWidth="1"/>
    <col min="3591" max="3591" width="12.28515625" style="49" customWidth="1"/>
    <col min="3592" max="3840" width="9.140625" style="49"/>
    <col min="3841" max="3841" width="8.140625" style="49" customWidth="1"/>
    <col min="3842" max="3842" width="70.42578125" style="49" bestFit="1" customWidth="1"/>
    <col min="3843" max="3843" width="11.42578125" style="49" customWidth="1"/>
    <col min="3844" max="3844" width="10.42578125" style="49" customWidth="1"/>
    <col min="3845" max="3845" width="13.140625" style="49" customWidth="1"/>
    <col min="3846" max="3846" width="14.140625" style="49" customWidth="1"/>
    <col min="3847" max="3847" width="12.28515625" style="49" customWidth="1"/>
    <col min="3848" max="4096" width="9.140625" style="49"/>
    <col min="4097" max="4097" width="8.140625" style="49" customWidth="1"/>
    <col min="4098" max="4098" width="70.42578125" style="49" bestFit="1" customWidth="1"/>
    <col min="4099" max="4099" width="11.42578125" style="49" customWidth="1"/>
    <col min="4100" max="4100" width="10.42578125" style="49" customWidth="1"/>
    <col min="4101" max="4101" width="13.140625" style="49" customWidth="1"/>
    <col min="4102" max="4102" width="14.140625" style="49" customWidth="1"/>
    <col min="4103" max="4103" width="12.28515625" style="49" customWidth="1"/>
    <col min="4104" max="4352" width="9.140625" style="49"/>
    <col min="4353" max="4353" width="8.140625" style="49" customWidth="1"/>
    <col min="4354" max="4354" width="70.42578125" style="49" bestFit="1" customWidth="1"/>
    <col min="4355" max="4355" width="11.42578125" style="49" customWidth="1"/>
    <col min="4356" max="4356" width="10.42578125" style="49" customWidth="1"/>
    <col min="4357" max="4357" width="13.140625" style="49" customWidth="1"/>
    <col min="4358" max="4358" width="14.140625" style="49" customWidth="1"/>
    <col min="4359" max="4359" width="12.28515625" style="49" customWidth="1"/>
    <col min="4360" max="4608" width="9.140625" style="49"/>
    <col min="4609" max="4609" width="8.140625" style="49" customWidth="1"/>
    <col min="4610" max="4610" width="70.42578125" style="49" bestFit="1" customWidth="1"/>
    <col min="4611" max="4611" width="11.42578125" style="49" customWidth="1"/>
    <col min="4612" max="4612" width="10.42578125" style="49" customWidth="1"/>
    <col min="4613" max="4613" width="13.140625" style="49" customWidth="1"/>
    <col min="4614" max="4614" width="14.140625" style="49" customWidth="1"/>
    <col min="4615" max="4615" width="12.28515625" style="49" customWidth="1"/>
    <col min="4616" max="4864" width="9.140625" style="49"/>
    <col min="4865" max="4865" width="8.140625" style="49" customWidth="1"/>
    <col min="4866" max="4866" width="70.42578125" style="49" bestFit="1" customWidth="1"/>
    <col min="4867" max="4867" width="11.42578125" style="49" customWidth="1"/>
    <col min="4868" max="4868" width="10.42578125" style="49" customWidth="1"/>
    <col min="4869" max="4869" width="13.140625" style="49" customWidth="1"/>
    <col min="4870" max="4870" width="14.140625" style="49" customWidth="1"/>
    <col min="4871" max="4871" width="12.28515625" style="49" customWidth="1"/>
    <col min="4872" max="5120" width="9.140625" style="49"/>
    <col min="5121" max="5121" width="8.140625" style="49" customWidth="1"/>
    <col min="5122" max="5122" width="70.42578125" style="49" bestFit="1" customWidth="1"/>
    <col min="5123" max="5123" width="11.42578125" style="49" customWidth="1"/>
    <col min="5124" max="5124" width="10.42578125" style="49" customWidth="1"/>
    <col min="5125" max="5125" width="13.140625" style="49" customWidth="1"/>
    <col min="5126" max="5126" width="14.140625" style="49" customWidth="1"/>
    <col min="5127" max="5127" width="12.28515625" style="49" customWidth="1"/>
    <col min="5128" max="5376" width="9.140625" style="49"/>
    <col min="5377" max="5377" width="8.140625" style="49" customWidth="1"/>
    <col min="5378" max="5378" width="70.42578125" style="49" bestFit="1" customWidth="1"/>
    <col min="5379" max="5379" width="11.42578125" style="49" customWidth="1"/>
    <col min="5380" max="5380" width="10.42578125" style="49" customWidth="1"/>
    <col min="5381" max="5381" width="13.140625" style="49" customWidth="1"/>
    <col min="5382" max="5382" width="14.140625" style="49" customWidth="1"/>
    <col min="5383" max="5383" width="12.28515625" style="49" customWidth="1"/>
    <col min="5384" max="5632" width="9.140625" style="49"/>
    <col min="5633" max="5633" width="8.140625" style="49" customWidth="1"/>
    <col min="5634" max="5634" width="70.42578125" style="49" bestFit="1" customWidth="1"/>
    <col min="5635" max="5635" width="11.42578125" style="49" customWidth="1"/>
    <col min="5636" max="5636" width="10.42578125" style="49" customWidth="1"/>
    <col min="5637" max="5637" width="13.140625" style="49" customWidth="1"/>
    <col min="5638" max="5638" width="14.140625" style="49" customWidth="1"/>
    <col min="5639" max="5639" width="12.28515625" style="49" customWidth="1"/>
    <col min="5640" max="5888" width="9.140625" style="49"/>
    <col min="5889" max="5889" width="8.140625" style="49" customWidth="1"/>
    <col min="5890" max="5890" width="70.42578125" style="49" bestFit="1" customWidth="1"/>
    <col min="5891" max="5891" width="11.42578125" style="49" customWidth="1"/>
    <col min="5892" max="5892" width="10.42578125" style="49" customWidth="1"/>
    <col min="5893" max="5893" width="13.140625" style="49" customWidth="1"/>
    <col min="5894" max="5894" width="14.140625" style="49" customWidth="1"/>
    <col min="5895" max="5895" width="12.28515625" style="49" customWidth="1"/>
    <col min="5896" max="6144" width="9.140625" style="49"/>
    <col min="6145" max="6145" width="8.140625" style="49" customWidth="1"/>
    <col min="6146" max="6146" width="70.42578125" style="49" bestFit="1" customWidth="1"/>
    <col min="6147" max="6147" width="11.42578125" style="49" customWidth="1"/>
    <col min="6148" max="6148" width="10.42578125" style="49" customWidth="1"/>
    <col min="6149" max="6149" width="13.140625" style="49" customWidth="1"/>
    <col min="6150" max="6150" width="14.140625" style="49" customWidth="1"/>
    <col min="6151" max="6151" width="12.28515625" style="49" customWidth="1"/>
    <col min="6152" max="6400" width="9.140625" style="49"/>
    <col min="6401" max="6401" width="8.140625" style="49" customWidth="1"/>
    <col min="6402" max="6402" width="70.42578125" style="49" bestFit="1" customWidth="1"/>
    <col min="6403" max="6403" width="11.42578125" style="49" customWidth="1"/>
    <col min="6404" max="6404" width="10.42578125" style="49" customWidth="1"/>
    <col min="6405" max="6405" width="13.140625" style="49" customWidth="1"/>
    <col min="6406" max="6406" width="14.140625" style="49" customWidth="1"/>
    <col min="6407" max="6407" width="12.28515625" style="49" customWidth="1"/>
    <col min="6408" max="6656" width="9.140625" style="49"/>
    <col min="6657" max="6657" width="8.140625" style="49" customWidth="1"/>
    <col min="6658" max="6658" width="70.42578125" style="49" bestFit="1" customWidth="1"/>
    <col min="6659" max="6659" width="11.42578125" style="49" customWidth="1"/>
    <col min="6660" max="6660" width="10.42578125" style="49" customWidth="1"/>
    <col min="6661" max="6661" width="13.140625" style="49" customWidth="1"/>
    <col min="6662" max="6662" width="14.140625" style="49" customWidth="1"/>
    <col min="6663" max="6663" width="12.28515625" style="49" customWidth="1"/>
    <col min="6664" max="6912" width="9.140625" style="49"/>
    <col min="6913" max="6913" width="8.140625" style="49" customWidth="1"/>
    <col min="6914" max="6914" width="70.42578125" style="49" bestFit="1" customWidth="1"/>
    <col min="6915" max="6915" width="11.42578125" style="49" customWidth="1"/>
    <col min="6916" max="6916" width="10.42578125" style="49" customWidth="1"/>
    <col min="6917" max="6917" width="13.140625" style="49" customWidth="1"/>
    <col min="6918" max="6918" width="14.140625" style="49" customWidth="1"/>
    <col min="6919" max="6919" width="12.28515625" style="49" customWidth="1"/>
    <col min="6920" max="7168" width="9.140625" style="49"/>
    <col min="7169" max="7169" width="8.140625" style="49" customWidth="1"/>
    <col min="7170" max="7170" width="70.42578125" style="49" bestFit="1" customWidth="1"/>
    <col min="7171" max="7171" width="11.42578125" style="49" customWidth="1"/>
    <col min="7172" max="7172" width="10.42578125" style="49" customWidth="1"/>
    <col min="7173" max="7173" width="13.140625" style="49" customWidth="1"/>
    <col min="7174" max="7174" width="14.140625" style="49" customWidth="1"/>
    <col min="7175" max="7175" width="12.28515625" style="49" customWidth="1"/>
    <col min="7176" max="7424" width="9.140625" style="49"/>
    <col min="7425" max="7425" width="8.140625" style="49" customWidth="1"/>
    <col min="7426" max="7426" width="70.42578125" style="49" bestFit="1" customWidth="1"/>
    <col min="7427" max="7427" width="11.42578125" style="49" customWidth="1"/>
    <col min="7428" max="7428" width="10.42578125" style="49" customWidth="1"/>
    <col min="7429" max="7429" width="13.140625" style="49" customWidth="1"/>
    <col min="7430" max="7430" width="14.140625" style="49" customWidth="1"/>
    <col min="7431" max="7431" width="12.28515625" style="49" customWidth="1"/>
    <col min="7432" max="7680" width="9.140625" style="49"/>
    <col min="7681" max="7681" width="8.140625" style="49" customWidth="1"/>
    <col min="7682" max="7682" width="70.42578125" style="49" bestFit="1" customWidth="1"/>
    <col min="7683" max="7683" width="11.42578125" style="49" customWidth="1"/>
    <col min="7684" max="7684" width="10.42578125" style="49" customWidth="1"/>
    <col min="7685" max="7685" width="13.140625" style="49" customWidth="1"/>
    <col min="7686" max="7686" width="14.140625" style="49" customWidth="1"/>
    <col min="7687" max="7687" width="12.28515625" style="49" customWidth="1"/>
    <col min="7688" max="7936" width="9.140625" style="49"/>
    <col min="7937" max="7937" width="8.140625" style="49" customWidth="1"/>
    <col min="7938" max="7938" width="70.42578125" style="49" bestFit="1" customWidth="1"/>
    <col min="7939" max="7939" width="11.42578125" style="49" customWidth="1"/>
    <col min="7940" max="7940" width="10.42578125" style="49" customWidth="1"/>
    <col min="7941" max="7941" width="13.140625" style="49" customWidth="1"/>
    <col min="7942" max="7942" width="14.140625" style="49" customWidth="1"/>
    <col min="7943" max="7943" width="12.28515625" style="49" customWidth="1"/>
    <col min="7944" max="8192" width="9.140625" style="49"/>
    <col min="8193" max="8193" width="8.140625" style="49" customWidth="1"/>
    <col min="8194" max="8194" width="70.42578125" style="49" bestFit="1" customWidth="1"/>
    <col min="8195" max="8195" width="11.42578125" style="49" customWidth="1"/>
    <col min="8196" max="8196" width="10.42578125" style="49" customWidth="1"/>
    <col min="8197" max="8197" width="13.140625" style="49" customWidth="1"/>
    <col min="8198" max="8198" width="14.140625" style="49" customWidth="1"/>
    <col min="8199" max="8199" width="12.28515625" style="49" customWidth="1"/>
    <col min="8200" max="8448" width="9.140625" style="49"/>
    <col min="8449" max="8449" width="8.140625" style="49" customWidth="1"/>
    <col min="8450" max="8450" width="70.42578125" style="49" bestFit="1" customWidth="1"/>
    <col min="8451" max="8451" width="11.42578125" style="49" customWidth="1"/>
    <col min="8452" max="8452" width="10.42578125" style="49" customWidth="1"/>
    <col min="8453" max="8453" width="13.140625" style="49" customWidth="1"/>
    <col min="8454" max="8454" width="14.140625" style="49" customWidth="1"/>
    <col min="8455" max="8455" width="12.28515625" style="49" customWidth="1"/>
    <col min="8456" max="8704" width="9.140625" style="49"/>
    <col min="8705" max="8705" width="8.140625" style="49" customWidth="1"/>
    <col min="8706" max="8706" width="70.42578125" style="49" bestFit="1" customWidth="1"/>
    <col min="8707" max="8707" width="11.42578125" style="49" customWidth="1"/>
    <col min="8708" max="8708" width="10.42578125" style="49" customWidth="1"/>
    <col min="8709" max="8709" width="13.140625" style="49" customWidth="1"/>
    <col min="8710" max="8710" width="14.140625" style="49" customWidth="1"/>
    <col min="8711" max="8711" width="12.28515625" style="49" customWidth="1"/>
    <col min="8712" max="8960" width="9.140625" style="49"/>
    <col min="8961" max="8961" width="8.140625" style="49" customWidth="1"/>
    <col min="8962" max="8962" width="70.42578125" style="49" bestFit="1" customWidth="1"/>
    <col min="8963" max="8963" width="11.42578125" style="49" customWidth="1"/>
    <col min="8964" max="8964" width="10.42578125" style="49" customWidth="1"/>
    <col min="8965" max="8965" width="13.140625" style="49" customWidth="1"/>
    <col min="8966" max="8966" width="14.140625" style="49" customWidth="1"/>
    <col min="8967" max="8967" width="12.28515625" style="49" customWidth="1"/>
    <col min="8968" max="9216" width="9.140625" style="49"/>
    <col min="9217" max="9217" width="8.140625" style="49" customWidth="1"/>
    <col min="9218" max="9218" width="70.42578125" style="49" bestFit="1" customWidth="1"/>
    <col min="9219" max="9219" width="11.42578125" style="49" customWidth="1"/>
    <col min="9220" max="9220" width="10.42578125" style="49" customWidth="1"/>
    <col min="9221" max="9221" width="13.140625" style="49" customWidth="1"/>
    <col min="9222" max="9222" width="14.140625" style="49" customWidth="1"/>
    <col min="9223" max="9223" width="12.28515625" style="49" customWidth="1"/>
    <col min="9224" max="9472" width="9.140625" style="49"/>
    <col min="9473" max="9473" width="8.140625" style="49" customWidth="1"/>
    <col min="9474" max="9474" width="70.42578125" style="49" bestFit="1" customWidth="1"/>
    <col min="9475" max="9475" width="11.42578125" style="49" customWidth="1"/>
    <col min="9476" max="9476" width="10.42578125" style="49" customWidth="1"/>
    <col min="9477" max="9477" width="13.140625" style="49" customWidth="1"/>
    <col min="9478" max="9478" width="14.140625" style="49" customWidth="1"/>
    <col min="9479" max="9479" width="12.28515625" style="49" customWidth="1"/>
    <col min="9480" max="9728" width="9.140625" style="49"/>
    <col min="9729" max="9729" width="8.140625" style="49" customWidth="1"/>
    <col min="9730" max="9730" width="70.42578125" style="49" bestFit="1" customWidth="1"/>
    <col min="9731" max="9731" width="11.42578125" style="49" customWidth="1"/>
    <col min="9732" max="9732" width="10.42578125" style="49" customWidth="1"/>
    <col min="9733" max="9733" width="13.140625" style="49" customWidth="1"/>
    <col min="9734" max="9734" width="14.140625" style="49" customWidth="1"/>
    <col min="9735" max="9735" width="12.28515625" style="49" customWidth="1"/>
    <col min="9736" max="9984" width="9.140625" style="49"/>
    <col min="9985" max="9985" width="8.140625" style="49" customWidth="1"/>
    <col min="9986" max="9986" width="70.42578125" style="49" bestFit="1" customWidth="1"/>
    <col min="9987" max="9987" width="11.42578125" style="49" customWidth="1"/>
    <col min="9988" max="9988" width="10.42578125" style="49" customWidth="1"/>
    <col min="9989" max="9989" width="13.140625" style="49" customWidth="1"/>
    <col min="9990" max="9990" width="14.140625" style="49" customWidth="1"/>
    <col min="9991" max="9991" width="12.28515625" style="49" customWidth="1"/>
    <col min="9992" max="10240" width="9.140625" style="49"/>
    <col min="10241" max="10241" width="8.140625" style="49" customWidth="1"/>
    <col min="10242" max="10242" width="70.42578125" style="49" bestFit="1" customWidth="1"/>
    <col min="10243" max="10243" width="11.42578125" style="49" customWidth="1"/>
    <col min="10244" max="10244" width="10.42578125" style="49" customWidth="1"/>
    <col min="10245" max="10245" width="13.140625" style="49" customWidth="1"/>
    <col min="10246" max="10246" width="14.140625" style="49" customWidth="1"/>
    <col min="10247" max="10247" width="12.28515625" style="49" customWidth="1"/>
    <col min="10248" max="10496" width="9.140625" style="49"/>
    <col min="10497" max="10497" width="8.140625" style="49" customWidth="1"/>
    <col min="10498" max="10498" width="70.42578125" style="49" bestFit="1" customWidth="1"/>
    <col min="10499" max="10499" width="11.42578125" style="49" customWidth="1"/>
    <col min="10500" max="10500" width="10.42578125" style="49" customWidth="1"/>
    <col min="10501" max="10501" width="13.140625" style="49" customWidth="1"/>
    <col min="10502" max="10502" width="14.140625" style="49" customWidth="1"/>
    <col min="10503" max="10503" width="12.28515625" style="49" customWidth="1"/>
    <col min="10504" max="10752" width="9.140625" style="49"/>
    <col min="10753" max="10753" width="8.140625" style="49" customWidth="1"/>
    <col min="10754" max="10754" width="70.42578125" style="49" bestFit="1" customWidth="1"/>
    <col min="10755" max="10755" width="11.42578125" style="49" customWidth="1"/>
    <col min="10756" max="10756" width="10.42578125" style="49" customWidth="1"/>
    <col min="10757" max="10757" width="13.140625" style="49" customWidth="1"/>
    <col min="10758" max="10758" width="14.140625" style="49" customWidth="1"/>
    <col min="10759" max="10759" width="12.28515625" style="49" customWidth="1"/>
    <col min="10760" max="11008" width="9.140625" style="49"/>
    <col min="11009" max="11009" width="8.140625" style="49" customWidth="1"/>
    <col min="11010" max="11010" width="70.42578125" style="49" bestFit="1" customWidth="1"/>
    <col min="11011" max="11011" width="11.42578125" style="49" customWidth="1"/>
    <col min="11012" max="11012" width="10.42578125" style="49" customWidth="1"/>
    <col min="11013" max="11013" width="13.140625" style="49" customWidth="1"/>
    <col min="11014" max="11014" width="14.140625" style="49" customWidth="1"/>
    <col min="11015" max="11015" width="12.28515625" style="49" customWidth="1"/>
    <col min="11016" max="11264" width="9.140625" style="49"/>
    <col min="11265" max="11265" width="8.140625" style="49" customWidth="1"/>
    <col min="11266" max="11266" width="70.42578125" style="49" bestFit="1" customWidth="1"/>
    <col min="11267" max="11267" width="11.42578125" style="49" customWidth="1"/>
    <col min="11268" max="11268" width="10.42578125" style="49" customWidth="1"/>
    <col min="11269" max="11269" width="13.140625" style="49" customWidth="1"/>
    <col min="11270" max="11270" width="14.140625" style="49" customWidth="1"/>
    <col min="11271" max="11271" width="12.28515625" style="49" customWidth="1"/>
    <col min="11272" max="11520" width="9.140625" style="49"/>
    <col min="11521" max="11521" width="8.140625" style="49" customWidth="1"/>
    <col min="11522" max="11522" width="70.42578125" style="49" bestFit="1" customWidth="1"/>
    <col min="11523" max="11523" width="11.42578125" style="49" customWidth="1"/>
    <col min="11524" max="11524" width="10.42578125" style="49" customWidth="1"/>
    <col min="11525" max="11525" width="13.140625" style="49" customWidth="1"/>
    <col min="11526" max="11526" width="14.140625" style="49" customWidth="1"/>
    <col min="11527" max="11527" width="12.28515625" style="49" customWidth="1"/>
    <col min="11528" max="11776" width="9.140625" style="49"/>
    <col min="11777" max="11777" width="8.140625" style="49" customWidth="1"/>
    <col min="11778" max="11778" width="70.42578125" style="49" bestFit="1" customWidth="1"/>
    <col min="11779" max="11779" width="11.42578125" style="49" customWidth="1"/>
    <col min="11780" max="11780" width="10.42578125" style="49" customWidth="1"/>
    <col min="11781" max="11781" width="13.140625" style="49" customWidth="1"/>
    <col min="11782" max="11782" width="14.140625" style="49" customWidth="1"/>
    <col min="11783" max="11783" width="12.28515625" style="49" customWidth="1"/>
    <col min="11784" max="12032" width="9.140625" style="49"/>
    <col min="12033" max="12033" width="8.140625" style="49" customWidth="1"/>
    <col min="12034" max="12034" width="70.42578125" style="49" bestFit="1" customWidth="1"/>
    <col min="12035" max="12035" width="11.42578125" style="49" customWidth="1"/>
    <col min="12036" max="12036" width="10.42578125" style="49" customWidth="1"/>
    <col min="12037" max="12037" width="13.140625" style="49" customWidth="1"/>
    <col min="12038" max="12038" width="14.140625" style="49" customWidth="1"/>
    <col min="12039" max="12039" width="12.28515625" style="49" customWidth="1"/>
    <col min="12040" max="12288" width="9.140625" style="49"/>
    <col min="12289" max="12289" width="8.140625" style="49" customWidth="1"/>
    <col min="12290" max="12290" width="70.42578125" style="49" bestFit="1" customWidth="1"/>
    <col min="12291" max="12291" width="11.42578125" style="49" customWidth="1"/>
    <col min="12292" max="12292" width="10.42578125" style="49" customWidth="1"/>
    <col min="12293" max="12293" width="13.140625" style="49" customWidth="1"/>
    <col min="12294" max="12294" width="14.140625" style="49" customWidth="1"/>
    <col min="12295" max="12295" width="12.28515625" style="49" customWidth="1"/>
    <col min="12296" max="12544" width="9.140625" style="49"/>
    <col min="12545" max="12545" width="8.140625" style="49" customWidth="1"/>
    <col min="12546" max="12546" width="70.42578125" style="49" bestFit="1" customWidth="1"/>
    <col min="12547" max="12547" width="11.42578125" style="49" customWidth="1"/>
    <col min="12548" max="12548" width="10.42578125" style="49" customWidth="1"/>
    <col min="12549" max="12549" width="13.140625" style="49" customWidth="1"/>
    <col min="12550" max="12550" width="14.140625" style="49" customWidth="1"/>
    <col min="12551" max="12551" width="12.28515625" style="49" customWidth="1"/>
    <col min="12552" max="12800" width="9.140625" style="49"/>
    <col min="12801" max="12801" width="8.140625" style="49" customWidth="1"/>
    <col min="12802" max="12802" width="70.42578125" style="49" bestFit="1" customWidth="1"/>
    <col min="12803" max="12803" width="11.42578125" style="49" customWidth="1"/>
    <col min="12804" max="12804" width="10.42578125" style="49" customWidth="1"/>
    <col min="12805" max="12805" width="13.140625" style="49" customWidth="1"/>
    <col min="12806" max="12806" width="14.140625" style="49" customWidth="1"/>
    <col min="12807" max="12807" width="12.28515625" style="49" customWidth="1"/>
    <col min="12808" max="13056" width="9.140625" style="49"/>
    <col min="13057" max="13057" width="8.140625" style="49" customWidth="1"/>
    <col min="13058" max="13058" width="70.42578125" style="49" bestFit="1" customWidth="1"/>
    <col min="13059" max="13059" width="11.42578125" style="49" customWidth="1"/>
    <col min="13060" max="13060" width="10.42578125" style="49" customWidth="1"/>
    <col min="13061" max="13061" width="13.140625" style="49" customWidth="1"/>
    <col min="13062" max="13062" width="14.140625" style="49" customWidth="1"/>
    <col min="13063" max="13063" width="12.28515625" style="49" customWidth="1"/>
    <col min="13064" max="13312" width="9.140625" style="49"/>
    <col min="13313" max="13313" width="8.140625" style="49" customWidth="1"/>
    <col min="13314" max="13314" width="70.42578125" style="49" bestFit="1" customWidth="1"/>
    <col min="13315" max="13315" width="11.42578125" style="49" customWidth="1"/>
    <col min="13316" max="13316" width="10.42578125" style="49" customWidth="1"/>
    <col min="13317" max="13317" width="13.140625" style="49" customWidth="1"/>
    <col min="13318" max="13318" width="14.140625" style="49" customWidth="1"/>
    <col min="13319" max="13319" width="12.28515625" style="49" customWidth="1"/>
    <col min="13320" max="13568" width="9.140625" style="49"/>
    <col min="13569" max="13569" width="8.140625" style="49" customWidth="1"/>
    <col min="13570" max="13570" width="70.42578125" style="49" bestFit="1" customWidth="1"/>
    <col min="13571" max="13571" width="11.42578125" style="49" customWidth="1"/>
    <col min="13572" max="13572" width="10.42578125" style="49" customWidth="1"/>
    <col min="13573" max="13573" width="13.140625" style="49" customWidth="1"/>
    <col min="13574" max="13574" width="14.140625" style="49" customWidth="1"/>
    <col min="13575" max="13575" width="12.28515625" style="49" customWidth="1"/>
    <col min="13576" max="13824" width="9.140625" style="49"/>
    <col min="13825" max="13825" width="8.140625" style="49" customWidth="1"/>
    <col min="13826" max="13826" width="70.42578125" style="49" bestFit="1" customWidth="1"/>
    <col min="13827" max="13827" width="11.42578125" style="49" customWidth="1"/>
    <col min="13828" max="13828" width="10.42578125" style="49" customWidth="1"/>
    <col min="13829" max="13829" width="13.140625" style="49" customWidth="1"/>
    <col min="13830" max="13830" width="14.140625" style="49" customWidth="1"/>
    <col min="13831" max="13831" width="12.28515625" style="49" customWidth="1"/>
    <col min="13832" max="14080" width="9.140625" style="49"/>
    <col min="14081" max="14081" width="8.140625" style="49" customWidth="1"/>
    <col min="14082" max="14082" width="70.42578125" style="49" bestFit="1" customWidth="1"/>
    <col min="14083" max="14083" width="11.42578125" style="49" customWidth="1"/>
    <col min="14084" max="14084" width="10.42578125" style="49" customWidth="1"/>
    <col min="14085" max="14085" width="13.140625" style="49" customWidth="1"/>
    <col min="14086" max="14086" width="14.140625" style="49" customWidth="1"/>
    <col min="14087" max="14087" width="12.28515625" style="49" customWidth="1"/>
    <col min="14088" max="14336" width="9.140625" style="49"/>
    <col min="14337" max="14337" width="8.140625" style="49" customWidth="1"/>
    <col min="14338" max="14338" width="70.42578125" style="49" bestFit="1" customWidth="1"/>
    <col min="14339" max="14339" width="11.42578125" style="49" customWidth="1"/>
    <col min="14340" max="14340" width="10.42578125" style="49" customWidth="1"/>
    <col min="14341" max="14341" width="13.140625" style="49" customWidth="1"/>
    <col min="14342" max="14342" width="14.140625" style="49" customWidth="1"/>
    <col min="14343" max="14343" width="12.28515625" style="49" customWidth="1"/>
    <col min="14344" max="14592" width="9.140625" style="49"/>
    <col min="14593" max="14593" width="8.140625" style="49" customWidth="1"/>
    <col min="14594" max="14594" width="70.42578125" style="49" bestFit="1" customWidth="1"/>
    <col min="14595" max="14595" width="11.42578125" style="49" customWidth="1"/>
    <col min="14596" max="14596" width="10.42578125" style="49" customWidth="1"/>
    <col min="14597" max="14597" width="13.140625" style="49" customWidth="1"/>
    <col min="14598" max="14598" width="14.140625" style="49" customWidth="1"/>
    <col min="14599" max="14599" width="12.28515625" style="49" customWidth="1"/>
    <col min="14600" max="14848" width="9.140625" style="49"/>
    <col min="14849" max="14849" width="8.140625" style="49" customWidth="1"/>
    <col min="14850" max="14850" width="70.42578125" style="49" bestFit="1" customWidth="1"/>
    <col min="14851" max="14851" width="11.42578125" style="49" customWidth="1"/>
    <col min="14852" max="14852" width="10.42578125" style="49" customWidth="1"/>
    <col min="14853" max="14853" width="13.140625" style="49" customWidth="1"/>
    <col min="14854" max="14854" width="14.140625" style="49" customWidth="1"/>
    <col min="14855" max="14855" width="12.28515625" style="49" customWidth="1"/>
    <col min="14856" max="15104" width="9.140625" style="49"/>
    <col min="15105" max="15105" width="8.140625" style="49" customWidth="1"/>
    <col min="15106" max="15106" width="70.42578125" style="49" bestFit="1" customWidth="1"/>
    <col min="15107" max="15107" width="11.42578125" style="49" customWidth="1"/>
    <col min="15108" max="15108" width="10.42578125" style="49" customWidth="1"/>
    <col min="15109" max="15109" width="13.140625" style="49" customWidth="1"/>
    <col min="15110" max="15110" width="14.140625" style="49" customWidth="1"/>
    <col min="15111" max="15111" width="12.28515625" style="49" customWidth="1"/>
    <col min="15112" max="15360" width="9.140625" style="49"/>
    <col min="15361" max="15361" width="8.140625" style="49" customWidth="1"/>
    <col min="15362" max="15362" width="70.42578125" style="49" bestFit="1" customWidth="1"/>
    <col min="15363" max="15363" width="11.42578125" style="49" customWidth="1"/>
    <col min="15364" max="15364" width="10.42578125" style="49" customWidth="1"/>
    <col min="15365" max="15365" width="13.140625" style="49" customWidth="1"/>
    <col min="15366" max="15366" width="14.140625" style="49" customWidth="1"/>
    <col min="15367" max="15367" width="12.28515625" style="49" customWidth="1"/>
    <col min="15368" max="15616" width="9.140625" style="49"/>
    <col min="15617" max="15617" width="8.140625" style="49" customWidth="1"/>
    <col min="15618" max="15618" width="70.42578125" style="49" bestFit="1" customWidth="1"/>
    <col min="15619" max="15619" width="11.42578125" style="49" customWidth="1"/>
    <col min="15620" max="15620" width="10.42578125" style="49" customWidth="1"/>
    <col min="15621" max="15621" width="13.140625" style="49" customWidth="1"/>
    <col min="15622" max="15622" width="14.140625" style="49" customWidth="1"/>
    <col min="15623" max="15623" width="12.28515625" style="49" customWidth="1"/>
    <col min="15624" max="15872" width="9.140625" style="49"/>
    <col min="15873" max="15873" width="8.140625" style="49" customWidth="1"/>
    <col min="15874" max="15874" width="70.42578125" style="49" bestFit="1" customWidth="1"/>
    <col min="15875" max="15875" width="11.42578125" style="49" customWidth="1"/>
    <col min="15876" max="15876" width="10.42578125" style="49" customWidth="1"/>
    <col min="15877" max="15877" width="13.140625" style="49" customWidth="1"/>
    <col min="15878" max="15878" width="14.140625" style="49" customWidth="1"/>
    <col min="15879" max="15879" width="12.28515625" style="49" customWidth="1"/>
    <col min="15880" max="16128" width="9.140625" style="49"/>
    <col min="16129" max="16129" width="8.140625" style="49" customWidth="1"/>
    <col min="16130" max="16130" width="70.42578125" style="49" bestFit="1" customWidth="1"/>
    <col min="16131" max="16131" width="11.42578125" style="49" customWidth="1"/>
    <col min="16132" max="16132" width="10.42578125" style="49" customWidth="1"/>
    <col min="16133" max="16133" width="13.140625" style="49" customWidth="1"/>
    <col min="16134" max="16134" width="14.140625" style="49" customWidth="1"/>
    <col min="16135" max="16135" width="12.28515625" style="49" customWidth="1"/>
    <col min="16136" max="16384" width="9.140625" style="49"/>
  </cols>
  <sheetData>
    <row r="1" spans="1:10" x14ac:dyDescent="0.2">
      <c r="B1" s="50" t="s">
        <v>22</v>
      </c>
    </row>
    <row r="2" spans="1:10" x14ac:dyDescent="0.2">
      <c r="B2" s="50" t="s">
        <v>23</v>
      </c>
    </row>
    <row r="3" spans="1:10" x14ac:dyDescent="0.2">
      <c r="B3" s="49" t="s">
        <v>24</v>
      </c>
    </row>
    <row r="4" spans="1:10" ht="15" x14ac:dyDescent="0.25">
      <c r="A4" s="53" t="s">
        <v>25</v>
      </c>
      <c r="B4" s="54"/>
    </row>
    <row r="5" spans="1:10" ht="12" thickBot="1" x14ac:dyDescent="0.25">
      <c r="A5" s="53"/>
      <c r="C5" s="53"/>
      <c r="D5" s="53"/>
      <c r="E5" s="59"/>
      <c r="F5" s="59"/>
    </row>
    <row r="6" spans="1:10" x14ac:dyDescent="0.2">
      <c r="A6" s="53"/>
      <c r="B6" s="140" t="s">
        <v>528</v>
      </c>
      <c r="C6" s="141"/>
      <c r="D6" s="53"/>
      <c r="E6" s="59"/>
      <c r="F6" s="59"/>
    </row>
    <row r="7" spans="1:10" x14ac:dyDescent="0.2">
      <c r="A7" s="53"/>
      <c r="B7" s="142" t="s">
        <v>529</v>
      </c>
      <c r="C7" s="143"/>
      <c r="D7" s="53"/>
      <c r="E7" s="59"/>
      <c r="F7" s="59" t="s">
        <v>530</v>
      </c>
      <c r="G7" s="49" t="s">
        <v>531</v>
      </c>
      <c r="H7" s="200" t="s">
        <v>532</v>
      </c>
    </row>
    <row r="8" spans="1:10" x14ac:dyDescent="0.2">
      <c r="A8" s="53"/>
      <c r="B8" s="144" t="s">
        <v>533</v>
      </c>
      <c r="C8" s="145">
        <v>24</v>
      </c>
      <c r="D8" s="53"/>
      <c r="E8" s="59"/>
      <c r="F8" s="202" t="s">
        <v>534</v>
      </c>
      <c r="G8" s="66"/>
      <c r="H8" s="200"/>
    </row>
    <row r="9" spans="1:10" x14ac:dyDescent="0.2">
      <c r="A9" s="53"/>
      <c r="B9" s="144" t="s">
        <v>535</v>
      </c>
      <c r="C9" s="145">
        <v>4</v>
      </c>
      <c r="D9" s="53"/>
      <c r="E9" s="59"/>
      <c r="F9" s="201">
        <v>2.5000000000000001E-2</v>
      </c>
      <c r="G9" s="66">
        <f>G8+(G8*F9)</f>
        <v>0</v>
      </c>
      <c r="H9" s="203">
        <f>G9-G8</f>
        <v>0</v>
      </c>
    </row>
    <row r="10" spans="1:10" x14ac:dyDescent="0.2">
      <c r="A10" s="53"/>
      <c r="B10" s="144" t="s">
        <v>536</v>
      </c>
      <c r="C10" s="145">
        <v>8.75</v>
      </c>
      <c r="D10" s="53"/>
      <c r="E10" s="59"/>
      <c r="F10" s="201">
        <v>0.05</v>
      </c>
      <c r="G10" s="66">
        <f t="shared" ref="G10:G12" si="0">G9+(G9*F10)</f>
        <v>0</v>
      </c>
      <c r="H10" s="203">
        <f>G10-$G$8</f>
        <v>0</v>
      </c>
    </row>
    <row r="11" spans="1:10" x14ac:dyDescent="0.2">
      <c r="A11" s="53"/>
      <c r="B11" s="144" t="s">
        <v>537</v>
      </c>
      <c r="C11" s="145">
        <v>6</v>
      </c>
      <c r="D11" s="53"/>
      <c r="E11" s="59"/>
      <c r="F11" s="201">
        <v>7.4999999999999997E-2</v>
      </c>
      <c r="G11" s="66">
        <f t="shared" si="0"/>
        <v>0</v>
      </c>
      <c r="H11" s="203">
        <f t="shared" ref="H11:H12" si="1">G11-$G$8</f>
        <v>0</v>
      </c>
    </row>
    <row r="12" spans="1:10" ht="12" thickBot="1" x14ac:dyDescent="0.25">
      <c r="A12" s="53"/>
      <c r="B12" s="146" t="s">
        <v>538</v>
      </c>
      <c r="C12" s="147">
        <f>C10*C8</f>
        <v>210</v>
      </c>
      <c r="D12" s="53"/>
      <c r="E12" s="59"/>
      <c r="F12" s="201">
        <v>0.1</v>
      </c>
      <c r="G12" s="66">
        <f t="shared" si="0"/>
        <v>0</v>
      </c>
      <c r="H12" s="203">
        <f t="shared" si="1"/>
        <v>0</v>
      </c>
    </row>
    <row r="13" spans="1:10" ht="12" thickBot="1" x14ac:dyDescent="0.25">
      <c r="A13" s="53"/>
      <c r="C13" s="53"/>
      <c r="D13" s="53"/>
      <c r="E13" s="59"/>
      <c r="F13" s="59"/>
    </row>
    <row r="14" spans="1:10" ht="18.75" thickBot="1" x14ac:dyDescent="0.3">
      <c r="A14" s="53"/>
      <c r="B14" s="581" t="s">
        <v>539</v>
      </c>
      <c r="C14" s="582"/>
      <c r="D14" s="582"/>
      <c r="E14" s="582"/>
      <c r="F14" s="583"/>
      <c r="G14" s="49" t="s">
        <v>540</v>
      </c>
      <c r="H14" s="49" t="s">
        <v>541</v>
      </c>
      <c r="I14" s="49" t="s">
        <v>542</v>
      </c>
      <c r="J14" s="49" t="s">
        <v>543</v>
      </c>
    </row>
    <row r="15" spans="1:10" ht="12" thickBot="1" x14ac:dyDescent="0.25">
      <c r="A15" s="53"/>
      <c r="C15" s="53" t="s">
        <v>28</v>
      </c>
      <c r="D15" s="53" t="s">
        <v>29</v>
      </c>
      <c r="E15" s="59" t="s">
        <v>30</v>
      </c>
      <c r="F15" s="59" t="s">
        <v>31</v>
      </c>
    </row>
    <row r="16" spans="1:10" ht="12" thickBot="1" x14ac:dyDescent="0.25">
      <c r="A16" s="53"/>
      <c r="B16" s="148" t="s">
        <v>34</v>
      </c>
      <c r="C16" s="149" t="s">
        <v>72</v>
      </c>
      <c r="D16" s="149">
        <v>1</v>
      </c>
      <c r="E16" s="174">
        <v>94</v>
      </c>
      <c r="F16" s="150">
        <f>D16*E16</f>
        <v>94</v>
      </c>
      <c r="G16" s="66">
        <f>E16+(F16*$F$9)</f>
        <v>96.35</v>
      </c>
      <c r="H16" s="66">
        <f>E16+(E16*$F$10)</f>
        <v>98.7</v>
      </c>
      <c r="I16" s="66">
        <f>E16+(E16*$F$11)</f>
        <v>101.05</v>
      </c>
      <c r="J16" s="66">
        <f>E16+(E16*$F$12)</f>
        <v>103.4</v>
      </c>
    </row>
    <row r="17" spans="1:10" x14ac:dyDescent="0.2">
      <c r="A17" s="53"/>
      <c r="B17" s="151"/>
      <c r="C17" s="152" t="s">
        <v>65</v>
      </c>
      <c r="D17" s="153">
        <v>1</v>
      </c>
      <c r="E17" s="154">
        <f>E16*$C$10</f>
        <v>822.5</v>
      </c>
      <c r="F17" s="155">
        <f t="shared" ref="F17:F19" si="2">D17*E17</f>
        <v>822.5</v>
      </c>
      <c r="G17" s="154">
        <f>G16*$C$10</f>
        <v>843.0625</v>
      </c>
      <c r="H17" s="154">
        <f t="shared" ref="H17:J17" si="3">H16*$C$10</f>
        <v>863.625</v>
      </c>
      <c r="I17" s="154">
        <f t="shared" si="3"/>
        <v>884.1875</v>
      </c>
      <c r="J17" s="154">
        <f t="shared" si="3"/>
        <v>904.75</v>
      </c>
    </row>
    <row r="18" spans="1:10" x14ac:dyDescent="0.2">
      <c r="A18" s="53"/>
      <c r="B18" s="156" t="str">
        <f>B16</f>
        <v>TRADESMAN_LEADING HAND</v>
      </c>
      <c r="C18" s="152" t="s">
        <v>544</v>
      </c>
      <c r="D18" s="153">
        <v>1</v>
      </c>
      <c r="E18" s="154">
        <f>E17*$C$11</f>
        <v>4935</v>
      </c>
      <c r="F18" s="155">
        <f t="shared" si="2"/>
        <v>4935</v>
      </c>
      <c r="G18" s="154">
        <f>G17*$C$11</f>
        <v>5058.375</v>
      </c>
      <c r="H18" s="154">
        <f t="shared" ref="H18:J18" si="4">H17*$C$11</f>
        <v>5181.75</v>
      </c>
      <c r="I18" s="154">
        <f t="shared" si="4"/>
        <v>5305.125</v>
      </c>
      <c r="J18" s="154">
        <f t="shared" si="4"/>
        <v>5428.5</v>
      </c>
    </row>
    <row r="19" spans="1:10" ht="12" thickBot="1" x14ac:dyDescent="0.25">
      <c r="A19" s="53"/>
      <c r="B19" s="156"/>
      <c r="C19" s="152" t="s">
        <v>545</v>
      </c>
      <c r="D19" s="157">
        <v>1</v>
      </c>
      <c r="E19" s="158">
        <f>E17*$C$8</f>
        <v>19740</v>
      </c>
      <c r="F19" s="155">
        <f t="shared" si="2"/>
        <v>19740</v>
      </c>
      <c r="G19" s="158">
        <f>G17*$C$8</f>
        <v>20233.5</v>
      </c>
      <c r="H19" s="158">
        <f t="shared" ref="H19:J19" si="5">H17*$C$8</f>
        <v>20727</v>
      </c>
      <c r="I19" s="158">
        <f t="shared" si="5"/>
        <v>21220.5</v>
      </c>
      <c r="J19" s="158">
        <f t="shared" si="5"/>
        <v>21714</v>
      </c>
    </row>
    <row r="20" spans="1:10" x14ac:dyDescent="0.2">
      <c r="A20" s="53"/>
      <c r="B20" s="142"/>
      <c r="C20" s="159"/>
      <c r="E20" s="160"/>
      <c r="F20" s="161"/>
      <c r="I20" s="56"/>
    </row>
    <row r="21" spans="1:10" ht="12" thickBot="1" x14ac:dyDescent="0.25">
      <c r="A21" s="53"/>
      <c r="B21" s="146" t="s">
        <v>546</v>
      </c>
      <c r="C21" s="162">
        <f>COUNTA(B18,B19,B20)</f>
        <v>1</v>
      </c>
      <c r="D21" s="163"/>
      <c r="E21" s="164"/>
      <c r="F21" s="165"/>
      <c r="I21" s="56"/>
    </row>
    <row r="22" spans="1:10" ht="12" thickBot="1" x14ac:dyDescent="0.25">
      <c r="A22" s="53"/>
      <c r="B22" s="50"/>
      <c r="E22" s="160"/>
      <c r="F22" s="56"/>
      <c r="I22" s="56"/>
    </row>
    <row r="23" spans="1:10" ht="12" thickBot="1" x14ac:dyDescent="0.25">
      <c r="A23" s="53"/>
      <c r="B23" s="148" t="s">
        <v>38</v>
      </c>
      <c r="C23" s="149" t="s">
        <v>72</v>
      </c>
      <c r="D23" s="149">
        <v>1</v>
      </c>
      <c r="E23" s="175">
        <f>E44*2+E51</f>
        <v>254</v>
      </c>
      <c r="F23" s="150">
        <f>D23*E23</f>
        <v>254</v>
      </c>
      <c r="G23" s="66">
        <f>E23+(F23*$F$9)</f>
        <v>260.35000000000002</v>
      </c>
      <c r="H23" s="66">
        <f>E23+(E23*$F$10)</f>
        <v>266.7</v>
      </c>
      <c r="I23" s="66">
        <f>E23+(E23*$F$11)</f>
        <v>273.05</v>
      </c>
      <c r="J23" s="66">
        <f>E23+(E23*$F$12)</f>
        <v>279.39999999999998</v>
      </c>
    </row>
    <row r="24" spans="1:10" x14ac:dyDescent="0.2">
      <c r="A24" s="53"/>
      <c r="B24" s="151"/>
      <c r="C24" s="152" t="s">
        <v>65</v>
      </c>
      <c r="D24" s="153">
        <v>1</v>
      </c>
      <c r="E24" s="154">
        <f>E23*$C$10</f>
        <v>2222.5</v>
      </c>
      <c r="F24" s="155">
        <f t="shared" ref="F24:F26" si="6">D24*E24</f>
        <v>2222.5</v>
      </c>
      <c r="G24" s="154">
        <f>G23*$C$10</f>
        <v>2278.0625</v>
      </c>
      <c r="H24" s="154">
        <f>H23*$C$10</f>
        <v>2333.625</v>
      </c>
      <c r="I24" s="154">
        <f>I23*$C$10</f>
        <v>2389.1875</v>
      </c>
      <c r="J24" s="154">
        <f>J23*$C$10</f>
        <v>2444.75</v>
      </c>
    </row>
    <row r="25" spans="1:10" x14ac:dyDescent="0.2">
      <c r="A25" s="53"/>
      <c r="B25" s="156" t="str">
        <f>B44</f>
        <v>TRADESMAN_PLUMBER_OPERATOR</v>
      </c>
      <c r="C25" s="152" t="s">
        <v>544</v>
      </c>
      <c r="D25" s="153">
        <v>1</v>
      </c>
      <c r="E25" s="154">
        <f>E24*$C$11</f>
        <v>13335</v>
      </c>
      <c r="F25" s="155">
        <f t="shared" si="6"/>
        <v>13335</v>
      </c>
      <c r="G25" s="154">
        <f>G24*$C$11</f>
        <v>13668.375</v>
      </c>
      <c r="H25" s="154">
        <f>H24*$C$11</f>
        <v>14001.75</v>
      </c>
      <c r="I25" s="154">
        <f>I24*$C$11</f>
        <v>14335.125</v>
      </c>
      <c r="J25" s="154">
        <f>J24*$C$11</f>
        <v>14668.5</v>
      </c>
    </row>
    <row r="26" spans="1:10" ht="12" thickBot="1" x14ac:dyDescent="0.25">
      <c r="A26" s="53"/>
      <c r="B26" s="156" t="str">
        <f>B44</f>
        <v>TRADESMAN_PLUMBER_OPERATOR</v>
      </c>
      <c r="C26" s="152" t="s">
        <v>545</v>
      </c>
      <c r="D26" s="157">
        <v>1</v>
      </c>
      <c r="E26" s="158">
        <f>E24*$C$8</f>
        <v>53340</v>
      </c>
      <c r="F26" s="155">
        <f t="shared" si="6"/>
        <v>53340</v>
      </c>
      <c r="G26" s="158">
        <f>G24*$C$8</f>
        <v>54673.5</v>
      </c>
      <c r="H26" s="158">
        <f>H24*$C$8</f>
        <v>56007</v>
      </c>
      <c r="I26" s="158">
        <f>I24*$C$8</f>
        <v>57340.5</v>
      </c>
      <c r="J26" s="158">
        <f>J24*$C$8</f>
        <v>58674</v>
      </c>
    </row>
    <row r="27" spans="1:10" x14ac:dyDescent="0.2">
      <c r="A27" s="53"/>
      <c r="B27" s="142" t="str">
        <f>B51</f>
        <v>T/A &amp; Apprentice</v>
      </c>
      <c r="C27" s="159"/>
      <c r="E27" s="56"/>
      <c r="F27" s="161"/>
      <c r="I27" s="56"/>
    </row>
    <row r="28" spans="1:10" ht="12" thickBot="1" x14ac:dyDescent="0.25">
      <c r="A28" s="53"/>
      <c r="B28" s="146" t="s">
        <v>546</v>
      </c>
      <c r="C28" s="162">
        <f>COUNTA(B25,B26,B27)</f>
        <v>3</v>
      </c>
      <c r="D28" s="163"/>
      <c r="E28" s="164"/>
      <c r="F28" s="165"/>
      <c r="I28" s="56"/>
    </row>
    <row r="29" spans="1:10" ht="12" thickBot="1" x14ac:dyDescent="0.25">
      <c r="A29" s="53"/>
      <c r="B29" s="68"/>
      <c r="E29" s="56"/>
      <c r="F29" s="56"/>
      <c r="I29" s="56"/>
    </row>
    <row r="30" spans="1:10" ht="12" thickBot="1" x14ac:dyDescent="0.25">
      <c r="A30" s="53"/>
      <c r="B30" s="173" t="s">
        <v>39</v>
      </c>
      <c r="C30" s="149" t="s">
        <v>72</v>
      </c>
      <c r="D30" s="149">
        <v>1</v>
      </c>
      <c r="E30" s="175">
        <f>E44*2+E51</f>
        <v>254</v>
      </c>
      <c r="F30" s="150">
        <f>D30*E30</f>
        <v>254</v>
      </c>
      <c r="G30" s="66">
        <f>E30+(F30*$F$9)</f>
        <v>260.35000000000002</v>
      </c>
      <c r="H30" s="66">
        <f>E30+(E30*$F$10)</f>
        <v>266.7</v>
      </c>
      <c r="I30" s="66">
        <f>E30+(E30*$F$11)</f>
        <v>273.05</v>
      </c>
      <c r="J30" s="66">
        <f>E30+(E30*$F$12)</f>
        <v>279.39999999999998</v>
      </c>
    </row>
    <row r="31" spans="1:10" x14ac:dyDescent="0.2">
      <c r="A31" s="53"/>
      <c r="B31" s="151"/>
      <c r="C31" s="152" t="s">
        <v>65</v>
      </c>
      <c r="D31" s="153">
        <v>1</v>
      </c>
      <c r="E31" s="154">
        <f>E30*$C$10</f>
        <v>2222.5</v>
      </c>
      <c r="F31" s="155">
        <f t="shared" ref="F31:F33" si="7">D31*E31</f>
        <v>2222.5</v>
      </c>
      <c r="G31" s="154">
        <f>G30*$C$10</f>
        <v>2278.0625</v>
      </c>
      <c r="H31" s="154">
        <f>H30*$C$10</f>
        <v>2333.625</v>
      </c>
      <c r="I31" s="154">
        <f>I30*$C$10</f>
        <v>2389.1875</v>
      </c>
      <c r="J31" s="154">
        <f>J30*$C$10</f>
        <v>2444.75</v>
      </c>
    </row>
    <row r="32" spans="1:10" x14ac:dyDescent="0.2">
      <c r="A32" s="53"/>
      <c r="B32" s="156" t="str">
        <f>B44</f>
        <v>TRADESMAN_PLUMBER_OPERATOR</v>
      </c>
      <c r="C32" s="152" t="s">
        <v>544</v>
      </c>
      <c r="D32" s="153">
        <v>1</v>
      </c>
      <c r="E32" s="154">
        <f>E31*$C$11</f>
        <v>13335</v>
      </c>
      <c r="F32" s="155">
        <f t="shared" si="7"/>
        <v>13335</v>
      </c>
      <c r="G32" s="154">
        <f>G31*$C$11</f>
        <v>13668.375</v>
      </c>
      <c r="H32" s="154">
        <f t="shared" ref="H32:J32" si="8">H31*$C$11</f>
        <v>14001.75</v>
      </c>
      <c r="I32" s="154">
        <f t="shared" si="8"/>
        <v>14335.125</v>
      </c>
      <c r="J32" s="154">
        <f t="shared" si="8"/>
        <v>14668.5</v>
      </c>
    </row>
    <row r="33" spans="1:10" ht="12" thickBot="1" x14ac:dyDescent="0.25">
      <c r="A33" s="53"/>
      <c r="B33" s="156" t="str">
        <f>B44</f>
        <v>TRADESMAN_PLUMBER_OPERATOR</v>
      </c>
      <c r="C33" s="152" t="s">
        <v>545</v>
      </c>
      <c r="D33" s="157">
        <v>1</v>
      </c>
      <c r="E33" s="158">
        <f>E31*$C$8</f>
        <v>53340</v>
      </c>
      <c r="F33" s="155">
        <f t="shared" si="7"/>
        <v>53340</v>
      </c>
      <c r="G33" s="158">
        <f>G31*$C$8</f>
        <v>54673.5</v>
      </c>
      <c r="H33" s="158">
        <f t="shared" ref="H33:J33" si="9">H31*$C$8</f>
        <v>56007</v>
      </c>
      <c r="I33" s="158">
        <f t="shared" si="9"/>
        <v>57340.5</v>
      </c>
      <c r="J33" s="158">
        <f t="shared" si="9"/>
        <v>58674</v>
      </c>
    </row>
    <row r="34" spans="1:10" x14ac:dyDescent="0.2">
      <c r="A34" s="53"/>
      <c r="B34" s="142" t="str">
        <f>B51</f>
        <v>T/A &amp; Apprentice</v>
      </c>
      <c r="C34" s="159"/>
      <c r="E34" s="56"/>
      <c r="F34" s="161"/>
      <c r="I34" s="56"/>
    </row>
    <row r="35" spans="1:10" ht="12" thickBot="1" x14ac:dyDescent="0.25">
      <c r="A35" s="53"/>
      <c r="B35" s="146" t="s">
        <v>546</v>
      </c>
      <c r="C35" s="162">
        <f>COUNTA(B32,B33,B34)</f>
        <v>3</v>
      </c>
      <c r="D35" s="163"/>
      <c r="E35" s="164"/>
      <c r="F35" s="165"/>
      <c r="I35" s="56"/>
    </row>
    <row r="36" spans="1:10" ht="12" thickBot="1" x14ac:dyDescent="0.25">
      <c r="A36" s="53"/>
      <c r="B36" s="171"/>
      <c r="E36" s="56"/>
      <c r="F36" s="172"/>
      <c r="I36" s="56"/>
      <c r="J36" s="66"/>
    </row>
    <row r="37" spans="1:10" ht="12" thickBot="1" x14ac:dyDescent="0.25">
      <c r="A37" s="53"/>
      <c r="B37" s="173" t="s">
        <v>547</v>
      </c>
      <c r="C37" s="149" t="s">
        <v>72</v>
      </c>
      <c r="D37" s="149">
        <v>1</v>
      </c>
      <c r="E37" s="175">
        <f>E44*2+E51</f>
        <v>254</v>
      </c>
      <c r="F37" s="150">
        <f>D37*E37</f>
        <v>254</v>
      </c>
      <c r="G37" s="66">
        <f>E37+(F37*$F$9)</f>
        <v>260.35000000000002</v>
      </c>
      <c r="H37" s="66">
        <f>E37+(E37*$F$10)</f>
        <v>266.7</v>
      </c>
      <c r="I37" s="66">
        <f>E37+(E37*$F$11)</f>
        <v>273.05</v>
      </c>
      <c r="J37" s="66">
        <f>E37+(E37*$F$12)</f>
        <v>279.39999999999998</v>
      </c>
    </row>
    <row r="38" spans="1:10" x14ac:dyDescent="0.2">
      <c r="A38" s="53"/>
      <c r="B38" s="151"/>
      <c r="C38" s="152" t="s">
        <v>65</v>
      </c>
      <c r="D38" s="153">
        <v>1</v>
      </c>
      <c r="E38" s="154">
        <f>E37*$C$10</f>
        <v>2222.5</v>
      </c>
      <c r="F38" s="155">
        <f t="shared" ref="F38:F40" si="10">D38*E38</f>
        <v>2222.5</v>
      </c>
      <c r="G38" s="154">
        <f>G37*$C$10</f>
        <v>2278.0625</v>
      </c>
      <c r="H38" s="154">
        <f t="shared" ref="H38:J38" si="11">H37*$C$10</f>
        <v>2333.625</v>
      </c>
      <c r="I38" s="154">
        <f t="shared" si="11"/>
        <v>2389.1875</v>
      </c>
      <c r="J38" s="154">
        <f t="shared" si="11"/>
        <v>2444.75</v>
      </c>
    </row>
    <row r="39" spans="1:10" x14ac:dyDescent="0.2">
      <c r="A39" s="53"/>
      <c r="B39" s="156" t="str">
        <f>B44</f>
        <v>TRADESMAN_PLUMBER_OPERATOR</v>
      </c>
      <c r="C39" s="152" t="s">
        <v>544</v>
      </c>
      <c r="D39" s="153">
        <v>1</v>
      </c>
      <c r="E39" s="154">
        <f>E38*$C$11</f>
        <v>13335</v>
      </c>
      <c r="F39" s="155">
        <f t="shared" si="10"/>
        <v>13335</v>
      </c>
      <c r="G39" s="154">
        <f>G38*$C$11</f>
        <v>13668.375</v>
      </c>
      <c r="H39" s="154">
        <f t="shared" ref="H39:J39" si="12">H38*$C$11</f>
        <v>14001.75</v>
      </c>
      <c r="I39" s="154">
        <f t="shared" si="12"/>
        <v>14335.125</v>
      </c>
      <c r="J39" s="154">
        <f t="shared" si="12"/>
        <v>14668.5</v>
      </c>
    </row>
    <row r="40" spans="1:10" ht="12" thickBot="1" x14ac:dyDescent="0.25">
      <c r="A40" s="53"/>
      <c r="B40" s="156" t="str">
        <f>B44</f>
        <v>TRADESMAN_PLUMBER_OPERATOR</v>
      </c>
      <c r="C40" s="152" t="s">
        <v>545</v>
      </c>
      <c r="D40" s="157">
        <v>1</v>
      </c>
      <c r="E40" s="158">
        <f>E38*$C$8</f>
        <v>53340</v>
      </c>
      <c r="F40" s="155">
        <f t="shared" si="10"/>
        <v>53340</v>
      </c>
      <c r="G40" s="158">
        <f>G38*$C$8</f>
        <v>54673.5</v>
      </c>
      <c r="H40" s="158">
        <f t="shared" ref="H40:J40" si="13">H38*$C$8</f>
        <v>56007</v>
      </c>
      <c r="I40" s="158">
        <f t="shared" si="13"/>
        <v>57340.5</v>
      </c>
      <c r="J40" s="158">
        <f t="shared" si="13"/>
        <v>58674</v>
      </c>
    </row>
    <row r="41" spans="1:10" x14ac:dyDescent="0.2">
      <c r="A41" s="53"/>
      <c r="B41" s="142" t="str">
        <f>B51</f>
        <v>T/A &amp; Apprentice</v>
      </c>
      <c r="C41" s="159"/>
      <c r="E41" s="56"/>
      <c r="F41" s="161"/>
      <c r="I41" s="56"/>
    </row>
    <row r="42" spans="1:10" ht="12" thickBot="1" x14ac:dyDescent="0.25">
      <c r="A42" s="53"/>
      <c r="B42" s="146" t="s">
        <v>546</v>
      </c>
      <c r="C42" s="162">
        <f>COUNTA(B39,B40,B41)</f>
        <v>3</v>
      </c>
      <c r="D42" s="163"/>
      <c r="E42" s="164"/>
      <c r="F42" s="165"/>
      <c r="I42" s="56"/>
    </row>
    <row r="43" spans="1:10" ht="12" thickBot="1" x14ac:dyDescent="0.25">
      <c r="A43" s="53"/>
      <c r="B43" s="68"/>
      <c r="E43" s="56"/>
      <c r="F43" s="56"/>
      <c r="I43" s="56"/>
    </row>
    <row r="44" spans="1:10" ht="12" thickBot="1" x14ac:dyDescent="0.25">
      <c r="A44" s="53"/>
      <c r="B44" s="173" t="s">
        <v>36</v>
      </c>
      <c r="C44" s="149" t="s">
        <v>72</v>
      </c>
      <c r="D44" s="149">
        <v>1</v>
      </c>
      <c r="E44" s="174">
        <v>92</v>
      </c>
      <c r="F44" s="150">
        <f>D44*E44</f>
        <v>92</v>
      </c>
      <c r="G44" s="66">
        <f>E44+(F44*$F$9)</f>
        <v>94.3</v>
      </c>
      <c r="H44" s="66">
        <f>E44+(E44*$F$10)</f>
        <v>96.6</v>
      </c>
      <c r="I44" s="66">
        <f>E44+(E44*$F$11)</f>
        <v>98.9</v>
      </c>
      <c r="J44" s="66">
        <f>E44+(E44*$F$12)</f>
        <v>101.2</v>
      </c>
    </row>
    <row r="45" spans="1:10" x14ac:dyDescent="0.2">
      <c r="A45" s="53"/>
      <c r="B45" s="151"/>
      <c r="C45" s="152" t="s">
        <v>65</v>
      </c>
      <c r="D45" s="153">
        <v>1</v>
      </c>
      <c r="E45" s="154">
        <f>E44*$C$10</f>
        <v>805</v>
      </c>
      <c r="F45" s="155">
        <f t="shared" ref="F45:F47" si="14">D45*E45</f>
        <v>805</v>
      </c>
      <c r="G45" s="154">
        <f>G44*$C$10</f>
        <v>825.125</v>
      </c>
      <c r="H45" s="154">
        <f t="shared" ref="H45:J45" si="15">H44*$C$10</f>
        <v>845.25</v>
      </c>
      <c r="I45" s="154">
        <f t="shared" si="15"/>
        <v>865.375</v>
      </c>
      <c r="J45" s="154">
        <f t="shared" si="15"/>
        <v>885.5</v>
      </c>
    </row>
    <row r="46" spans="1:10" x14ac:dyDescent="0.2">
      <c r="A46" s="53"/>
      <c r="B46" s="156" t="str">
        <f>B44</f>
        <v>TRADESMAN_PLUMBER_OPERATOR</v>
      </c>
      <c r="C46" s="152" t="s">
        <v>544</v>
      </c>
      <c r="D46" s="153">
        <v>1</v>
      </c>
      <c r="E46" s="154">
        <f>E45*$C$11</f>
        <v>4830</v>
      </c>
      <c r="F46" s="155">
        <f t="shared" si="14"/>
        <v>4830</v>
      </c>
      <c r="G46" s="154">
        <f>G45*$C$11</f>
        <v>4950.75</v>
      </c>
      <c r="H46" s="154">
        <f t="shared" ref="H46:J46" si="16">H45*$C$11</f>
        <v>5071.5</v>
      </c>
      <c r="I46" s="154">
        <f t="shared" si="16"/>
        <v>5192.25</v>
      </c>
      <c r="J46" s="154">
        <f t="shared" si="16"/>
        <v>5313</v>
      </c>
    </row>
    <row r="47" spans="1:10" ht="12" thickBot="1" x14ac:dyDescent="0.25">
      <c r="A47" s="53"/>
      <c r="B47" s="156"/>
      <c r="C47" s="166" t="s">
        <v>545</v>
      </c>
      <c r="D47" s="157">
        <v>1</v>
      </c>
      <c r="E47" s="158">
        <f>E45*$C$8</f>
        <v>19320</v>
      </c>
      <c r="F47" s="155">
        <f t="shared" si="14"/>
        <v>19320</v>
      </c>
      <c r="G47" s="158">
        <f>G45*$C$8</f>
        <v>19803</v>
      </c>
      <c r="H47" s="158">
        <f t="shared" ref="H47:J47" si="17">H45*$C$8</f>
        <v>20286</v>
      </c>
      <c r="I47" s="158">
        <f t="shared" si="17"/>
        <v>20769</v>
      </c>
      <c r="J47" s="158">
        <f t="shared" si="17"/>
        <v>21252</v>
      </c>
    </row>
    <row r="48" spans="1:10" x14ac:dyDescent="0.2">
      <c r="A48" s="53"/>
      <c r="B48" s="142"/>
      <c r="E48" s="160"/>
      <c r="F48" s="161"/>
      <c r="I48" s="56"/>
    </row>
    <row r="49" spans="1:10" ht="12" thickBot="1" x14ac:dyDescent="0.25">
      <c r="A49" s="53"/>
      <c r="B49" s="146" t="s">
        <v>546</v>
      </c>
      <c r="C49" s="162">
        <f>COUNTA(B46,B47,B48)</f>
        <v>1</v>
      </c>
      <c r="D49" s="163"/>
      <c r="E49" s="164"/>
      <c r="F49" s="165"/>
      <c r="I49" s="56"/>
    </row>
    <row r="50" spans="1:10" ht="12" thickBot="1" x14ac:dyDescent="0.25">
      <c r="A50" s="53"/>
      <c r="B50" s="68"/>
      <c r="E50" s="56"/>
      <c r="F50" s="56"/>
      <c r="I50" s="56"/>
    </row>
    <row r="51" spans="1:10" ht="12" thickBot="1" x14ac:dyDescent="0.25">
      <c r="A51" s="53"/>
      <c r="B51" s="148" t="s">
        <v>37</v>
      </c>
      <c r="C51" s="149" t="s">
        <v>72</v>
      </c>
      <c r="D51" s="149">
        <v>1</v>
      </c>
      <c r="E51" s="174">
        <v>70</v>
      </c>
      <c r="F51" s="150">
        <f>D51*E51</f>
        <v>70</v>
      </c>
      <c r="G51" s="66">
        <f>E51+(F51*$F$9)</f>
        <v>71.75</v>
      </c>
      <c r="H51" s="66">
        <f>E51+(E51*$F$10)</f>
        <v>73.5</v>
      </c>
      <c r="I51" s="66">
        <f>E51+(E51*$F$11)</f>
        <v>75.25</v>
      </c>
      <c r="J51" s="66">
        <f>E51+(E51*$F$12)</f>
        <v>77</v>
      </c>
    </row>
    <row r="52" spans="1:10" x14ac:dyDescent="0.2">
      <c r="A52" s="53"/>
      <c r="B52" s="151"/>
      <c r="C52" s="152" t="s">
        <v>65</v>
      </c>
      <c r="D52" s="153">
        <v>1</v>
      </c>
      <c r="E52" s="154">
        <f>E51*$C$10</f>
        <v>612.5</v>
      </c>
      <c r="F52" s="155">
        <f t="shared" ref="F52:F54" si="18">D52*E52</f>
        <v>612.5</v>
      </c>
      <c r="G52" s="154">
        <f>G51*$C$10</f>
        <v>627.8125</v>
      </c>
      <c r="H52" s="154">
        <f t="shared" ref="H52:J52" si="19">H51*$C$10</f>
        <v>643.125</v>
      </c>
      <c r="I52" s="154">
        <f t="shared" si="19"/>
        <v>658.4375</v>
      </c>
      <c r="J52" s="154">
        <f t="shared" si="19"/>
        <v>673.75</v>
      </c>
    </row>
    <row r="53" spans="1:10" x14ac:dyDescent="0.2">
      <c r="A53" s="53"/>
      <c r="B53" s="156" t="str">
        <f>B51</f>
        <v>T/A &amp; Apprentice</v>
      </c>
      <c r="C53" s="152" t="s">
        <v>544</v>
      </c>
      <c r="D53" s="153">
        <v>1</v>
      </c>
      <c r="E53" s="154">
        <f>E52*$C$11</f>
        <v>3675</v>
      </c>
      <c r="F53" s="155">
        <f t="shared" si="18"/>
        <v>3675</v>
      </c>
      <c r="G53" s="154">
        <f>G52*$C$11</f>
        <v>3766.875</v>
      </c>
      <c r="H53" s="154">
        <f t="shared" ref="H53:J53" si="20">H52*$C$11</f>
        <v>3858.75</v>
      </c>
      <c r="I53" s="154">
        <f t="shared" si="20"/>
        <v>3950.625</v>
      </c>
      <c r="J53" s="154">
        <f t="shared" si="20"/>
        <v>4042.5</v>
      </c>
    </row>
    <row r="54" spans="1:10" ht="12" thickBot="1" x14ac:dyDescent="0.25">
      <c r="A54" s="53"/>
      <c r="B54" s="156"/>
      <c r="C54" s="166" t="s">
        <v>545</v>
      </c>
      <c r="D54" s="157">
        <v>1</v>
      </c>
      <c r="E54" s="158">
        <f>E52*$C$8</f>
        <v>14700</v>
      </c>
      <c r="F54" s="155">
        <f t="shared" si="18"/>
        <v>14700</v>
      </c>
      <c r="G54" s="158">
        <f>G52*$C$8</f>
        <v>15067.5</v>
      </c>
      <c r="H54" s="158">
        <f t="shared" ref="H54:J54" si="21">H52*$C$8</f>
        <v>15435</v>
      </c>
      <c r="I54" s="158">
        <f t="shared" si="21"/>
        <v>15802.5</v>
      </c>
      <c r="J54" s="158">
        <f t="shared" si="21"/>
        <v>16170</v>
      </c>
    </row>
    <row r="55" spans="1:10" x14ac:dyDescent="0.2">
      <c r="A55" s="53"/>
      <c r="B55" s="142"/>
      <c r="E55" s="160"/>
      <c r="F55" s="161"/>
      <c r="I55" s="56"/>
    </row>
    <row r="56" spans="1:10" ht="12" thickBot="1" x14ac:dyDescent="0.25">
      <c r="A56" s="53"/>
      <c r="B56" s="146" t="s">
        <v>546</v>
      </c>
      <c r="C56" s="162">
        <f>COUNTA(B53,B54,B55)</f>
        <v>1</v>
      </c>
      <c r="D56" s="163"/>
      <c r="E56" s="164"/>
      <c r="F56" s="165"/>
      <c r="I56" s="56"/>
    </row>
    <row r="57" spans="1:10" ht="6" customHeight="1" x14ac:dyDescent="0.2">
      <c r="A57" s="53"/>
      <c r="B57" s="167"/>
      <c r="C57" s="168"/>
      <c r="D57" s="168"/>
      <c r="E57" s="169"/>
      <c r="F57" s="170"/>
      <c r="I57" s="56"/>
    </row>
    <row r="58" spans="1:10" x14ac:dyDescent="0.2">
      <c r="A58" s="53"/>
      <c r="B58" s="50"/>
      <c r="E58" s="160"/>
      <c r="F58" s="56"/>
      <c r="I58" s="56"/>
    </row>
    <row r="59" spans="1:10" x14ac:dyDescent="0.2">
      <c r="A59" s="53"/>
      <c r="B59" s="50"/>
      <c r="E59" s="56"/>
      <c r="F59" s="56"/>
      <c r="I59" s="56"/>
    </row>
    <row r="60" spans="1:10" x14ac:dyDescent="0.2">
      <c r="A60" s="53"/>
      <c r="B60" s="50"/>
      <c r="E60" s="56"/>
      <c r="F60" s="56"/>
      <c r="I60" s="56"/>
    </row>
  </sheetData>
  <mergeCells count="1">
    <mergeCell ref="B14:F14"/>
  </mergeCells>
  <printOptions gridLines="1"/>
  <pageMargins left="0.46" right="0.42" top="0.37" bottom="0.4" header="0.39" footer="0.38"/>
  <pageSetup paperSize="8" scale="80" orientation="portrait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886D8-2D05-4BC1-A5A6-890BA416EC4B}">
  <sheetPr>
    <tabColor rgb="FF7030A0"/>
  </sheetPr>
  <dimension ref="A2:O51"/>
  <sheetViews>
    <sheetView workbookViewId="0">
      <selection activeCell="Q11" sqref="Q11"/>
    </sheetView>
  </sheetViews>
  <sheetFormatPr defaultColWidth="8.85546875" defaultRowHeight="15" x14ac:dyDescent="0.25"/>
  <cols>
    <col min="1" max="1" width="22.85546875" style="78" customWidth="1"/>
    <col min="2" max="2" width="11.140625" style="107" customWidth="1"/>
    <col min="3" max="3" width="1.5703125" style="78" customWidth="1"/>
    <col min="4" max="4" width="15.7109375" style="78" customWidth="1"/>
    <col min="5" max="5" width="14.42578125" style="108" customWidth="1"/>
    <col min="6" max="6" width="1.5703125" style="78" customWidth="1"/>
    <col min="7" max="7" width="15.7109375" style="78" customWidth="1"/>
    <col min="8" max="8" width="14.42578125" style="108" customWidth="1"/>
    <col min="9" max="9" width="1.5703125" style="78" customWidth="1"/>
    <col min="10" max="10" width="16.28515625" style="78" customWidth="1"/>
    <col min="11" max="11" width="17.85546875" style="78" customWidth="1"/>
    <col min="12" max="12" width="1.5703125" style="78" customWidth="1"/>
    <col min="13" max="13" width="12.7109375" style="78" customWidth="1"/>
    <col min="14" max="14" width="16.28515625" style="78" customWidth="1"/>
    <col min="15" max="15" width="25.7109375" style="78" customWidth="1"/>
    <col min="16" max="16" width="9.85546875" style="78" customWidth="1"/>
    <col min="17" max="17" width="15" style="78" customWidth="1"/>
    <col min="18" max="18" width="25.7109375" style="78" customWidth="1"/>
    <col min="19" max="16384" width="8.85546875" style="78"/>
  </cols>
  <sheetData>
    <row r="2" spans="1:15" x14ac:dyDescent="0.25">
      <c r="A2" s="75"/>
      <c r="B2" s="76"/>
      <c r="C2" s="76"/>
      <c r="D2" s="584" t="s">
        <v>548</v>
      </c>
      <c r="E2" s="585"/>
      <c r="F2" s="77"/>
      <c r="G2" s="584" t="s">
        <v>549</v>
      </c>
      <c r="H2" s="585"/>
      <c r="I2" s="77"/>
      <c r="J2" s="586" t="s">
        <v>550</v>
      </c>
      <c r="K2" s="586"/>
      <c r="L2" s="77"/>
      <c r="M2" s="586" t="s">
        <v>551</v>
      </c>
      <c r="N2" s="586"/>
      <c r="O2" s="586"/>
    </row>
    <row r="3" spans="1:15" ht="25.5" x14ac:dyDescent="0.25">
      <c r="A3" s="79" t="s">
        <v>450</v>
      </c>
      <c r="B3" s="80" t="s">
        <v>334</v>
      </c>
      <c r="C3" s="81"/>
      <c r="D3" s="82" t="s">
        <v>552</v>
      </c>
      <c r="E3" s="83" t="s">
        <v>553</v>
      </c>
      <c r="F3" s="81"/>
      <c r="G3" s="82" t="s">
        <v>552</v>
      </c>
      <c r="H3" s="83" t="s">
        <v>553</v>
      </c>
      <c r="I3" s="81"/>
      <c r="J3" s="82" t="s">
        <v>552</v>
      </c>
      <c r="K3" s="82" t="s">
        <v>553</v>
      </c>
      <c r="L3" s="81"/>
      <c r="M3" s="82" t="s">
        <v>554</v>
      </c>
      <c r="N3" s="82" t="s">
        <v>552</v>
      </c>
      <c r="O3" s="82" t="s">
        <v>553</v>
      </c>
    </row>
    <row r="4" spans="1:15" x14ac:dyDescent="0.25">
      <c r="A4" s="84" t="s">
        <v>555</v>
      </c>
      <c r="B4" s="85">
        <v>0</v>
      </c>
      <c r="C4" s="86"/>
      <c r="D4" s="87">
        <v>0</v>
      </c>
      <c r="E4" s="88"/>
      <c r="F4" s="86"/>
      <c r="G4" s="89">
        <v>0</v>
      </c>
      <c r="H4" s="90"/>
      <c r="I4" s="86"/>
      <c r="J4" s="89">
        <v>0</v>
      </c>
      <c r="K4" s="91"/>
      <c r="L4" s="86"/>
      <c r="M4" s="89">
        <v>0</v>
      </c>
      <c r="N4" s="89">
        <v>262</v>
      </c>
      <c r="O4" s="91"/>
    </row>
    <row r="5" spans="1:15" x14ac:dyDescent="0.25">
      <c r="A5" s="84" t="s">
        <v>75</v>
      </c>
      <c r="B5" s="85">
        <v>0</v>
      </c>
      <c r="C5" s="86"/>
      <c r="D5" s="190">
        <v>300</v>
      </c>
      <c r="E5" s="92">
        <f>B5*D5</f>
        <v>0</v>
      </c>
      <c r="F5" s="86"/>
      <c r="G5" s="89">
        <v>250</v>
      </c>
      <c r="H5" s="90"/>
      <c r="I5" s="86"/>
      <c r="J5" s="89">
        <v>192</v>
      </c>
      <c r="K5" s="91"/>
      <c r="L5" s="86"/>
      <c r="M5" s="89">
        <v>0</v>
      </c>
      <c r="N5" s="89">
        <v>0</v>
      </c>
      <c r="O5" s="91"/>
    </row>
    <row r="6" spans="1:15" ht="6" customHeight="1" x14ac:dyDescent="0.25">
      <c r="A6" s="93"/>
      <c r="B6" s="94"/>
      <c r="C6" s="95"/>
      <c r="D6" s="96"/>
      <c r="E6" s="97"/>
      <c r="F6" s="95"/>
      <c r="G6" s="98"/>
      <c r="H6" s="99"/>
      <c r="I6" s="95"/>
      <c r="J6" s="95"/>
      <c r="K6" s="99"/>
      <c r="L6" s="95"/>
      <c r="M6" s="95"/>
      <c r="N6" s="95"/>
      <c r="O6" s="99"/>
    </row>
    <row r="7" spans="1:15" ht="13.9" customHeight="1" x14ac:dyDescent="0.25">
      <c r="A7" s="84" t="s">
        <v>556</v>
      </c>
      <c r="B7" s="85">
        <v>0</v>
      </c>
      <c r="C7" s="100"/>
      <c r="D7" s="87">
        <v>200</v>
      </c>
      <c r="E7" s="101"/>
      <c r="F7" s="100"/>
      <c r="G7" s="89">
        <v>0</v>
      </c>
      <c r="H7" s="102"/>
      <c r="I7" s="100"/>
      <c r="J7" s="89">
        <v>0</v>
      </c>
      <c r="K7" s="91"/>
      <c r="L7" s="100"/>
      <c r="M7" s="89">
        <v>0</v>
      </c>
      <c r="N7" s="89">
        <v>0</v>
      </c>
      <c r="O7" s="91"/>
    </row>
    <row r="8" spans="1:15" x14ac:dyDescent="0.25">
      <c r="A8" s="84" t="s">
        <v>77</v>
      </c>
      <c r="B8" s="85">
        <v>0</v>
      </c>
      <c r="C8" s="103"/>
      <c r="D8" s="87">
        <v>250</v>
      </c>
      <c r="E8" s="92">
        <f>B8*D8</f>
        <v>0</v>
      </c>
      <c r="F8" s="103"/>
      <c r="G8" s="89">
        <v>0</v>
      </c>
      <c r="H8" s="91"/>
      <c r="I8" s="103"/>
      <c r="J8" s="89">
        <v>0</v>
      </c>
      <c r="K8" s="91"/>
      <c r="L8" s="103"/>
      <c r="M8" s="89">
        <v>0</v>
      </c>
      <c r="N8" s="89">
        <v>0</v>
      </c>
      <c r="O8" s="91"/>
    </row>
    <row r="9" spans="1:15" x14ac:dyDescent="0.25">
      <c r="A9" s="84" t="s">
        <v>557</v>
      </c>
      <c r="B9" s="85">
        <v>0</v>
      </c>
      <c r="C9" s="103"/>
      <c r="D9" s="87">
        <v>310</v>
      </c>
      <c r="E9" s="92">
        <f t="shared" ref="E9:E10" si="0">B9*D9</f>
        <v>0</v>
      </c>
      <c r="F9" s="103"/>
      <c r="G9" s="89">
        <v>310</v>
      </c>
      <c r="H9" s="91" t="s">
        <v>558</v>
      </c>
      <c r="I9" s="103"/>
      <c r="J9" s="89">
        <v>301</v>
      </c>
      <c r="K9" s="91" t="s">
        <v>559</v>
      </c>
      <c r="L9" s="103"/>
      <c r="M9" s="89">
        <v>0</v>
      </c>
      <c r="N9" s="89">
        <v>300</v>
      </c>
      <c r="O9" s="91" t="s">
        <v>558</v>
      </c>
    </row>
    <row r="10" spans="1:15" x14ac:dyDescent="0.25">
      <c r="A10" s="84" t="s">
        <v>79</v>
      </c>
      <c r="B10" s="85">
        <v>0</v>
      </c>
      <c r="C10" s="103"/>
      <c r="D10" s="190">
        <v>440</v>
      </c>
      <c r="E10" s="92">
        <f t="shared" si="0"/>
        <v>0</v>
      </c>
      <c r="F10" s="103"/>
      <c r="G10" s="89">
        <v>370</v>
      </c>
      <c r="H10" s="91" t="s">
        <v>560</v>
      </c>
      <c r="I10" s="103"/>
      <c r="J10" s="89">
        <v>375</v>
      </c>
      <c r="K10" s="91" t="s">
        <v>561</v>
      </c>
      <c r="L10" s="103"/>
      <c r="M10" s="89">
        <v>0</v>
      </c>
      <c r="N10" s="89">
        <v>295</v>
      </c>
      <c r="O10" s="91" t="s">
        <v>561</v>
      </c>
    </row>
    <row r="11" spans="1:15" x14ac:dyDescent="0.25">
      <c r="A11" s="84" t="s">
        <v>78</v>
      </c>
      <c r="B11" s="85">
        <v>0</v>
      </c>
      <c r="C11" s="103"/>
      <c r="D11" s="87">
        <v>450</v>
      </c>
      <c r="E11" s="92">
        <f>B11*D11</f>
        <v>0</v>
      </c>
      <c r="F11" s="103"/>
      <c r="G11" s="89">
        <v>480</v>
      </c>
      <c r="H11" s="91" t="s">
        <v>562</v>
      </c>
      <c r="I11" s="103"/>
      <c r="J11" s="89">
        <v>417</v>
      </c>
      <c r="K11" s="91" t="s">
        <v>563</v>
      </c>
      <c r="L11" s="103"/>
      <c r="M11" s="89">
        <v>0</v>
      </c>
      <c r="N11" s="89">
        <v>444</v>
      </c>
      <c r="O11" s="91" t="s">
        <v>563</v>
      </c>
    </row>
    <row r="12" spans="1:15" ht="6" customHeight="1" x14ac:dyDescent="0.25">
      <c r="A12" s="93"/>
      <c r="B12" s="94"/>
      <c r="C12" s="95"/>
      <c r="D12" s="96"/>
      <c r="E12" s="97"/>
      <c r="F12" s="95"/>
      <c r="G12" s="98"/>
      <c r="H12" s="99"/>
      <c r="I12" s="95"/>
      <c r="J12" s="98"/>
      <c r="K12" s="99"/>
      <c r="L12" s="95"/>
      <c r="M12" s="98"/>
      <c r="N12" s="98"/>
      <c r="O12" s="99"/>
    </row>
    <row r="13" spans="1:15" x14ac:dyDescent="0.25">
      <c r="A13" s="84" t="s">
        <v>564</v>
      </c>
      <c r="B13" s="85">
        <v>0</v>
      </c>
      <c r="C13" s="86"/>
      <c r="D13" s="87">
        <v>26</v>
      </c>
      <c r="E13" s="88"/>
      <c r="F13" s="86"/>
      <c r="G13" s="89">
        <v>0</v>
      </c>
      <c r="H13" s="90"/>
      <c r="I13" s="86"/>
      <c r="J13" s="104">
        <v>25.7</v>
      </c>
      <c r="K13" s="90"/>
      <c r="L13" s="86"/>
      <c r="M13" s="104">
        <v>0</v>
      </c>
      <c r="N13" s="104">
        <v>0</v>
      </c>
      <c r="O13" s="90"/>
    </row>
    <row r="14" spans="1:15" x14ac:dyDescent="0.25">
      <c r="A14" s="84" t="s">
        <v>565</v>
      </c>
      <c r="B14" s="85">
        <v>0</v>
      </c>
      <c r="C14" s="105"/>
      <c r="D14" s="87">
        <v>26</v>
      </c>
      <c r="E14" s="101"/>
      <c r="F14" s="105"/>
      <c r="G14" s="89">
        <v>0</v>
      </c>
      <c r="H14" s="102"/>
      <c r="I14" s="105"/>
      <c r="J14" s="104">
        <v>25.7</v>
      </c>
      <c r="K14" s="102"/>
      <c r="L14" s="105"/>
      <c r="M14" s="104">
        <v>0</v>
      </c>
      <c r="N14" s="104">
        <v>21</v>
      </c>
      <c r="O14" s="102"/>
    </row>
    <row r="15" spans="1:15" x14ac:dyDescent="0.25">
      <c r="A15" s="84" t="s">
        <v>566</v>
      </c>
      <c r="B15" s="85">
        <v>0</v>
      </c>
      <c r="C15" s="103"/>
      <c r="D15" s="87">
        <v>30</v>
      </c>
      <c r="E15" s="106"/>
      <c r="F15" s="103"/>
      <c r="G15" s="89">
        <v>0</v>
      </c>
      <c r="H15" s="91"/>
      <c r="I15" s="103"/>
      <c r="J15" s="104">
        <v>30.1</v>
      </c>
      <c r="K15" s="91"/>
      <c r="L15" s="103"/>
      <c r="M15" s="104">
        <v>0</v>
      </c>
      <c r="N15" s="104">
        <v>23</v>
      </c>
      <c r="O15" s="91"/>
    </row>
    <row r="16" spans="1:15" x14ac:dyDescent="0.25">
      <c r="A16" s="84" t="s">
        <v>567</v>
      </c>
      <c r="B16" s="85">
        <v>0</v>
      </c>
      <c r="C16" s="103"/>
      <c r="D16" s="87">
        <v>0</v>
      </c>
      <c r="E16" s="106"/>
      <c r="F16" s="103"/>
      <c r="G16" s="89">
        <v>0</v>
      </c>
      <c r="H16" s="91"/>
      <c r="I16" s="103"/>
      <c r="J16" s="104">
        <v>0</v>
      </c>
      <c r="K16" s="91"/>
      <c r="L16" s="103"/>
      <c r="M16" s="104">
        <v>0</v>
      </c>
      <c r="N16" s="104">
        <v>0</v>
      </c>
      <c r="O16" s="91"/>
    </row>
    <row r="17" spans="1:15" x14ac:dyDescent="0.25">
      <c r="A17" s="84" t="s">
        <v>568</v>
      </c>
      <c r="B17" s="85">
        <v>0</v>
      </c>
      <c r="C17" s="103"/>
      <c r="D17" s="87">
        <v>115</v>
      </c>
      <c r="E17" s="92">
        <f>B17*D17</f>
        <v>0</v>
      </c>
      <c r="F17" s="103"/>
      <c r="G17" s="89">
        <v>0</v>
      </c>
      <c r="H17" s="91"/>
      <c r="I17" s="103"/>
      <c r="J17" s="104">
        <v>0</v>
      </c>
      <c r="K17" s="91"/>
      <c r="L17" s="103"/>
      <c r="M17" s="104">
        <v>0</v>
      </c>
      <c r="N17" s="104">
        <v>0</v>
      </c>
      <c r="O17" s="91"/>
    </row>
    <row r="18" spans="1:15" x14ac:dyDescent="0.25">
      <c r="A18" s="84" t="s">
        <v>569</v>
      </c>
      <c r="B18" s="85">
        <v>0</v>
      </c>
      <c r="C18" s="103"/>
      <c r="D18" s="87">
        <v>50</v>
      </c>
      <c r="E18" s="106"/>
      <c r="F18" s="103"/>
      <c r="G18" s="89">
        <v>0</v>
      </c>
      <c r="H18" s="91"/>
      <c r="I18" s="103"/>
      <c r="J18" s="104">
        <v>0</v>
      </c>
      <c r="K18" s="91"/>
      <c r="L18" s="103"/>
      <c r="M18" s="104">
        <v>0</v>
      </c>
      <c r="N18" s="104">
        <v>0</v>
      </c>
      <c r="O18" s="91"/>
    </row>
    <row r="19" spans="1:15" ht="6" customHeight="1" x14ac:dyDescent="0.25">
      <c r="A19" s="93"/>
      <c r="B19" s="94"/>
      <c r="C19" s="95"/>
      <c r="D19" s="96"/>
      <c r="E19" s="97"/>
      <c r="F19" s="95"/>
      <c r="G19" s="98"/>
      <c r="H19" s="99"/>
      <c r="I19" s="95"/>
      <c r="J19" s="98"/>
      <c r="K19" s="99"/>
      <c r="L19" s="95"/>
      <c r="M19" s="98"/>
      <c r="N19" s="98"/>
      <c r="O19" s="99"/>
    </row>
    <row r="20" spans="1:15" x14ac:dyDescent="0.25">
      <c r="A20" s="84" t="s">
        <v>570</v>
      </c>
      <c r="B20" s="85">
        <v>0</v>
      </c>
      <c r="C20" s="103"/>
      <c r="D20" s="87">
        <v>180</v>
      </c>
      <c r="E20" s="92">
        <f>B20*D20</f>
        <v>0</v>
      </c>
      <c r="F20" s="103"/>
      <c r="G20" s="89">
        <v>0</v>
      </c>
      <c r="H20" s="91"/>
      <c r="I20" s="103"/>
      <c r="J20" s="104">
        <v>180</v>
      </c>
      <c r="K20" s="91" t="s">
        <v>571</v>
      </c>
      <c r="L20" s="103"/>
      <c r="M20" s="104">
        <v>0</v>
      </c>
      <c r="N20" s="104">
        <v>130</v>
      </c>
      <c r="O20" s="91" t="s">
        <v>571</v>
      </c>
    </row>
    <row r="21" spans="1:15" x14ac:dyDescent="0.25">
      <c r="A21" s="84" t="s">
        <v>80</v>
      </c>
      <c r="B21" s="85">
        <v>0</v>
      </c>
      <c r="C21" s="103"/>
      <c r="D21" s="87">
        <v>400</v>
      </c>
      <c r="E21" s="92">
        <f>B21*D21</f>
        <v>0</v>
      </c>
      <c r="F21" s="103"/>
      <c r="G21" s="89">
        <v>0</v>
      </c>
      <c r="H21" s="91"/>
      <c r="I21" s="103"/>
      <c r="J21" s="104">
        <v>238</v>
      </c>
      <c r="K21" s="91" t="s">
        <v>572</v>
      </c>
      <c r="L21" s="103"/>
      <c r="M21" s="104">
        <v>0</v>
      </c>
      <c r="N21" s="104">
        <v>0</v>
      </c>
      <c r="O21" s="91"/>
    </row>
    <row r="22" spans="1:15" ht="6" customHeight="1" x14ac:dyDescent="0.25">
      <c r="A22" s="93"/>
      <c r="B22" s="94"/>
      <c r="C22" s="95"/>
      <c r="D22" s="96"/>
      <c r="E22" s="97"/>
      <c r="F22" s="95"/>
      <c r="G22" s="98"/>
      <c r="H22" s="99"/>
      <c r="I22" s="95"/>
      <c r="J22" s="98"/>
      <c r="K22" s="99"/>
      <c r="L22" s="95"/>
      <c r="M22" s="98"/>
      <c r="N22" s="98"/>
      <c r="O22" s="99"/>
    </row>
    <row r="23" spans="1:15" x14ac:dyDescent="0.25">
      <c r="A23" s="84" t="s">
        <v>81</v>
      </c>
      <c r="B23" s="85">
        <v>0</v>
      </c>
      <c r="C23" s="103"/>
      <c r="D23" s="190">
        <v>341</v>
      </c>
      <c r="E23" s="92">
        <f>B23*D23</f>
        <v>0</v>
      </c>
      <c r="F23" s="103"/>
      <c r="G23" s="89">
        <v>0</v>
      </c>
      <c r="H23" s="91"/>
      <c r="I23" s="103"/>
      <c r="J23" s="104">
        <v>243</v>
      </c>
      <c r="K23" s="91" t="s">
        <v>573</v>
      </c>
      <c r="L23" s="103"/>
      <c r="M23" s="104">
        <v>0</v>
      </c>
      <c r="N23" s="104">
        <v>0</v>
      </c>
      <c r="O23" s="91"/>
    </row>
    <row r="24" spans="1:15" x14ac:dyDescent="0.25">
      <c r="A24" s="84" t="s">
        <v>574</v>
      </c>
      <c r="B24" s="85">
        <v>0</v>
      </c>
      <c r="C24" s="103"/>
      <c r="D24" s="87">
        <v>50</v>
      </c>
      <c r="E24" s="92">
        <f t="shared" ref="E24:E46" si="1">B24*D24</f>
        <v>0</v>
      </c>
      <c r="F24" s="103"/>
      <c r="G24" s="89">
        <v>0</v>
      </c>
      <c r="H24" s="91"/>
      <c r="I24" s="103"/>
      <c r="J24" s="104">
        <v>48</v>
      </c>
      <c r="K24" s="91"/>
      <c r="L24" s="103"/>
      <c r="M24" s="104">
        <v>0</v>
      </c>
      <c r="N24" s="104">
        <v>46</v>
      </c>
      <c r="O24" s="91"/>
    </row>
    <row r="25" spans="1:15" x14ac:dyDescent="0.25">
      <c r="A25" s="84" t="s">
        <v>82</v>
      </c>
      <c r="B25" s="85">
        <v>0</v>
      </c>
      <c r="C25" s="103"/>
      <c r="D25" s="190">
        <v>180</v>
      </c>
      <c r="E25" s="92">
        <f t="shared" si="1"/>
        <v>0</v>
      </c>
      <c r="F25" s="103"/>
      <c r="G25" s="89">
        <v>0</v>
      </c>
      <c r="H25" s="91"/>
      <c r="I25" s="103"/>
      <c r="J25" s="104">
        <v>121</v>
      </c>
      <c r="K25" s="91"/>
      <c r="L25" s="103"/>
      <c r="M25" s="104">
        <v>0</v>
      </c>
      <c r="N25" s="104">
        <v>98</v>
      </c>
      <c r="O25" s="91" t="s">
        <v>575</v>
      </c>
    </row>
    <row r="26" spans="1:15" x14ac:dyDescent="0.25">
      <c r="A26" s="84" t="s">
        <v>83</v>
      </c>
      <c r="B26" s="85">
        <v>0</v>
      </c>
      <c r="C26" s="103"/>
      <c r="D26" s="87">
        <v>150</v>
      </c>
      <c r="E26" s="92">
        <f t="shared" si="1"/>
        <v>0</v>
      </c>
      <c r="F26" s="103"/>
      <c r="G26" s="89">
        <v>0</v>
      </c>
      <c r="H26" s="91"/>
      <c r="I26" s="103"/>
      <c r="J26" s="104">
        <v>89</v>
      </c>
      <c r="K26" s="91"/>
      <c r="L26" s="103"/>
      <c r="M26" s="104">
        <v>0</v>
      </c>
      <c r="N26" s="104">
        <v>112</v>
      </c>
      <c r="O26" s="91"/>
    </row>
    <row r="27" spans="1:15" x14ac:dyDescent="0.25">
      <c r="A27" s="84" t="s">
        <v>576</v>
      </c>
      <c r="B27" s="85">
        <v>0</v>
      </c>
      <c r="C27" s="103"/>
      <c r="D27" s="87">
        <v>0</v>
      </c>
      <c r="E27" s="92">
        <f t="shared" si="1"/>
        <v>0</v>
      </c>
      <c r="F27" s="103"/>
      <c r="G27" s="89">
        <v>0</v>
      </c>
      <c r="H27" s="91"/>
      <c r="I27" s="103"/>
      <c r="J27" s="104">
        <v>0</v>
      </c>
      <c r="K27" s="91"/>
      <c r="L27" s="103"/>
      <c r="M27" s="104">
        <v>0</v>
      </c>
      <c r="N27" s="104">
        <v>0</v>
      </c>
      <c r="O27" s="91"/>
    </row>
    <row r="28" spans="1:15" x14ac:dyDescent="0.25">
      <c r="A28" s="84" t="s">
        <v>577</v>
      </c>
      <c r="B28" s="85">
        <v>0</v>
      </c>
      <c r="C28" s="103"/>
      <c r="D28" s="87">
        <v>150</v>
      </c>
      <c r="E28" s="92">
        <f t="shared" si="1"/>
        <v>0</v>
      </c>
      <c r="F28" s="103"/>
      <c r="G28" s="89">
        <v>0</v>
      </c>
      <c r="H28" s="91"/>
      <c r="I28" s="103"/>
      <c r="J28" s="104">
        <v>96</v>
      </c>
      <c r="K28" s="91"/>
      <c r="L28" s="103"/>
      <c r="M28" s="104">
        <v>0</v>
      </c>
      <c r="N28" s="104">
        <v>140</v>
      </c>
      <c r="O28" s="91"/>
    </row>
    <row r="29" spans="1:15" x14ac:dyDescent="0.25">
      <c r="A29" s="84" t="s">
        <v>578</v>
      </c>
      <c r="B29" s="85">
        <v>0</v>
      </c>
      <c r="C29" s="103"/>
      <c r="D29" s="87">
        <v>0</v>
      </c>
      <c r="E29" s="92">
        <f t="shared" si="1"/>
        <v>0</v>
      </c>
      <c r="F29" s="103"/>
      <c r="G29" s="89">
        <v>0</v>
      </c>
      <c r="H29" s="91"/>
      <c r="I29" s="103"/>
      <c r="J29" s="104">
        <v>0</v>
      </c>
      <c r="K29" s="91"/>
      <c r="L29" s="103"/>
      <c r="M29" s="104">
        <v>0</v>
      </c>
      <c r="N29" s="104">
        <v>0</v>
      </c>
      <c r="O29" s="91"/>
    </row>
    <row r="30" spans="1:15" ht="6" customHeight="1" x14ac:dyDescent="0.25">
      <c r="A30" s="93"/>
      <c r="B30" s="94"/>
      <c r="C30" s="95"/>
      <c r="D30" s="96"/>
      <c r="E30" s="97"/>
      <c r="F30" s="95"/>
      <c r="G30" s="98"/>
      <c r="H30" s="99"/>
      <c r="I30" s="95"/>
      <c r="J30" s="98"/>
      <c r="K30" s="99"/>
      <c r="L30" s="95"/>
      <c r="M30" s="98"/>
      <c r="N30" s="98"/>
      <c r="O30" s="99"/>
    </row>
    <row r="31" spans="1:15" x14ac:dyDescent="0.25">
      <c r="A31" s="84" t="s">
        <v>579</v>
      </c>
      <c r="B31" s="85">
        <v>0</v>
      </c>
      <c r="C31" s="103"/>
      <c r="D31" s="87">
        <v>5</v>
      </c>
      <c r="E31" s="92">
        <f t="shared" si="1"/>
        <v>0</v>
      </c>
      <c r="F31" s="103"/>
      <c r="G31" s="89">
        <v>0</v>
      </c>
      <c r="H31" s="91"/>
      <c r="I31" s="103"/>
      <c r="J31" s="104">
        <v>5</v>
      </c>
      <c r="K31" s="91"/>
      <c r="L31" s="103"/>
      <c r="M31" s="104">
        <v>0</v>
      </c>
      <c r="N31" s="104">
        <v>7.5</v>
      </c>
      <c r="O31" s="91"/>
    </row>
    <row r="32" spans="1:15" x14ac:dyDescent="0.25">
      <c r="A32" s="84" t="s">
        <v>580</v>
      </c>
      <c r="B32" s="85">
        <v>0</v>
      </c>
      <c r="C32" s="103"/>
      <c r="D32" s="87">
        <v>0</v>
      </c>
      <c r="E32" s="92">
        <f t="shared" si="1"/>
        <v>0</v>
      </c>
      <c r="F32" s="103"/>
      <c r="G32" s="89">
        <v>0</v>
      </c>
      <c r="H32" s="91"/>
      <c r="I32" s="103"/>
      <c r="J32" s="104">
        <v>15</v>
      </c>
      <c r="K32" s="91" t="s">
        <v>581</v>
      </c>
      <c r="L32" s="103"/>
      <c r="M32" s="104">
        <v>0</v>
      </c>
      <c r="N32" s="104">
        <v>13</v>
      </c>
      <c r="O32" s="91"/>
    </row>
    <row r="33" spans="1:15" x14ac:dyDescent="0.25">
      <c r="A33" s="84" t="s">
        <v>582</v>
      </c>
      <c r="B33" s="85">
        <v>0</v>
      </c>
      <c r="C33" s="103"/>
      <c r="D33" s="87">
        <v>5</v>
      </c>
      <c r="E33" s="92">
        <f t="shared" si="1"/>
        <v>0</v>
      </c>
      <c r="F33" s="103"/>
      <c r="G33" s="89">
        <v>0</v>
      </c>
      <c r="H33" s="91"/>
      <c r="I33" s="103"/>
      <c r="J33" s="104">
        <v>4</v>
      </c>
      <c r="K33" s="91" t="s">
        <v>581</v>
      </c>
      <c r="L33" s="103"/>
      <c r="M33" s="104">
        <v>0</v>
      </c>
      <c r="N33" s="104">
        <v>0</v>
      </c>
      <c r="O33" s="91"/>
    </row>
    <row r="34" spans="1:15" x14ac:dyDescent="0.25">
      <c r="A34" s="84" t="s">
        <v>583</v>
      </c>
      <c r="B34" s="85">
        <v>0</v>
      </c>
      <c r="C34" s="103"/>
      <c r="D34" s="87">
        <v>0</v>
      </c>
      <c r="E34" s="92">
        <f t="shared" si="1"/>
        <v>0</v>
      </c>
      <c r="F34" s="103"/>
      <c r="G34" s="89">
        <v>0</v>
      </c>
      <c r="H34" s="91"/>
      <c r="I34" s="103"/>
      <c r="J34" s="104">
        <v>100</v>
      </c>
      <c r="K34" s="91"/>
      <c r="L34" s="103"/>
      <c r="M34" s="104">
        <v>0</v>
      </c>
      <c r="N34" s="104">
        <v>50</v>
      </c>
      <c r="O34" s="91"/>
    </row>
    <row r="35" spans="1:15" x14ac:dyDescent="0.25">
      <c r="A35" s="84" t="s">
        <v>584</v>
      </c>
      <c r="B35" s="85">
        <v>0</v>
      </c>
      <c r="C35" s="103"/>
      <c r="D35" s="87">
        <v>50</v>
      </c>
      <c r="E35" s="92">
        <f t="shared" si="1"/>
        <v>0</v>
      </c>
      <c r="F35" s="103"/>
      <c r="G35" s="89">
        <v>0</v>
      </c>
      <c r="H35" s="91"/>
      <c r="I35" s="103"/>
      <c r="J35" s="104">
        <v>45</v>
      </c>
      <c r="K35" s="91"/>
      <c r="L35" s="103"/>
      <c r="M35" s="104">
        <v>0</v>
      </c>
      <c r="N35" s="104">
        <v>35</v>
      </c>
      <c r="O35" s="91"/>
    </row>
    <row r="36" spans="1:15" x14ac:dyDescent="0.25">
      <c r="A36" s="84" t="s">
        <v>585</v>
      </c>
      <c r="B36" s="85">
        <v>0</v>
      </c>
      <c r="C36" s="103"/>
      <c r="D36" s="87">
        <v>0</v>
      </c>
      <c r="E36" s="92">
        <f t="shared" si="1"/>
        <v>0</v>
      </c>
      <c r="F36" s="103"/>
      <c r="G36" s="89">
        <v>0</v>
      </c>
      <c r="H36" s="91"/>
      <c r="I36" s="103"/>
      <c r="J36" s="104">
        <v>73</v>
      </c>
      <c r="K36" s="91"/>
      <c r="L36" s="103"/>
      <c r="M36" s="104">
        <v>0</v>
      </c>
      <c r="N36" s="104">
        <v>68</v>
      </c>
      <c r="O36" s="91"/>
    </row>
    <row r="37" spans="1:15" x14ac:dyDescent="0.25">
      <c r="A37" s="84" t="s">
        <v>586</v>
      </c>
      <c r="B37" s="85">
        <v>0</v>
      </c>
      <c r="C37" s="103"/>
      <c r="D37" s="87">
        <v>0</v>
      </c>
      <c r="E37" s="92">
        <f t="shared" si="1"/>
        <v>0</v>
      </c>
      <c r="F37" s="103"/>
      <c r="G37" s="89">
        <v>0</v>
      </c>
      <c r="H37" s="91"/>
      <c r="I37" s="103"/>
      <c r="J37" s="104">
        <v>34</v>
      </c>
      <c r="K37" s="91"/>
      <c r="L37" s="103"/>
      <c r="M37" s="104">
        <v>0</v>
      </c>
      <c r="N37" s="104">
        <v>0</v>
      </c>
      <c r="O37" s="91"/>
    </row>
    <row r="38" spans="1:15" x14ac:dyDescent="0.25">
      <c r="A38" s="84" t="s">
        <v>587</v>
      </c>
      <c r="B38" s="85">
        <v>0</v>
      </c>
      <c r="C38" s="103"/>
      <c r="D38" s="87">
        <v>0</v>
      </c>
      <c r="E38" s="92">
        <f t="shared" si="1"/>
        <v>0</v>
      </c>
      <c r="F38" s="103"/>
      <c r="G38" s="89">
        <v>0</v>
      </c>
      <c r="H38" s="91"/>
      <c r="I38" s="103"/>
      <c r="J38" s="104">
        <v>9</v>
      </c>
      <c r="K38" s="91"/>
      <c r="L38" s="103"/>
      <c r="M38" s="104">
        <v>0</v>
      </c>
      <c r="N38" s="104">
        <v>1.2</v>
      </c>
      <c r="O38" s="91"/>
    </row>
    <row r="39" spans="1:15" x14ac:dyDescent="0.25">
      <c r="A39" s="84" t="s">
        <v>588</v>
      </c>
      <c r="B39" s="85">
        <v>0</v>
      </c>
      <c r="C39" s="103"/>
      <c r="D39" s="87">
        <v>0</v>
      </c>
      <c r="E39" s="92">
        <f t="shared" si="1"/>
        <v>0</v>
      </c>
      <c r="F39" s="103"/>
      <c r="G39" s="89">
        <v>0</v>
      </c>
      <c r="H39" s="91"/>
      <c r="I39" s="103"/>
      <c r="J39" s="104">
        <v>45</v>
      </c>
      <c r="K39" s="91"/>
      <c r="L39" s="103"/>
      <c r="M39" s="104">
        <v>0</v>
      </c>
      <c r="N39" s="104">
        <v>0</v>
      </c>
      <c r="O39" s="91"/>
    </row>
    <row r="40" spans="1:15" x14ac:dyDescent="0.25">
      <c r="A40" s="84" t="s">
        <v>589</v>
      </c>
      <c r="B40" s="85">
        <v>0</v>
      </c>
      <c r="C40" s="103"/>
      <c r="D40" s="87">
        <v>0</v>
      </c>
      <c r="E40" s="92">
        <f t="shared" si="1"/>
        <v>0</v>
      </c>
      <c r="F40" s="103"/>
      <c r="G40" s="89">
        <v>0</v>
      </c>
      <c r="H40" s="91"/>
      <c r="I40" s="103"/>
      <c r="J40" s="104">
        <v>25</v>
      </c>
      <c r="K40" s="91"/>
      <c r="L40" s="103"/>
      <c r="M40" s="104">
        <v>0</v>
      </c>
      <c r="N40" s="104">
        <v>27</v>
      </c>
      <c r="O40" s="91"/>
    </row>
    <row r="41" spans="1:15" x14ac:dyDescent="0.25">
      <c r="A41" s="84" t="s">
        <v>590</v>
      </c>
      <c r="B41" s="85">
        <v>0</v>
      </c>
      <c r="C41" s="103"/>
      <c r="D41" s="87">
        <v>0</v>
      </c>
      <c r="E41" s="92">
        <f t="shared" si="1"/>
        <v>0</v>
      </c>
      <c r="F41" s="103"/>
      <c r="G41" s="89">
        <v>0</v>
      </c>
      <c r="H41" s="91"/>
      <c r="I41" s="103"/>
      <c r="J41" s="104">
        <v>30</v>
      </c>
      <c r="K41" s="91"/>
      <c r="L41" s="103"/>
      <c r="M41" s="104">
        <v>0</v>
      </c>
      <c r="N41" s="104">
        <v>22</v>
      </c>
      <c r="O41" s="91"/>
    </row>
    <row r="42" spans="1:15" x14ac:dyDescent="0.25">
      <c r="A42" s="84" t="s">
        <v>591</v>
      </c>
      <c r="B42" s="85">
        <v>0</v>
      </c>
      <c r="C42" s="103"/>
      <c r="D42" s="87">
        <v>25</v>
      </c>
      <c r="E42" s="92">
        <f t="shared" si="1"/>
        <v>0</v>
      </c>
      <c r="F42" s="103"/>
      <c r="G42" s="89">
        <v>0</v>
      </c>
      <c r="H42" s="91"/>
      <c r="I42" s="103"/>
      <c r="J42" s="104">
        <v>30</v>
      </c>
      <c r="K42" s="91"/>
      <c r="L42" s="103"/>
      <c r="M42" s="104">
        <v>0</v>
      </c>
      <c r="N42" s="104">
        <v>17</v>
      </c>
      <c r="O42" s="91"/>
    </row>
    <row r="43" spans="1:15" ht="6" customHeight="1" x14ac:dyDescent="0.25">
      <c r="A43" s="93"/>
      <c r="B43" s="94"/>
      <c r="C43" s="95"/>
      <c r="D43" s="96"/>
      <c r="E43" s="97"/>
      <c r="F43" s="95"/>
      <c r="G43" s="98"/>
      <c r="H43" s="99"/>
      <c r="I43" s="95"/>
      <c r="J43" s="98"/>
      <c r="K43" s="99"/>
      <c r="L43" s="95"/>
      <c r="M43" s="98"/>
      <c r="N43" s="98"/>
      <c r="O43" s="99"/>
    </row>
    <row r="44" spans="1:15" x14ac:dyDescent="0.25">
      <c r="A44" s="84" t="s">
        <v>41</v>
      </c>
      <c r="B44" s="85">
        <v>0</v>
      </c>
      <c r="C44" s="103"/>
      <c r="D44" s="87">
        <v>125</v>
      </c>
      <c r="E44" s="92">
        <f t="shared" si="1"/>
        <v>0</v>
      </c>
      <c r="F44" s="103"/>
      <c r="G44" s="89">
        <v>0</v>
      </c>
      <c r="H44" s="91"/>
      <c r="I44" s="103"/>
      <c r="J44" s="104">
        <v>0</v>
      </c>
      <c r="K44" s="91"/>
      <c r="L44" s="103"/>
      <c r="M44" s="104">
        <v>0</v>
      </c>
      <c r="N44" s="104">
        <v>0</v>
      </c>
      <c r="O44" s="91"/>
    </row>
    <row r="45" spans="1:15" x14ac:dyDescent="0.25">
      <c r="A45" s="84" t="s">
        <v>43</v>
      </c>
      <c r="B45" s="85">
        <v>0</v>
      </c>
      <c r="C45" s="103"/>
      <c r="D45" s="87">
        <v>40</v>
      </c>
      <c r="E45" s="92">
        <f t="shared" si="1"/>
        <v>0</v>
      </c>
      <c r="F45" s="103"/>
      <c r="G45" s="89">
        <v>0</v>
      </c>
      <c r="H45" s="91"/>
      <c r="I45" s="103"/>
      <c r="J45" s="104">
        <v>0</v>
      </c>
      <c r="K45" s="91"/>
      <c r="L45" s="103"/>
      <c r="M45" s="104">
        <v>0</v>
      </c>
      <c r="N45" s="104">
        <v>0</v>
      </c>
      <c r="O45" s="91"/>
    </row>
    <row r="46" spans="1:15" x14ac:dyDescent="0.25">
      <c r="A46" s="84" t="s">
        <v>592</v>
      </c>
      <c r="B46" s="85">
        <v>0</v>
      </c>
      <c r="C46" s="103"/>
      <c r="D46" s="87">
        <v>200</v>
      </c>
      <c r="E46" s="92">
        <f t="shared" si="1"/>
        <v>0</v>
      </c>
      <c r="F46" s="103"/>
      <c r="G46" s="89">
        <v>0</v>
      </c>
      <c r="H46" s="91"/>
      <c r="I46" s="103"/>
      <c r="J46" s="104">
        <v>0</v>
      </c>
      <c r="K46" s="91"/>
      <c r="L46" s="103"/>
      <c r="M46" s="104">
        <v>0</v>
      </c>
      <c r="N46" s="104">
        <v>0</v>
      </c>
      <c r="O46" s="91"/>
    </row>
    <row r="47" spans="1:15" x14ac:dyDescent="0.25">
      <c r="A47" s="84"/>
      <c r="B47" s="85">
        <v>0</v>
      </c>
      <c r="C47" s="103"/>
      <c r="D47" s="87">
        <v>0</v>
      </c>
      <c r="E47" s="106"/>
      <c r="F47" s="103"/>
      <c r="G47" s="89">
        <v>0</v>
      </c>
      <c r="H47" s="91"/>
      <c r="I47" s="103"/>
      <c r="J47" s="104">
        <v>0</v>
      </c>
      <c r="K47" s="91"/>
      <c r="L47" s="103"/>
      <c r="M47" s="104">
        <v>0</v>
      </c>
      <c r="N47" s="104">
        <v>0</v>
      </c>
      <c r="O47" s="91"/>
    </row>
    <row r="48" spans="1:15" x14ac:dyDescent="0.25">
      <c r="A48" s="84"/>
      <c r="B48" s="85">
        <v>0</v>
      </c>
      <c r="C48" s="103"/>
      <c r="D48" s="87">
        <v>0</v>
      </c>
      <c r="E48" s="106"/>
      <c r="F48" s="103"/>
      <c r="G48" s="89">
        <v>0</v>
      </c>
      <c r="H48" s="91"/>
      <c r="I48" s="103"/>
      <c r="J48" s="104">
        <v>0</v>
      </c>
      <c r="K48" s="91"/>
      <c r="L48" s="103"/>
      <c r="M48" s="104">
        <v>0</v>
      </c>
      <c r="N48" s="104">
        <v>0</v>
      </c>
      <c r="O48" s="91"/>
    </row>
    <row r="49" spans="1:15" ht="6" customHeight="1" x14ac:dyDescent="0.25">
      <c r="A49" s="93"/>
      <c r="B49" s="94"/>
      <c r="C49" s="95"/>
      <c r="D49" s="96"/>
      <c r="E49" s="97"/>
      <c r="F49" s="95"/>
      <c r="G49" s="98"/>
      <c r="H49" s="99"/>
      <c r="I49" s="95"/>
      <c r="J49" s="98"/>
      <c r="K49" s="99"/>
      <c r="L49" s="95"/>
      <c r="M49" s="98"/>
      <c r="N49" s="98"/>
      <c r="O49" s="99"/>
    </row>
    <row r="50" spans="1:15" x14ac:dyDescent="0.25">
      <c r="A50" s="84" t="s">
        <v>593</v>
      </c>
      <c r="B50" s="85">
        <v>0</v>
      </c>
      <c r="C50" s="103"/>
      <c r="D50" s="87">
        <v>0</v>
      </c>
      <c r="E50" s="106"/>
      <c r="F50" s="103"/>
      <c r="G50" s="89">
        <v>0</v>
      </c>
      <c r="H50" s="91"/>
      <c r="I50" s="103"/>
      <c r="J50" s="104">
        <v>0</v>
      </c>
      <c r="K50" s="91"/>
      <c r="L50" s="103"/>
      <c r="M50" s="104">
        <v>0</v>
      </c>
      <c r="N50" s="104">
        <v>0</v>
      </c>
      <c r="O50" s="91"/>
    </row>
    <row r="51" spans="1:15" x14ac:dyDescent="0.25">
      <c r="A51" s="84" t="s">
        <v>594</v>
      </c>
      <c r="B51" s="85">
        <v>0</v>
      </c>
      <c r="C51" s="103"/>
      <c r="D51" s="87">
        <v>0</v>
      </c>
      <c r="E51" s="106"/>
      <c r="F51" s="103"/>
      <c r="G51" s="89">
        <v>0</v>
      </c>
      <c r="H51" s="91"/>
      <c r="I51" s="103"/>
      <c r="J51" s="104">
        <v>480</v>
      </c>
      <c r="K51" s="91" t="s">
        <v>595</v>
      </c>
      <c r="L51" s="103"/>
      <c r="M51" s="104">
        <v>0</v>
      </c>
      <c r="N51" s="104">
        <v>0</v>
      </c>
      <c r="O51" s="91">
        <v>0</v>
      </c>
    </row>
  </sheetData>
  <mergeCells count="4">
    <mergeCell ref="D2:E2"/>
    <mergeCell ref="G2:H2"/>
    <mergeCell ref="J2:K2"/>
    <mergeCell ref="M2:O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1E83A-76F9-42F8-B553-D00DF47C2FD6}">
  <dimension ref="A2:Q1159"/>
  <sheetViews>
    <sheetView topLeftCell="A409" zoomScale="130" zoomScaleNormal="130" workbookViewId="0">
      <selection activeCell="L917" sqref="L917:M919"/>
    </sheetView>
  </sheetViews>
  <sheetFormatPr defaultRowHeight="12.75" x14ac:dyDescent="0.2"/>
  <cols>
    <col min="1" max="1" width="21.140625" customWidth="1"/>
    <col min="5" max="5" width="13.5703125" customWidth="1"/>
    <col min="17" max="17" width="10.140625" bestFit="1" customWidth="1"/>
  </cols>
  <sheetData>
    <row r="2" spans="1:14" hidden="1" x14ac:dyDescent="0.2"/>
    <row r="3" spans="1:14" hidden="1" x14ac:dyDescent="0.2"/>
    <row r="4" spans="1:14" hidden="1" x14ac:dyDescent="0.2"/>
    <row r="5" spans="1:14" hidden="1" x14ac:dyDescent="0.2"/>
    <row r="6" spans="1:14" hidden="1" x14ac:dyDescent="0.2">
      <c r="A6" s="589" t="s">
        <v>596</v>
      </c>
      <c r="B6" s="589"/>
      <c r="C6" s="589"/>
      <c r="D6" s="589"/>
      <c r="E6" s="589"/>
      <c r="I6" s="589" t="s">
        <v>597</v>
      </c>
      <c r="J6" s="589"/>
      <c r="K6" s="589"/>
      <c r="L6" s="589"/>
      <c r="M6" s="589"/>
    </row>
    <row r="7" spans="1:14" hidden="1" x14ac:dyDescent="0.2">
      <c r="A7" s="589" t="s">
        <v>598</v>
      </c>
      <c r="B7" s="589"/>
      <c r="C7" s="589"/>
      <c r="D7" s="589"/>
      <c r="E7" s="589"/>
    </row>
    <row r="8" spans="1:14" hidden="1" x14ac:dyDescent="0.2"/>
    <row r="9" spans="1:14" hidden="1" x14ac:dyDescent="0.2">
      <c r="A9" s="600" t="s">
        <v>599</v>
      </c>
      <c r="B9" s="600"/>
      <c r="C9" s="600"/>
      <c r="D9" s="464"/>
      <c r="E9" s="464"/>
      <c r="F9" s="464"/>
      <c r="G9" s="464"/>
      <c r="H9" s="464"/>
      <c r="I9" s="600" t="s">
        <v>600</v>
      </c>
      <c r="J9" s="600"/>
      <c r="K9" s="600"/>
      <c r="L9" s="600"/>
      <c r="M9" s="600"/>
      <c r="N9" s="600"/>
    </row>
    <row r="10" spans="1:14" hidden="1" x14ac:dyDescent="0.2"/>
    <row r="11" spans="1:14" x14ac:dyDescent="0.2">
      <c r="C11" s="601" t="s">
        <v>601</v>
      </c>
      <c r="D11" s="601"/>
      <c r="E11" s="601"/>
      <c r="F11" s="601"/>
      <c r="G11" s="601"/>
    </row>
    <row r="12" spans="1:14" x14ac:dyDescent="0.2">
      <c r="C12" s="601"/>
      <c r="D12" s="601"/>
      <c r="E12" s="601"/>
      <c r="F12" s="601"/>
      <c r="G12" s="601"/>
    </row>
    <row r="14" spans="1:14" x14ac:dyDescent="0.2">
      <c r="A14" s="465">
        <v>1</v>
      </c>
      <c r="C14" s="589" t="s">
        <v>602</v>
      </c>
      <c r="D14" s="589"/>
      <c r="E14" s="589"/>
      <c r="F14" s="589"/>
      <c r="G14" s="589"/>
      <c r="H14" s="589"/>
      <c r="I14" s="589"/>
      <c r="J14" s="589"/>
      <c r="L14" s="596">
        <f>O79</f>
        <v>0</v>
      </c>
      <c r="M14" s="596"/>
    </row>
    <row r="15" spans="1:14" x14ac:dyDescent="0.2">
      <c r="A15" s="465">
        <v>2</v>
      </c>
      <c r="C15" s="589" t="s">
        <v>603</v>
      </c>
      <c r="D15" s="589"/>
      <c r="E15" s="589"/>
      <c r="F15" s="589"/>
      <c r="G15" s="589"/>
      <c r="H15" s="589"/>
      <c r="I15" s="589"/>
      <c r="J15" s="589"/>
      <c r="L15" s="596">
        <f>O218</f>
        <v>0</v>
      </c>
      <c r="M15" s="596"/>
    </row>
    <row r="16" spans="1:14" x14ac:dyDescent="0.2">
      <c r="A16" s="465">
        <v>3</v>
      </c>
      <c r="C16" s="589" t="s">
        <v>604</v>
      </c>
      <c r="D16" s="589"/>
      <c r="E16" s="589"/>
      <c r="F16" s="589"/>
      <c r="G16" s="589"/>
      <c r="H16" s="589"/>
      <c r="I16" s="589"/>
      <c r="J16" s="589"/>
      <c r="L16" s="596">
        <f>O322</f>
        <v>0</v>
      </c>
      <c r="M16" s="596"/>
    </row>
    <row r="17" spans="1:17" x14ac:dyDescent="0.2">
      <c r="A17" s="465">
        <v>4</v>
      </c>
      <c r="C17" s="589" t="s">
        <v>605</v>
      </c>
      <c r="D17" s="589"/>
      <c r="E17" s="589"/>
      <c r="F17" s="589"/>
      <c r="G17" s="589"/>
      <c r="H17" s="589"/>
      <c r="I17" s="589"/>
      <c r="J17" s="589"/>
      <c r="L17" s="596">
        <f>O463</f>
        <v>25129.8652</v>
      </c>
      <c r="M17" s="596"/>
    </row>
    <row r="18" spans="1:17" x14ac:dyDescent="0.2">
      <c r="A18" s="465">
        <v>5</v>
      </c>
      <c r="C18" s="589" t="s">
        <v>606</v>
      </c>
      <c r="D18" s="589"/>
      <c r="E18" s="589"/>
      <c r="F18" s="589"/>
      <c r="G18" s="589"/>
      <c r="H18" s="589"/>
      <c r="I18" s="589"/>
      <c r="J18" s="589"/>
      <c r="L18" s="596">
        <f>O550</f>
        <v>0</v>
      </c>
      <c r="M18" s="596"/>
    </row>
    <row r="19" spans="1:17" x14ac:dyDescent="0.2">
      <c r="A19" s="465">
        <v>6</v>
      </c>
      <c r="C19" s="589" t="s">
        <v>607</v>
      </c>
      <c r="D19" s="589"/>
      <c r="E19" s="589"/>
      <c r="F19" s="589"/>
      <c r="G19" s="589"/>
      <c r="H19" s="589"/>
      <c r="I19" s="589"/>
      <c r="J19" s="589"/>
      <c r="L19" s="596">
        <f>O679</f>
        <v>0</v>
      </c>
      <c r="M19" s="596"/>
    </row>
    <row r="20" spans="1:17" x14ac:dyDescent="0.2">
      <c r="A20" s="465">
        <v>7</v>
      </c>
      <c r="C20" s="589" t="s">
        <v>608</v>
      </c>
      <c r="D20" s="589"/>
      <c r="E20" s="589"/>
      <c r="F20" s="589"/>
      <c r="G20" s="589"/>
      <c r="H20" s="589"/>
      <c r="I20" s="589"/>
      <c r="J20" s="589"/>
      <c r="L20" s="596">
        <f>O829</f>
        <v>0</v>
      </c>
      <c r="M20" s="596"/>
    </row>
    <row r="21" spans="1:17" x14ac:dyDescent="0.2">
      <c r="A21" s="465">
        <v>8</v>
      </c>
      <c r="C21" s="589" t="s">
        <v>609</v>
      </c>
      <c r="D21" s="589"/>
      <c r="E21" s="589"/>
      <c r="F21" s="589"/>
      <c r="G21" s="589"/>
      <c r="H21" s="589"/>
      <c r="I21" s="589"/>
      <c r="J21" s="589"/>
      <c r="L21" s="603">
        <f>O869</f>
        <v>0</v>
      </c>
      <c r="M21" s="603"/>
    </row>
    <row r="22" spans="1:17" x14ac:dyDescent="0.2">
      <c r="A22" s="465">
        <v>9</v>
      </c>
      <c r="C22" s="589" t="s">
        <v>610</v>
      </c>
      <c r="D22" s="589"/>
      <c r="E22" s="589"/>
      <c r="F22" s="589"/>
      <c r="G22" s="589"/>
      <c r="H22" s="589"/>
      <c r="I22" s="589"/>
      <c r="J22" s="589"/>
      <c r="L22" s="603">
        <f>O950</f>
        <v>0</v>
      </c>
      <c r="M22" s="603"/>
    </row>
    <row r="23" spans="1:17" x14ac:dyDescent="0.2">
      <c r="A23" s="465"/>
      <c r="C23" s="463"/>
      <c r="D23" s="463"/>
      <c r="E23" s="463"/>
      <c r="F23" s="463"/>
      <c r="G23" s="463"/>
      <c r="H23" s="463"/>
      <c r="I23" s="463"/>
      <c r="J23" s="463"/>
      <c r="L23" s="473"/>
      <c r="M23" s="473"/>
    </row>
    <row r="24" spans="1:17" ht="15" x14ac:dyDescent="0.25">
      <c r="A24" s="465">
        <v>9</v>
      </c>
      <c r="C24" s="604" t="s">
        <v>611</v>
      </c>
      <c r="D24" s="604"/>
      <c r="E24" s="604"/>
      <c r="F24" s="604"/>
      <c r="G24" s="604"/>
      <c r="H24" s="604"/>
      <c r="I24" s="604"/>
      <c r="J24" s="604"/>
      <c r="L24" s="605">
        <f>SUM(L14:M23)</f>
        <v>25129.8652</v>
      </c>
      <c r="M24" s="605"/>
    </row>
    <row r="25" spans="1:17" ht="15" x14ac:dyDescent="0.25">
      <c r="A25" s="465">
        <v>14</v>
      </c>
      <c r="C25" s="591" t="s">
        <v>612</v>
      </c>
      <c r="D25" s="592"/>
      <c r="E25" s="592"/>
      <c r="F25" s="592"/>
      <c r="G25" s="592"/>
      <c r="H25" s="592"/>
      <c r="I25" s="592"/>
      <c r="J25" s="592"/>
      <c r="L25" s="602" t="s">
        <v>613</v>
      </c>
      <c r="M25" s="602"/>
      <c r="Q25" s="474">
        <f>L24/6</f>
        <v>4188.3108666666667</v>
      </c>
    </row>
    <row r="27" spans="1:17" ht="15" customHeight="1" x14ac:dyDescent="0.25">
      <c r="A27" s="597" t="s">
        <v>614</v>
      </c>
      <c r="B27" s="597"/>
      <c r="D27" s="466"/>
      <c r="E27" s="466"/>
      <c r="F27" s="466"/>
      <c r="G27" s="466"/>
      <c r="H27" s="599" t="s">
        <v>615</v>
      </c>
      <c r="I27" s="599"/>
      <c r="L27" s="599" t="s">
        <v>616</v>
      </c>
      <c r="M27" s="599"/>
      <c r="O27" s="599" t="s">
        <v>617</v>
      </c>
      <c r="P27" s="599"/>
    </row>
    <row r="28" spans="1:17" ht="15" customHeight="1" x14ac:dyDescent="0.2">
      <c r="A28" s="598"/>
      <c r="B28" s="598"/>
      <c r="C28" s="464"/>
      <c r="D28" s="467"/>
      <c r="E28" s="467"/>
      <c r="F28" s="467"/>
      <c r="G28" s="467"/>
      <c r="H28" s="467"/>
      <c r="I28" s="464"/>
      <c r="J28" s="464"/>
      <c r="K28" s="464"/>
      <c r="L28" s="464"/>
      <c r="M28" s="464"/>
      <c r="N28" s="464"/>
      <c r="O28" s="464"/>
      <c r="P28" s="464"/>
    </row>
    <row r="29" spans="1:17" ht="15" customHeight="1" x14ac:dyDescent="0.2">
      <c r="D29" s="468"/>
      <c r="E29" s="468"/>
      <c r="F29" s="468"/>
      <c r="G29" s="468"/>
      <c r="H29" s="468"/>
    </row>
    <row r="30" spans="1:17" ht="15" x14ac:dyDescent="0.25">
      <c r="A30" s="607" t="s">
        <v>618</v>
      </c>
      <c r="B30" s="607"/>
      <c r="C30" s="607"/>
      <c r="D30" s="607"/>
      <c r="E30" s="607"/>
      <c r="F30" s="607"/>
      <c r="G30" s="471"/>
      <c r="H30" s="608"/>
      <c r="I30" s="608"/>
      <c r="J30" s="471"/>
      <c r="K30" s="471"/>
      <c r="L30" s="608"/>
      <c r="M30" s="608"/>
      <c r="N30" s="471"/>
      <c r="O30" s="608"/>
      <c r="P30" s="608"/>
    </row>
    <row r="32" spans="1:17" x14ac:dyDescent="0.2">
      <c r="A32" s="589" t="s">
        <v>619</v>
      </c>
      <c r="B32" s="589"/>
      <c r="C32" s="589"/>
      <c r="D32" s="589"/>
      <c r="E32" s="589"/>
      <c r="F32" s="589"/>
      <c r="H32" s="593"/>
      <c r="I32" s="593"/>
      <c r="J32" s="589" t="s">
        <v>620</v>
      </c>
      <c r="K32" s="589"/>
      <c r="L32" s="590">
        <v>6081.91</v>
      </c>
      <c r="M32" s="587"/>
      <c r="O32" s="606">
        <f>H32*L32</f>
        <v>0</v>
      </c>
      <c r="P32" s="587"/>
    </row>
    <row r="33" spans="1:16" x14ac:dyDescent="0.2">
      <c r="A33" s="589" t="s">
        <v>621</v>
      </c>
      <c r="B33" s="589"/>
      <c r="C33" s="589"/>
      <c r="D33" s="589"/>
      <c r="E33" s="589"/>
      <c r="F33" s="589"/>
      <c r="H33" s="593"/>
      <c r="I33" s="593"/>
      <c r="J33" s="589" t="s">
        <v>620</v>
      </c>
      <c r="K33" s="589"/>
      <c r="L33" s="590">
        <v>3100</v>
      </c>
      <c r="M33" s="587"/>
      <c r="O33" s="606">
        <f>H33*L33</f>
        <v>0</v>
      </c>
      <c r="P33" s="587"/>
    </row>
    <row r="34" spans="1:16" x14ac:dyDescent="0.2">
      <c r="H34" s="593"/>
      <c r="I34" s="593"/>
    </row>
    <row r="35" spans="1:16" x14ac:dyDescent="0.2">
      <c r="A35" s="589" t="s">
        <v>622</v>
      </c>
      <c r="B35" s="589"/>
      <c r="C35" s="589"/>
      <c r="D35" s="589"/>
      <c r="E35" s="589"/>
      <c r="H35" s="593"/>
      <c r="I35" s="593"/>
      <c r="J35" s="589" t="s">
        <v>620</v>
      </c>
      <c r="K35" s="589"/>
      <c r="L35" s="587">
        <v>364.91</v>
      </c>
      <c r="M35" s="587"/>
      <c r="O35" s="606">
        <f>H35*L35</f>
        <v>0</v>
      </c>
      <c r="P35" s="587"/>
    </row>
    <row r="36" spans="1:16" x14ac:dyDescent="0.2">
      <c r="A36" s="589" t="s">
        <v>623</v>
      </c>
      <c r="B36" s="589"/>
      <c r="C36" s="589"/>
      <c r="D36" s="589"/>
      <c r="E36" s="589"/>
      <c r="H36" s="593"/>
      <c r="I36" s="593"/>
    </row>
    <row r="37" spans="1:16" x14ac:dyDescent="0.2">
      <c r="H37" s="593"/>
      <c r="I37" s="593"/>
    </row>
    <row r="38" spans="1:16" x14ac:dyDescent="0.2">
      <c r="A38" s="589" t="s">
        <v>624</v>
      </c>
      <c r="B38" s="589"/>
      <c r="C38" s="589"/>
      <c r="D38" s="589"/>
      <c r="E38" s="589"/>
      <c r="H38" s="593"/>
      <c r="I38" s="593"/>
      <c r="J38" s="589" t="s">
        <v>620</v>
      </c>
      <c r="K38" s="589"/>
      <c r="L38" s="590">
        <v>1450</v>
      </c>
      <c r="M38" s="587"/>
      <c r="O38" s="606">
        <f>H38*L38</f>
        <v>0</v>
      </c>
      <c r="P38" s="587"/>
    </row>
    <row r="39" spans="1:16" x14ac:dyDescent="0.2">
      <c r="A39" s="589" t="s">
        <v>625</v>
      </c>
      <c r="B39" s="589"/>
      <c r="C39" s="589"/>
      <c r="D39" s="589"/>
      <c r="E39" s="589"/>
      <c r="H39" s="593"/>
      <c r="I39" s="593"/>
    </row>
    <row r="40" spans="1:16" x14ac:dyDescent="0.2">
      <c r="A40" s="589" t="s">
        <v>626</v>
      </c>
      <c r="B40" s="589"/>
      <c r="C40" s="589"/>
      <c r="D40" s="589"/>
      <c r="E40" s="589"/>
      <c r="H40" s="593"/>
      <c r="I40" s="593"/>
    </row>
    <row r="41" spans="1:16" x14ac:dyDescent="0.2">
      <c r="A41" s="592" t="s">
        <v>627</v>
      </c>
      <c r="B41" s="592"/>
      <c r="C41" s="592"/>
      <c r="D41" s="592"/>
      <c r="E41" s="592"/>
      <c r="H41" s="593"/>
      <c r="I41" s="593"/>
    </row>
    <row r="42" spans="1:16" x14ac:dyDescent="0.2">
      <c r="H42" s="593"/>
      <c r="I42" s="593"/>
    </row>
    <row r="43" spans="1:16" x14ac:dyDescent="0.2">
      <c r="A43" s="589" t="s">
        <v>628</v>
      </c>
      <c r="B43" s="589"/>
      <c r="C43" s="589"/>
      <c r="D43" s="589"/>
      <c r="E43" s="589"/>
      <c r="H43" s="593"/>
      <c r="I43" s="593"/>
      <c r="J43" s="589" t="s">
        <v>620</v>
      </c>
      <c r="K43" s="589"/>
      <c r="L43" s="590">
        <v>1715.1</v>
      </c>
      <c r="M43" s="590"/>
      <c r="O43" s="606">
        <f>H43*L43</f>
        <v>0</v>
      </c>
      <c r="P43" s="587"/>
    </row>
    <row r="44" spans="1:16" x14ac:dyDescent="0.2">
      <c r="A44" s="589" t="s">
        <v>629</v>
      </c>
      <c r="B44" s="589"/>
      <c r="C44" s="589"/>
      <c r="D44" s="589"/>
      <c r="E44" s="589"/>
      <c r="H44" s="593"/>
      <c r="I44" s="593"/>
    </row>
    <row r="45" spans="1:16" x14ac:dyDescent="0.2">
      <c r="A45" s="589" t="s">
        <v>630</v>
      </c>
      <c r="B45" s="589"/>
      <c r="C45" s="589"/>
      <c r="D45" s="589"/>
      <c r="E45" s="589"/>
      <c r="H45" s="593"/>
      <c r="I45" s="593"/>
    </row>
    <row r="46" spans="1:16" x14ac:dyDescent="0.2">
      <c r="A46" s="587"/>
      <c r="B46" s="587"/>
      <c r="C46" s="587"/>
      <c r="D46" s="587"/>
      <c r="E46" s="587"/>
      <c r="H46" s="593"/>
      <c r="I46" s="593"/>
    </row>
    <row r="47" spans="1:16" x14ac:dyDescent="0.2">
      <c r="A47" s="589" t="s">
        <v>631</v>
      </c>
      <c r="B47" s="589"/>
      <c r="C47" s="589"/>
      <c r="D47" s="589"/>
      <c r="E47" s="589"/>
      <c r="H47" s="593"/>
      <c r="I47" s="593"/>
      <c r="J47" s="589" t="s">
        <v>620</v>
      </c>
      <c r="K47" s="589"/>
      <c r="L47" s="590">
        <v>5850</v>
      </c>
      <c r="M47" s="590"/>
      <c r="O47" s="606">
        <f>H47*L47</f>
        <v>0</v>
      </c>
      <c r="P47" s="587"/>
    </row>
    <row r="48" spans="1:16" x14ac:dyDescent="0.2">
      <c r="A48" s="589" t="s">
        <v>632</v>
      </c>
      <c r="B48" s="589"/>
      <c r="C48" s="589"/>
      <c r="D48" s="589"/>
      <c r="E48" s="589"/>
      <c r="H48" s="593"/>
      <c r="I48" s="593"/>
    </row>
    <row r="49" spans="1:16" x14ac:dyDescent="0.2">
      <c r="A49" s="589" t="s">
        <v>633</v>
      </c>
      <c r="B49" s="589"/>
      <c r="C49" s="589"/>
      <c r="D49" s="589"/>
      <c r="E49" s="589"/>
      <c r="H49" s="593"/>
      <c r="I49" s="593"/>
    </row>
    <row r="50" spans="1:16" x14ac:dyDescent="0.2">
      <c r="A50" s="589" t="s">
        <v>634</v>
      </c>
      <c r="B50" s="589"/>
      <c r="C50" s="589"/>
      <c r="D50" s="589"/>
      <c r="E50" s="589"/>
    </row>
    <row r="51" spans="1:16" x14ac:dyDescent="0.2">
      <c r="A51" s="587"/>
      <c r="B51" s="587"/>
      <c r="C51" s="587"/>
      <c r="D51" s="587"/>
      <c r="E51" s="587"/>
    </row>
    <row r="52" spans="1:16" x14ac:dyDescent="0.2">
      <c r="A52" s="589" t="s">
        <v>635</v>
      </c>
      <c r="B52" s="589"/>
      <c r="C52" s="589"/>
      <c r="D52" s="589"/>
      <c r="E52" s="589"/>
      <c r="H52" s="593"/>
      <c r="I52" s="593"/>
      <c r="J52" s="589" t="s">
        <v>620</v>
      </c>
      <c r="K52" s="589"/>
      <c r="L52" s="609">
        <v>650</v>
      </c>
      <c r="M52" s="610"/>
      <c r="O52" s="606">
        <f>H52*L52</f>
        <v>0</v>
      </c>
      <c r="P52" s="587"/>
    </row>
    <row r="53" spans="1:16" x14ac:dyDescent="0.2">
      <c r="A53" s="589" t="s">
        <v>636</v>
      </c>
      <c r="B53" s="589"/>
      <c r="C53" s="589"/>
      <c r="D53" s="589"/>
      <c r="E53" s="589"/>
    </row>
    <row r="54" spans="1:16" x14ac:dyDescent="0.2">
      <c r="A54" s="589" t="s">
        <v>637</v>
      </c>
      <c r="B54" s="589"/>
      <c r="C54" s="589"/>
      <c r="D54" s="589"/>
      <c r="E54" s="589"/>
    </row>
    <row r="55" spans="1:16" x14ac:dyDescent="0.2">
      <c r="A55" s="587"/>
      <c r="B55" s="587"/>
      <c r="C55" s="587"/>
      <c r="D55" s="587"/>
      <c r="E55" s="587"/>
    </row>
    <row r="56" spans="1:16" hidden="1" x14ac:dyDescent="0.2">
      <c r="A56" s="589" t="s">
        <v>638</v>
      </c>
      <c r="B56" s="589"/>
      <c r="C56" s="589"/>
      <c r="D56" s="589"/>
      <c r="E56" s="589"/>
      <c r="H56" s="593"/>
      <c r="I56" s="593"/>
      <c r="J56" s="589" t="s">
        <v>620</v>
      </c>
      <c r="K56" s="589"/>
      <c r="L56" s="590">
        <v>6252.2</v>
      </c>
      <c r="M56" s="587"/>
      <c r="O56" s="587"/>
      <c r="P56" s="587"/>
    </row>
    <row r="57" spans="1:16" hidden="1" x14ac:dyDescent="0.2">
      <c r="A57" s="589" t="s">
        <v>639</v>
      </c>
      <c r="B57" s="589"/>
      <c r="C57" s="589"/>
      <c r="D57" s="589"/>
      <c r="E57" s="589"/>
    </row>
    <row r="58" spans="1:16" hidden="1" x14ac:dyDescent="0.2"/>
    <row r="59" spans="1:16" hidden="1" x14ac:dyDescent="0.2">
      <c r="A59" s="589" t="s">
        <v>640</v>
      </c>
      <c r="B59" s="589"/>
      <c r="C59" s="589"/>
      <c r="D59" s="589"/>
      <c r="E59" s="589"/>
      <c r="H59" s="593"/>
      <c r="I59" s="593"/>
      <c r="J59" s="589" t="s">
        <v>620</v>
      </c>
      <c r="K59" s="589"/>
      <c r="L59" s="590">
        <v>4378.97</v>
      </c>
      <c r="M59" s="587"/>
      <c r="O59" s="606">
        <f>H59*L59</f>
        <v>0</v>
      </c>
      <c r="P59" s="587"/>
    </row>
    <row r="60" spans="1:16" hidden="1" x14ac:dyDescent="0.2">
      <c r="A60" s="589" t="s">
        <v>641</v>
      </c>
      <c r="B60" s="589"/>
      <c r="C60" s="589"/>
      <c r="D60" s="589"/>
      <c r="E60" s="589"/>
    </row>
    <row r="61" spans="1:16" hidden="1" x14ac:dyDescent="0.2">
      <c r="A61" s="589" t="s">
        <v>642</v>
      </c>
      <c r="B61" s="589"/>
      <c r="C61" s="589"/>
      <c r="D61" s="589"/>
      <c r="E61" s="589"/>
    </row>
    <row r="62" spans="1:16" hidden="1" x14ac:dyDescent="0.2">
      <c r="A62" s="589" t="s">
        <v>643</v>
      </c>
      <c r="B62" s="589"/>
      <c r="C62" s="589"/>
      <c r="D62" s="589"/>
      <c r="E62" s="589"/>
    </row>
    <row r="63" spans="1:16" hidden="1" x14ac:dyDescent="0.2"/>
    <row r="64" spans="1:16" hidden="1" x14ac:dyDescent="0.2">
      <c r="A64" s="589" t="s">
        <v>644</v>
      </c>
      <c r="B64" s="589"/>
      <c r="C64" s="589"/>
      <c r="D64" s="589"/>
      <c r="E64" s="589"/>
      <c r="H64" s="593"/>
      <c r="I64" s="593"/>
      <c r="J64" s="589" t="s">
        <v>620</v>
      </c>
      <c r="K64" s="589"/>
      <c r="L64" s="587"/>
      <c r="M64" s="587"/>
      <c r="O64" s="587" t="s">
        <v>645</v>
      </c>
      <c r="P64" s="587"/>
    </row>
    <row r="65" spans="1:16" hidden="1" x14ac:dyDescent="0.2">
      <c r="A65" s="589" t="s">
        <v>646</v>
      </c>
      <c r="B65" s="589"/>
      <c r="C65" s="589"/>
      <c r="D65" s="589"/>
      <c r="E65" s="589"/>
    </row>
    <row r="66" spans="1:16" hidden="1" x14ac:dyDescent="0.2">
      <c r="A66" s="589" t="s">
        <v>647</v>
      </c>
      <c r="B66" s="589"/>
      <c r="C66" s="589"/>
      <c r="D66" s="589"/>
      <c r="E66" s="589"/>
    </row>
    <row r="67" spans="1:16" hidden="1" x14ac:dyDescent="0.2">
      <c r="A67" s="589" t="s">
        <v>648</v>
      </c>
      <c r="B67" s="589"/>
      <c r="C67" s="589"/>
      <c r="D67" s="589"/>
      <c r="E67" s="589"/>
    </row>
    <row r="68" spans="1:16" hidden="1" x14ac:dyDescent="0.2">
      <c r="A68" s="587"/>
      <c r="B68" s="587"/>
      <c r="C68" s="587"/>
      <c r="D68" s="587"/>
      <c r="E68" s="587"/>
    </row>
    <row r="69" spans="1:16" x14ac:dyDescent="0.2">
      <c r="A69" s="589" t="s">
        <v>649</v>
      </c>
      <c r="B69" s="589"/>
      <c r="C69" s="589"/>
      <c r="D69" s="589"/>
      <c r="E69" s="589"/>
      <c r="H69" s="593"/>
      <c r="I69" s="593"/>
      <c r="J69" s="589" t="s">
        <v>620</v>
      </c>
      <c r="K69" s="589"/>
      <c r="L69" s="590">
        <v>2432.7600000000002</v>
      </c>
      <c r="M69" s="587"/>
      <c r="O69" s="606">
        <f>H69*L69</f>
        <v>0</v>
      </c>
      <c r="P69" s="587"/>
    </row>
    <row r="70" spans="1:16" x14ac:dyDescent="0.2">
      <c r="A70" s="589" t="s">
        <v>650</v>
      </c>
      <c r="B70" s="589"/>
      <c r="C70" s="589"/>
      <c r="D70" s="589"/>
      <c r="E70" s="589"/>
    </row>
    <row r="71" spans="1:16" x14ac:dyDescent="0.2">
      <c r="A71" s="463"/>
      <c r="B71" s="463"/>
      <c r="C71" s="463"/>
      <c r="D71" s="463"/>
      <c r="E71" s="463"/>
    </row>
    <row r="72" spans="1:16" x14ac:dyDescent="0.2">
      <c r="A72" s="463" t="s">
        <v>651</v>
      </c>
      <c r="B72" s="463"/>
      <c r="C72" s="463"/>
      <c r="D72" s="463"/>
      <c r="E72" s="463"/>
      <c r="J72" s="589" t="s">
        <v>620</v>
      </c>
      <c r="K72" s="589"/>
      <c r="L72" s="590">
        <v>11200</v>
      </c>
      <c r="M72" s="587"/>
      <c r="O72" s="606">
        <f>H72*L72</f>
        <v>0</v>
      </c>
      <c r="P72" s="587"/>
    </row>
    <row r="73" spans="1:16" x14ac:dyDescent="0.2">
      <c r="A73" s="463" t="s">
        <v>652</v>
      </c>
      <c r="B73" s="463"/>
      <c r="C73" s="463"/>
      <c r="D73" s="463"/>
      <c r="E73" s="463"/>
      <c r="J73" s="589" t="s">
        <v>620</v>
      </c>
      <c r="K73" s="589"/>
      <c r="L73" s="590">
        <v>1020</v>
      </c>
      <c r="M73" s="587"/>
      <c r="O73" s="606">
        <f>H73*L73</f>
        <v>0</v>
      </c>
      <c r="P73" s="587"/>
    </row>
    <row r="74" spans="1:16" x14ac:dyDescent="0.2">
      <c r="A74" s="463" t="s">
        <v>653</v>
      </c>
      <c r="B74" s="463"/>
      <c r="C74" s="463"/>
      <c r="D74" s="463"/>
      <c r="E74" s="463"/>
      <c r="J74" s="589" t="s">
        <v>620</v>
      </c>
      <c r="K74" s="589"/>
      <c r="L74" s="590">
        <v>1888</v>
      </c>
      <c r="M74" s="587"/>
      <c r="O74" s="606">
        <f>H74*L74</f>
        <v>0</v>
      </c>
      <c r="P74" s="587"/>
    </row>
    <row r="75" spans="1:16" x14ac:dyDescent="0.2">
      <c r="A75" s="463" t="s">
        <v>654</v>
      </c>
      <c r="B75" s="463"/>
      <c r="C75" s="463"/>
      <c r="D75" s="463"/>
      <c r="E75" s="463"/>
      <c r="J75" s="589" t="s">
        <v>620</v>
      </c>
      <c r="K75" s="589"/>
      <c r="L75" s="590">
        <v>650</v>
      </c>
      <c r="M75" s="587"/>
      <c r="O75" s="606">
        <f>H75*L75</f>
        <v>0</v>
      </c>
      <c r="P75" s="587"/>
    </row>
    <row r="76" spans="1:16" x14ac:dyDescent="0.2">
      <c r="A76" s="463"/>
      <c r="B76" s="463"/>
      <c r="C76" s="463"/>
      <c r="D76" s="463"/>
      <c r="E76" s="463"/>
    </row>
    <row r="77" spans="1:16" x14ac:dyDescent="0.2">
      <c r="A77" s="463"/>
      <c r="B77" s="463"/>
      <c r="C77" s="463"/>
      <c r="D77" s="463"/>
      <c r="E77" s="463"/>
    </row>
    <row r="78" spans="1:16" x14ac:dyDescent="0.2">
      <c r="A78" s="463"/>
      <c r="B78" s="463"/>
      <c r="C78" s="463"/>
      <c r="D78" s="463"/>
      <c r="E78" s="463"/>
    </row>
    <row r="79" spans="1:16" ht="15" x14ac:dyDescent="0.25">
      <c r="A79" s="599" t="s">
        <v>655</v>
      </c>
      <c r="B79" s="599"/>
      <c r="C79" s="599"/>
      <c r="D79" s="599"/>
      <c r="E79" s="599"/>
      <c r="O79" s="611">
        <f>SUM(O30:P78)</f>
        <v>0</v>
      </c>
      <c r="P79" s="612"/>
    </row>
    <row r="80" spans="1:16" ht="15.75" thickBot="1" x14ac:dyDescent="0.3">
      <c r="A80" s="599" t="s">
        <v>656</v>
      </c>
      <c r="B80" s="599"/>
      <c r="C80" s="599"/>
      <c r="D80" s="599"/>
      <c r="E80" s="599"/>
      <c r="O80" s="613"/>
      <c r="P80" s="613"/>
    </row>
    <row r="81" spans="1:16" ht="13.5" thickTop="1" x14ac:dyDescent="0.2"/>
    <row r="82" spans="1:16" ht="15" x14ac:dyDescent="0.25">
      <c r="A82" s="607" t="s">
        <v>657</v>
      </c>
      <c r="B82" s="607"/>
      <c r="C82" s="607"/>
      <c r="D82" s="471"/>
      <c r="E82" s="471"/>
      <c r="F82" s="471"/>
      <c r="G82" s="471"/>
      <c r="H82" s="471"/>
      <c r="I82" s="471"/>
      <c r="J82" s="471"/>
      <c r="K82" s="471"/>
      <c r="L82" s="471"/>
      <c r="M82" s="471"/>
      <c r="N82" s="471"/>
      <c r="O82" s="471"/>
      <c r="P82" s="471"/>
    </row>
    <row r="84" spans="1:16" hidden="1" x14ac:dyDescent="0.2">
      <c r="A84" t="s">
        <v>658</v>
      </c>
      <c r="J84" s="587"/>
      <c r="K84" s="587"/>
    </row>
    <row r="85" spans="1:16" hidden="1" x14ac:dyDescent="0.2">
      <c r="A85" s="589" t="s">
        <v>659</v>
      </c>
      <c r="B85" s="589"/>
      <c r="C85" s="589"/>
      <c r="D85" s="589"/>
      <c r="E85" s="589"/>
    </row>
    <row r="86" spans="1:16" hidden="1" x14ac:dyDescent="0.2">
      <c r="A86" s="589" t="s">
        <v>660</v>
      </c>
      <c r="B86" s="589"/>
      <c r="C86" s="589"/>
      <c r="D86" s="589"/>
      <c r="E86" s="589"/>
    </row>
    <row r="87" spans="1:16" hidden="1" x14ac:dyDescent="0.2"/>
    <row r="88" spans="1:16" hidden="1" x14ac:dyDescent="0.2">
      <c r="A88" s="589" t="s">
        <v>661</v>
      </c>
      <c r="B88" s="589"/>
      <c r="C88" s="589"/>
      <c r="J88" s="587" t="s">
        <v>662</v>
      </c>
      <c r="K88" s="587"/>
    </row>
    <row r="89" spans="1:16" hidden="1" x14ac:dyDescent="0.2">
      <c r="A89" s="589" t="s">
        <v>663</v>
      </c>
      <c r="B89" s="589"/>
      <c r="C89" s="589"/>
      <c r="J89" s="587" t="s">
        <v>662</v>
      </c>
      <c r="K89" s="587"/>
    </row>
    <row r="90" spans="1:16" hidden="1" x14ac:dyDescent="0.2">
      <c r="A90" s="589" t="s">
        <v>664</v>
      </c>
      <c r="B90" s="589"/>
      <c r="C90" s="589"/>
      <c r="J90" s="587" t="s">
        <v>662</v>
      </c>
      <c r="K90" s="587"/>
    </row>
    <row r="91" spans="1:16" hidden="1" x14ac:dyDescent="0.2"/>
    <row r="92" spans="1:16" hidden="1" x14ac:dyDescent="0.2"/>
    <row r="93" spans="1:16" hidden="1" x14ac:dyDescent="0.2">
      <c r="A93" s="589" t="s">
        <v>665</v>
      </c>
      <c r="B93" s="589"/>
      <c r="C93" s="589"/>
      <c r="D93" s="589"/>
      <c r="E93" s="589"/>
    </row>
    <row r="94" spans="1:16" hidden="1" x14ac:dyDescent="0.2">
      <c r="A94" s="589" t="s">
        <v>666</v>
      </c>
      <c r="B94" s="589"/>
      <c r="C94" s="589"/>
      <c r="D94" s="589"/>
      <c r="E94" s="589"/>
    </row>
    <row r="95" spans="1:16" hidden="1" x14ac:dyDescent="0.2"/>
    <row r="96" spans="1:16" hidden="1" x14ac:dyDescent="0.2">
      <c r="A96" s="589" t="s">
        <v>667</v>
      </c>
      <c r="B96" s="589"/>
      <c r="C96" s="589"/>
      <c r="D96" s="589"/>
      <c r="E96" s="589"/>
      <c r="H96" s="593"/>
      <c r="I96" s="593"/>
      <c r="J96" s="587" t="s">
        <v>662</v>
      </c>
      <c r="K96" s="587"/>
      <c r="L96" s="587">
        <v>14.52</v>
      </c>
      <c r="M96" s="587"/>
      <c r="O96" s="595">
        <f>H96*L96</f>
        <v>0</v>
      </c>
      <c r="P96" s="595"/>
    </row>
    <row r="97" spans="1:16" hidden="1" x14ac:dyDescent="0.2"/>
    <row r="98" spans="1:16" hidden="1" x14ac:dyDescent="0.2">
      <c r="A98" s="589" t="s">
        <v>668</v>
      </c>
      <c r="B98" s="589"/>
      <c r="C98" s="589"/>
      <c r="D98" s="589"/>
      <c r="E98" s="589"/>
      <c r="H98" s="590"/>
      <c r="I98" s="587"/>
      <c r="J98" s="587" t="s">
        <v>662</v>
      </c>
      <c r="K98" s="587"/>
      <c r="L98" s="587">
        <v>22.56</v>
      </c>
      <c r="M98" s="587"/>
      <c r="O98" s="595">
        <f>H98*L98</f>
        <v>0</v>
      </c>
      <c r="P98" s="595"/>
    </row>
    <row r="99" spans="1:16" hidden="1" x14ac:dyDescent="0.2">
      <c r="A99" s="589" t="s">
        <v>669</v>
      </c>
      <c r="B99" s="589"/>
      <c r="C99" s="589"/>
      <c r="D99" s="589"/>
      <c r="E99" s="589"/>
      <c r="L99" s="587"/>
      <c r="M99" s="587"/>
      <c r="O99" s="595"/>
      <c r="P99" s="595"/>
    </row>
    <row r="100" spans="1:16" hidden="1" x14ac:dyDescent="0.2">
      <c r="L100" s="587"/>
      <c r="M100" s="587"/>
      <c r="O100" s="595"/>
      <c r="P100" s="595"/>
    </row>
    <row r="101" spans="1:16" hidden="1" x14ac:dyDescent="0.2">
      <c r="A101" s="589" t="s">
        <v>670</v>
      </c>
      <c r="B101" s="589"/>
      <c r="C101" s="589"/>
      <c r="D101" s="589"/>
      <c r="E101" s="589"/>
      <c r="H101" s="593"/>
      <c r="I101" s="593"/>
      <c r="J101" s="587" t="s">
        <v>662</v>
      </c>
      <c r="K101" s="587"/>
      <c r="L101" s="587">
        <v>13.74</v>
      </c>
      <c r="M101" s="587"/>
      <c r="O101" s="595">
        <f t="shared" ref="O101" si="0">H101*L101</f>
        <v>0</v>
      </c>
      <c r="P101" s="595"/>
    </row>
    <row r="102" spans="1:16" hidden="1" x14ac:dyDescent="0.2">
      <c r="A102" s="589" t="s">
        <v>671</v>
      </c>
      <c r="B102" s="589"/>
      <c r="C102" s="589"/>
      <c r="D102" s="589"/>
      <c r="E102" s="589"/>
      <c r="L102" s="587"/>
      <c r="M102" s="587"/>
      <c r="O102" s="595"/>
      <c r="P102" s="595"/>
    </row>
    <row r="103" spans="1:16" x14ac:dyDescent="0.2">
      <c r="L103" s="587"/>
      <c r="M103" s="587"/>
      <c r="O103" s="595"/>
      <c r="P103" s="595"/>
    </row>
    <row r="104" spans="1:16" hidden="1" x14ac:dyDescent="0.2">
      <c r="A104" s="589" t="s">
        <v>672</v>
      </c>
      <c r="B104" s="589"/>
      <c r="C104" s="589"/>
      <c r="D104" s="589"/>
      <c r="E104" s="589"/>
      <c r="H104" s="615">
        <v>0</v>
      </c>
      <c r="I104" s="615"/>
      <c r="J104" s="587" t="s">
        <v>662</v>
      </c>
      <c r="K104" s="587"/>
      <c r="L104" s="587">
        <v>33.92</v>
      </c>
      <c r="M104" s="587"/>
      <c r="O104" s="595">
        <f t="shared" ref="O104" si="1">H104*L104</f>
        <v>0</v>
      </c>
      <c r="P104" s="595"/>
    </row>
    <row r="105" spans="1:16" hidden="1" x14ac:dyDescent="0.2">
      <c r="A105" s="614" t="s">
        <v>673</v>
      </c>
      <c r="B105" s="589"/>
      <c r="C105" s="589"/>
      <c r="D105" s="589"/>
      <c r="E105" s="589"/>
      <c r="J105" s="587"/>
      <c r="K105" s="587"/>
      <c r="L105" s="587"/>
      <c r="M105" s="587"/>
      <c r="O105" s="595"/>
      <c r="P105" s="595"/>
    </row>
    <row r="106" spans="1:16" hidden="1" x14ac:dyDescent="0.2">
      <c r="A106" s="591" t="s">
        <v>674</v>
      </c>
      <c r="B106" s="592"/>
      <c r="C106" s="592"/>
      <c r="D106" s="592"/>
      <c r="E106" s="592"/>
      <c r="J106" s="587"/>
      <c r="K106" s="587"/>
      <c r="L106" s="587"/>
      <c r="M106" s="587"/>
      <c r="O106" s="595"/>
      <c r="P106" s="595"/>
    </row>
    <row r="107" spans="1:16" hidden="1" x14ac:dyDescent="0.2">
      <c r="A107" s="587"/>
      <c r="B107" s="587"/>
      <c r="C107" s="587"/>
      <c r="D107" s="587"/>
      <c r="E107" s="587"/>
      <c r="J107" s="587"/>
      <c r="K107" s="587"/>
      <c r="L107" s="587"/>
      <c r="M107" s="587"/>
      <c r="O107" s="595"/>
      <c r="P107" s="595"/>
    </row>
    <row r="108" spans="1:16" x14ac:dyDescent="0.2">
      <c r="A108" s="410"/>
      <c r="B108" s="410"/>
      <c r="C108" s="410"/>
      <c r="D108" s="410"/>
      <c r="E108" s="410"/>
      <c r="J108" s="410"/>
      <c r="K108" s="410"/>
      <c r="L108" s="410"/>
      <c r="M108" s="410"/>
      <c r="O108" s="412"/>
      <c r="P108" s="412"/>
    </row>
    <row r="109" spans="1:16" x14ac:dyDescent="0.2">
      <c r="A109" s="410" t="s">
        <v>675</v>
      </c>
      <c r="B109" s="410"/>
      <c r="C109" s="410"/>
      <c r="D109" s="410"/>
      <c r="E109" s="410"/>
      <c r="H109" s="593"/>
      <c r="I109" s="593"/>
      <c r="J109" s="587" t="s">
        <v>662</v>
      </c>
      <c r="K109" s="587"/>
      <c r="L109" s="587">
        <v>9.6</v>
      </c>
      <c r="M109" s="587"/>
      <c r="O109" s="595">
        <f t="shared" ref="O109" si="2">H109*L109</f>
        <v>0</v>
      </c>
      <c r="P109" s="595"/>
    </row>
    <row r="110" spans="1:16" x14ac:dyDescent="0.2">
      <c r="A110" s="410" t="s">
        <v>676</v>
      </c>
      <c r="B110" s="410"/>
      <c r="C110" s="410"/>
      <c r="D110" s="410"/>
      <c r="E110" s="410"/>
      <c r="H110" s="593"/>
      <c r="I110" s="593"/>
      <c r="J110" s="587" t="s">
        <v>662</v>
      </c>
      <c r="K110" s="587"/>
      <c r="L110" s="587">
        <v>6</v>
      </c>
      <c r="M110" s="587"/>
      <c r="O110" s="595">
        <f>H110*L110</f>
        <v>0</v>
      </c>
      <c r="P110" s="595"/>
    </row>
    <row r="111" spans="1:16" x14ac:dyDescent="0.2">
      <c r="A111" s="410" t="s">
        <v>677</v>
      </c>
      <c r="B111" s="410"/>
      <c r="C111" s="410"/>
      <c r="D111" s="410"/>
      <c r="E111" s="410"/>
      <c r="H111" s="593"/>
      <c r="I111" s="593"/>
      <c r="J111" s="587" t="s">
        <v>662</v>
      </c>
      <c r="K111" s="587"/>
      <c r="L111" s="587">
        <v>15.8</v>
      </c>
      <c r="M111" s="587"/>
      <c r="O111" s="595">
        <f>H111*L111</f>
        <v>0</v>
      </c>
      <c r="P111" s="595"/>
    </row>
    <row r="112" spans="1:16" x14ac:dyDescent="0.2">
      <c r="A112" s="410" t="s">
        <v>678</v>
      </c>
      <c r="B112" s="410"/>
      <c r="C112" s="410"/>
      <c r="D112" s="410"/>
      <c r="E112" s="410"/>
      <c r="H112" s="593"/>
      <c r="I112" s="593"/>
      <c r="J112" s="587" t="s">
        <v>679</v>
      </c>
      <c r="K112" s="587"/>
      <c r="L112" s="587">
        <v>600</v>
      </c>
      <c r="M112" s="587"/>
      <c r="O112" s="595">
        <f>H112*L112</f>
        <v>0</v>
      </c>
      <c r="P112" s="595"/>
    </row>
    <row r="113" spans="1:16" x14ac:dyDescent="0.2">
      <c r="A113" s="410" t="s">
        <v>680</v>
      </c>
      <c r="B113" s="410"/>
      <c r="C113" s="410"/>
      <c r="D113" s="410"/>
      <c r="E113" s="410"/>
      <c r="H113" s="593"/>
      <c r="I113" s="593"/>
      <c r="J113" s="587" t="s">
        <v>662</v>
      </c>
      <c r="K113" s="587"/>
      <c r="L113" s="587">
        <v>31</v>
      </c>
      <c r="M113" s="587"/>
      <c r="O113" s="595">
        <f>H113*L113</f>
        <v>0</v>
      </c>
      <c r="P113" s="595"/>
    </row>
    <row r="114" spans="1:16" x14ac:dyDescent="0.2">
      <c r="A114" s="587"/>
      <c r="B114" s="587"/>
      <c r="C114" s="587"/>
      <c r="D114" s="587"/>
      <c r="E114" s="587"/>
      <c r="J114" s="587"/>
      <c r="K114" s="587"/>
      <c r="L114" s="587"/>
      <c r="M114" s="587"/>
      <c r="O114" s="595"/>
      <c r="P114" s="595"/>
    </row>
    <row r="115" spans="1:16" x14ac:dyDescent="0.2">
      <c r="A115" s="591" t="s">
        <v>681</v>
      </c>
      <c r="B115" s="592"/>
      <c r="C115" s="592"/>
      <c r="D115" s="592"/>
      <c r="E115" s="592"/>
      <c r="H115" s="593"/>
      <c r="I115" s="593"/>
      <c r="J115" s="587" t="s">
        <v>662</v>
      </c>
      <c r="K115" s="587"/>
      <c r="L115" s="594">
        <v>25</v>
      </c>
      <c r="M115" s="594"/>
      <c r="O115" s="595">
        <f t="shared" ref="O115" si="3">H115*L115</f>
        <v>0</v>
      </c>
      <c r="P115" s="595"/>
    </row>
    <row r="116" spans="1:16" x14ac:dyDescent="0.2">
      <c r="A116" s="589" t="s">
        <v>682</v>
      </c>
      <c r="B116" s="589"/>
      <c r="C116" s="589"/>
      <c r="D116" s="589"/>
      <c r="E116" s="589"/>
      <c r="H116" s="587"/>
      <c r="I116" s="587"/>
      <c r="J116" s="587"/>
      <c r="K116" s="587"/>
      <c r="L116" s="587"/>
      <c r="M116" s="587"/>
      <c r="O116" s="587"/>
      <c r="P116" s="587"/>
    </row>
    <row r="117" spans="1:16" x14ac:dyDescent="0.2">
      <c r="A117" s="587"/>
      <c r="B117" s="587"/>
      <c r="C117" s="587"/>
      <c r="D117" s="587"/>
      <c r="E117" s="587"/>
      <c r="H117" s="587"/>
      <c r="I117" s="587"/>
      <c r="J117" s="587"/>
      <c r="K117" s="587"/>
      <c r="O117" s="587"/>
      <c r="P117" s="587"/>
    </row>
    <row r="118" spans="1:16" x14ac:dyDescent="0.2">
      <c r="A118" s="587"/>
      <c r="B118" s="587"/>
      <c r="C118" s="587"/>
      <c r="D118" s="587"/>
      <c r="E118" s="587"/>
      <c r="H118" s="587"/>
      <c r="I118" s="587"/>
    </row>
    <row r="119" spans="1:16" x14ac:dyDescent="0.2">
      <c r="A119" s="592" t="s">
        <v>683</v>
      </c>
      <c r="B119" s="592"/>
      <c r="C119" s="592"/>
      <c r="D119" s="592"/>
      <c r="E119" s="469"/>
      <c r="H119" s="593"/>
      <c r="I119" s="593"/>
      <c r="J119" s="587" t="s">
        <v>684</v>
      </c>
      <c r="K119" s="587"/>
      <c r="L119" s="590">
        <v>3100</v>
      </c>
      <c r="M119" s="587"/>
      <c r="O119" s="587">
        <f>H119*L119</f>
        <v>0</v>
      </c>
      <c r="P119" s="587"/>
    </row>
    <row r="120" spans="1:16" x14ac:dyDescent="0.2">
      <c r="A120" s="469" t="s">
        <v>685</v>
      </c>
      <c r="B120" s="469"/>
      <c r="C120" s="469"/>
      <c r="D120" s="469"/>
      <c r="E120" s="469"/>
      <c r="H120" s="587"/>
      <c r="I120" s="587"/>
    </row>
    <row r="121" spans="1:16" x14ac:dyDescent="0.2">
      <c r="A121" s="592" t="s">
        <v>686</v>
      </c>
      <c r="B121" s="592"/>
      <c r="C121" s="592"/>
      <c r="D121" s="592"/>
      <c r="E121" s="469"/>
    </row>
    <row r="122" spans="1:16" x14ac:dyDescent="0.2">
      <c r="A122" s="592" t="s">
        <v>687</v>
      </c>
      <c r="B122" s="592"/>
      <c r="C122" s="592"/>
      <c r="D122" s="592"/>
      <c r="E122" s="469"/>
    </row>
    <row r="123" spans="1:16" x14ac:dyDescent="0.2">
      <c r="A123" s="469" t="s">
        <v>688</v>
      </c>
      <c r="B123" s="469"/>
      <c r="C123" s="469"/>
      <c r="D123" s="469"/>
      <c r="E123" s="469"/>
    </row>
    <row r="124" spans="1:16" x14ac:dyDescent="0.2">
      <c r="A124" s="592" t="s">
        <v>689</v>
      </c>
      <c r="B124" s="592"/>
      <c r="C124" s="592"/>
      <c r="D124" s="592"/>
      <c r="E124" s="469"/>
    </row>
    <row r="125" spans="1:16" ht="28.5" customHeight="1" x14ac:dyDescent="0.2">
      <c r="A125" s="592" t="s">
        <v>690</v>
      </c>
      <c r="B125" s="592"/>
      <c r="C125" s="592"/>
      <c r="D125" s="592"/>
      <c r="E125" s="469"/>
    </row>
    <row r="126" spans="1:16" x14ac:dyDescent="0.2">
      <c r="A126" s="587"/>
      <c r="B126" s="587"/>
      <c r="C126" s="587"/>
      <c r="D126" s="587"/>
      <c r="E126" s="587"/>
    </row>
    <row r="127" spans="1:16" x14ac:dyDescent="0.2">
      <c r="A127" s="592" t="s">
        <v>691</v>
      </c>
      <c r="B127" s="592"/>
      <c r="C127" s="592"/>
      <c r="D127" s="592"/>
      <c r="E127" s="592"/>
      <c r="H127" s="593"/>
      <c r="I127" s="593"/>
      <c r="J127" s="589" t="s">
        <v>620</v>
      </c>
      <c r="K127" s="589"/>
      <c r="L127" s="590">
        <v>3649.14</v>
      </c>
      <c r="M127" s="587"/>
      <c r="O127" s="587">
        <f>H127*L127</f>
        <v>0</v>
      </c>
      <c r="P127" s="587"/>
    </row>
    <row r="128" spans="1:16" x14ac:dyDescent="0.2">
      <c r="A128" s="589" t="s">
        <v>692</v>
      </c>
      <c r="B128" s="589"/>
      <c r="C128" s="589"/>
      <c r="D128" s="589"/>
      <c r="E128" s="589"/>
    </row>
    <row r="129" spans="1:16" x14ac:dyDescent="0.2">
      <c r="A129" s="589" t="s">
        <v>693</v>
      </c>
      <c r="B129" s="589"/>
      <c r="C129" s="589"/>
      <c r="D129" s="589"/>
      <c r="E129" s="589"/>
    </row>
    <row r="130" spans="1:16" x14ac:dyDescent="0.2">
      <c r="A130" s="589" t="s">
        <v>694</v>
      </c>
      <c r="B130" s="589"/>
      <c r="C130" s="589"/>
      <c r="D130" s="589"/>
      <c r="E130" s="589"/>
    </row>
    <row r="131" spans="1:16" x14ac:dyDescent="0.2">
      <c r="A131" s="587"/>
      <c r="B131" s="587"/>
      <c r="C131" s="587"/>
      <c r="D131" s="587"/>
      <c r="E131" s="587"/>
    </row>
    <row r="132" spans="1:16" ht="10.5" customHeight="1" x14ac:dyDescent="0.2">
      <c r="A132" s="587"/>
      <c r="B132" s="587"/>
      <c r="C132" s="587"/>
      <c r="D132" s="587"/>
      <c r="E132" s="587"/>
    </row>
    <row r="133" spans="1:16" ht="21.75" customHeight="1" x14ac:dyDescent="0.2">
      <c r="A133" s="589" t="s">
        <v>695</v>
      </c>
      <c r="B133" s="589"/>
      <c r="C133" s="589"/>
      <c r="D133" s="589"/>
      <c r="E133" s="589"/>
      <c r="H133" s="593"/>
      <c r="I133" s="593"/>
      <c r="J133" s="587" t="s">
        <v>696</v>
      </c>
      <c r="K133" s="587"/>
    </row>
    <row r="134" spans="1:16" ht="39.75" customHeight="1" x14ac:dyDescent="0.2">
      <c r="A134" s="589" t="s">
        <v>697</v>
      </c>
      <c r="B134" s="589"/>
      <c r="C134" s="589"/>
      <c r="D134" s="589"/>
      <c r="E134" s="589"/>
    </row>
    <row r="135" spans="1:16" ht="10.5" customHeight="1" x14ac:dyDescent="0.2">
      <c r="A135" s="587"/>
      <c r="B135" s="587"/>
      <c r="C135" s="587"/>
      <c r="D135" s="587"/>
      <c r="E135" s="587"/>
    </row>
    <row r="136" spans="1:16" x14ac:dyDescent="0.2">
      <c r="A136" s="587"/>
      <c r="B136" s="587"/>
      <c r="C136" s="587"/>
      <c r="D136" s="587"/>
      <c r="E136" s="587"/>
    </row>
    <row r="137" spans="1:16" x14ac:dyDescent="0.2">
      <c r="A137" s="589" t="s">
        <v>698</v>
      </c>
      <c r="B137" s="589"/>
      <c r="C137" s="589"/>
      <c r="D137" s="589"/>
      <c r="E137" s="589"/>
      <c r="H137" s="587"/>
      <c r="I137" s="587"/>
      <c r="J137" s="587" t="s">
        <v>699</v>
      </c>
      <c r="K137" s="587"/>
      <c r="L137" s="590">
        <v>1946.21</v>
      </c>
      <c r="M137" s="587"/>
      <c r="O137" s="595">
        <f>H137*L137</f>
        <v>0</v>
      </c>
      <c r="P137" s="595"/>
    </row>
    <row r="138" spans="1:16" x14ac:dyDescent="0.2">
      <c r="A138" s="589" t="s">
        <v>700</v>
      </c>
      <c r="B138" s="589"/>
      <c r="C138" s="589"/>
      <c r="D138" s="589"/>
      <c r="E138" s="589"/>
      <c r="H138" s="587"/>
      <c r="I138" s="587"/>
      <c r="J138" s="587"/>
      <c r="K138" s="587"/>
    </row>
    <row r="139" spans="1:16" hidden="1" x14ac:dyDescent="0.2">
      <c r="A139" s="589" t="s">
        <v>701</v>
      </c>
      <c r="B139" s="589"/>
      <c r="C139" s="589"/>
      <c r="D139" s="589"/>
      <c r="E139" s="589"/>
      <c r="H139" s="587"/>
      <c r="I139" s="587"/>
      <c r="J139" s="587" t="s">
        <v>699</v>
      </c>
      <c r="K139" s="587"/>
      <c r="L139" s="590">
        <v>5589.01</v>
      </c>
      <c r="M139" s="587"/>
      <c r="O139" s="595">
        <f>H139*L139</f>
        <v>0</v>
      </c>
      <c r="P139" s="595"/>
    </row>
    <row r="140" spans="1:16" hidden="1" x14ac:dyDescent="0.2">
      <c r="A140" s="589" t="s">
        <v>702</v>
      </c>
      <c r="B140" s="589"/>
      <c r="C140" s="589"/>
      <c r="D140" s="589"/>
      <c r="E140" s="589"/>
      <c r="H140" s="587"/>
      <c r="I140" s="587"/>
    </row>
    <row r="141" spans="1:16" x14ac:dyDescent="0.2">
      <c r="A141" s="587"/>
      <c r="B141" s="587"/>
      <c r="C141" s="587"/>
      <c r="D141" s="587"/>
      <c r="E141" s="587"/>
      <c r="H141" s="587"/>
      <c r="I141" s="587"/>
      <c r="J141" s="587"/>
      <c r="K141" s="587"/>
      <c r="L141" s="587"/>
      <c r="M141" s="587"/>
    </row>
    <row r="142" spans="1:16" hidden="1" x14ac:dyDescent="0.2">
      <c r="A142" s="587"/>
      <c r="B142" s="587"/>
      <c r="C142" s="587"/>
      <c r="D142" s="587"/>
      <c r="E142" s="587"/>
      <c r="H142" s="587"/>
      <c r="I142" s="587"/>
    </row>
    <row r="143" spans="1:16" hidden="1" x14ac:dyDescent="0.2">
      <c r="A143" s="589" t="s">
        <v>703</v>
      </c>
      <c r="B143" s="589"/>
      <c r="C143" s="589"/>
      <c r="D143" s="589"/>
      <c r="E143" s="589"/>
    </row>
    <row r="144" spans="1:16" hidden="1" x14ac:dyDescent="0.2">
      <c r="A144" s="589" t="s">
        <v>704</v>
      </c>
      <c r="B144" s="589"/>
      <c r="C144" s="589"/>
      <c r="D144" s="589"/>
      <c r="E144" s="589"/>
    </row>
    <row r="145" spans="1:16" hidden="1" x14ac:dyDescent="0.2">
      <c r="A145" s="589" t="s">
        <v>705</v>
      </c>
      <c r="B145" s="589"/>
      <c r="C145" s="589"/>
      <c r="D145" s="589"/>
      <c r="E145" s="589"/>
    </row>
    <row r="146" spans="1:16" hidden="1" x14ac:dyDescent="0.2">
      <c r="A146" s="589" t="s">
        <v>706</v>
      </c>
      <c r="B146" s="589"/>
      <c r="C146" s="589"/>
      <c r="D146" s="589"/>
      <c r="E146" s="589"/>
    </row>
    <row r="147" spans="1:16" hidden="1" x14ac:dyDescent="0.2">
      <c r="A147" s="589" t="s">
        <v>707</v>
      </c>
      <c r="B147" s="589"/>
      <c r="C147" s="589"/>
      <c r="D147" s="589"/>
      <c r="E147" s="589"/>
    </row>
    <row r="148" spans="1:16" hidden="1" x14ac:dyDescent="0.2">
      <c r="A148" s="589" t="s">
        <v>708</v>
      </c>
      <c r="B148" s="589"/>
      <c r="C148" s="589"/>
      <c r="D148" s="589"/>
      <c r="E148" s="589"/>
    </row>
    <row r="149" spans="1:16" hidden="1" x14ac:dyDescent="0.2">
      <c r="A149" s="589" t="s">
        <v>709</v>
      </c>
      <c r="B149" s="589"/>
      <c r="C149" s="589"/>
      <c r="D149" s="589"/>
      <c r="E149" s="589"/>
    </row>
    <row r="150" spans="1:16" hidden="1" x14ac:dyDescent="0.2">
      <c r="A150" s="589" t="s">
        <v>710</v>
      </c>
      <c r="B150" s="589"/>
      <c r="C150" s="589"/>
      <c r="D150" s="589"/>
      <c r="E150" s="589"/>
    </row>
    <row r="151" spans="1:16" hidden="1" x14ac:dyDescent="0.2">
      <c r="A151" s="589" t="s">
        <v>711</v>
      </c>
      <c r="B151" s="589"/>
      <c r="C151" s="589"/>
      <c r="D151" s="589"/>
      <c r="E151" s="589"/>
    </row>
    <row r="152" spans="1:16" hidden="1" x14ac:dyDescent="0.2">
      <c r="A152" s="587"/>
      <c r="B152" s="587"/>
      <c r="C152" s="587"/>
      <c r="D152" s="587"/>
      <c r="E152" s="587"/>
    </row>
    <row r="153" spans="1:16" hidden="1" x14ac:dyDescent="0.2">
      <c r="A153" s="589" t="s">
        <v>712</v>
      </c>
      <c r="B153" s="589"/>
      <c r="C153" s="589"/>
      <c r="D153" s="589"/>
      <c r="E153" s="589"/>
    </row>
    <row r="154" spans="1:16" hidden="1" x14ac:dyDescent="0.2">
      <c r="A154" s="589" t="s">
        <v>713</v>
      </c>
      <c r="B154" s="589"/>
      <c r="C154" s="589"/>
      <c r="D154" s="589"/>
      <c r="E154" s="589"/>
    </row>
    <row r="155" spans="1:16" hidden="1" x14ac:dyDescent="0.2">
      <c r="A155" s="587"/>
      <c r="B155" s="587"/>
      <c r="C155" s="587"/>
      <c r="D155" s="587"/>
      <c r="E155" s="587"/>
    </row>
    <row r="156" spans="1:16" hidden="1" x14ac:dyDescent="0.2">
      <c r="A156" s="589" t="s">
        <v>714</v>
      </c>
      <c r="B156" s="589"/>
      <c r="C156" s="589"/>
      <c r="D156" s="589"/>
      <c r="E156" s="589"/>
      <c r="H156" s="587"/>
      <c r="I156" s="587"/>
      <c r="J156" s="587" t="s">
        <v>715</v>
      </c>
      <c r="K156" s="587"/>
      <c r="L156" s="587">
        <v>382.54</v>
      </c>
      <c r="M156" s="587"/>
      <c r="O156" s="595">
        <f>H156*L156</f>
        <v>0</v>
      </c>
      <c r="P156" s="595"/>
    </row>
    <row r="157" spans="1:16" hidden="1" x14ac:dyDescent="0.2">
      <c r="A157" s="587"/>
      <c r="B157" s="587"/>
      <c r="C157" s="587"/>
      <c r="D157" s="587"/>
      <c r="E157" s="587"/>
      <c r="H157" s="587"/>
      <c r="I157" s="587"/>
      <c r="J157" s="587"/>
      <c r="K157" s="587"/>
      <c r="O157" s="587"/>
      <c r="P157" s="587"/>
    </row>
    <row r="158" spans="1:16" hidden="1" x14ac:dyDescent="0.2">
      <c r="A158" s="589" t="s">
        <v>716</v>
      </c>
      <c r="B158" s="589"/>
      <c r="C158" s="589"/>
      <c r="D158" s="589"/>
      <c r="E158" s="589"/>
      <c r="H158" s="587"/>
      <c r="I158" s="587"/>
      <c r="J158" s="587" t="s">
        <v>715</v>
      </c>
      <c r="K158" s="587"/>
      <c r="L158" s="587">
        <v>485.89</v>
      </c>
      <c r="M158" s="587"/>
      <c r="O158" s="595">
        <f>H158*L158</f>
        <v>0</v>
      </c>
      <c r="P158" s="595"/>
    </row>
    <row r="159" spans="1:16" hidden="1" x14ac:dyDescent="0.2">
      <c r="A159" s="589" t="s">
        <v>717</v>
      </c>
      <c r="B159" s="589"/>
      <c r="C159" s="589"/>
      <c r="D159" s="589"/>
      <c r="E159" s="589"/>
      <c r="H159" s="587"/>
      <c r="I159" s="587"/>
      <c r="J159" s="587"/>
      <c r="K159" s="587"/>
      <c r="O159" s="587"/>
      <c r="P159" s="587"/>
    </row>
    <row r="160" spans="1:16" hidden="1" x14ac:dyDescent="0.2">
      <c r="A160" s="587"/>
      <c r="B160" s="587"/>
      <c r="C160" s="587"/>
      <c r="D160" s="587"/>
      <c r="E160" s="587"/>
      <c r="H160" s="587"/>
      <c r="I160" s="587"/>
      <c r="J160" s="587"/>
      <c r="K160" s="587"/>
      <c r="O160" s="587"/>
      <c r="P160" s="587"/>
    </row>
    <row r="161" spans="1:16" hidden="1" x14ac:dyDescent="0.2">
      <c r="A161" s="589" t="s">
        <v>718</v>
      </c>
      <c r="B161" s="589"/>
      <c r="C161" s="589"/>
      <c r="D161" s="589"/>
      <c r="E161" s="589"/>
      <c r="H161" s="587"/>
      <c r="I161" s="587"/>
      <c r="J161" s="587" t="s">
        <v>684</v>
      </c>
      <c r="K161" s="587"/>
      <c r="O161" s="587"/>
      <c r="P161" s="587"/>
    </row>
    <row r="162" spans="1:16" hidden="1" x14ac:dyDescent="0.2">
      <c r="A162" s="587"/>
      <c r="B162" s="587"/>
      <c r="C162" s="587"/>
      <c r="D162" s="587"/>
      <c r="E162" s="587"/>
      <c r="H162" s="587"/>
      <c r="I162" s="587"/>
      <c r="J162" s="587"/>
      <c r="K162" s="587"/>
      <c r="L162" s="587"/>
      <c r="M162" s="587"/>
      <c r="O162" s="587"/>
      <c r="P162" s="587"/>
    </row>
    <row r="163" spans="1:16" hidden="1" x14ac:dyDescent="0.2">
      <c r="A163" s="587"/>
      <c r="B163" s="587"/>
      <c r="C163" s="587"/>
      <c r="D163" s="587"/>
      <c r="E163" s="587"/>
      <c r="H163" s="587"/>
      <c r="I163" s="587"/>
      <c r="J163" s="587"/>
      <c r="K163" s="587"/>
      <c r="O163" s="587"/>
      <c r="P163" s="587"/>
    </row>
    <row r="164" spans="1:16" hidden="1" x14ac:dyDescent="0.2">
      <c r="A164" s="592" t="s">
        <v>719</v>
      </c>
      <c r="B164" s="592"/>
      <c r="C164" s="592"/>
      <c r="D164" s="592"/>
      <c r="E164" s="592"/>
    </row>
    <row r="165" spans="1:16" hidden="1" x14ac:dyDescent="0.2">
      <c r="A165" s="589" t="s">
        <v>720</v>
      </c>
      <c r="B165" s="589"/>
      <c r="C165" s="589"/>
      <c r="D165" s="589"/>
      <c r="E165" s="589"/>
    </row>
    <row r="166" spans="1:16" hidden="1" x14ac:dyDescent="0.2">
      <c r="A166" s="589" t="s">
        <v>721</v>
      </c>
      <c r="B166" s="589"/>
      <c r="C166" s="589"/>
      <c r="D166" s="589"/>
      <c r="E166" s="589"/>
    </row>
    <row r="167" spans="1:16" hidden="1" x14ac:dyDescent="0.2">
      <c r="A167" s="591" t="s">
        <v>722</v>
      </c>
      <c r="B167" s="592"/>
      <c r="C167" s="592"/>
      <c r="D167" s="592"/>
      <c r="E167" s="592"/>
    </row>
    <row r="168" spans="1:16" hidden="1" x14ac:dyDescent="0.2">
      <c r="A168" s="589" t="s">
        <v>723</v>
      </c>
      <c r="B168" s="589"/>
      <c r="C168" s="589"/>
      <c r="D168" s="589"/>
      <c r="E168" s="589"/>
    </row>
    <row r="169" spans="1:16" hidden="1" x14ac:dyDescent="0.2">
      <c r="A169" s="589" t="s">
        <v>724</v>
      </c>
      <c r="B169" s="589"/>
      <c r="C169" s="589"/>
      <c r="D169" s="589"/>
      <c r="E169" s="589"/>
    </row>
    <row r="170" spans="1:16" hidden="1" x14ac:dyDescent="0.2">
      <c r="A170" s="589" t="s">
        <v>725</v>
      </c>
      <c r="B170" s="589"/>
      <c r="C170" s="589"/>
      <c r="D170" s="589"/>
      <c r="E170" s="589"/>
    </row>
    <row r="171" spans="1:16" hidden="1" x14ac:dyDescent="0.2">
      <c r="A171" s="591" t="s">
        <v>726</v>
      </c>
      <c r="B171" s="592"/>
      <c r="C171" s="592"/>
      <c r="D171" s="592"/>
      <c r="E171" s="592"/>
    </row>
    <row r="172" spans="1:16" hidden="1" x14ac:dyDescent="0.2">
      <c r="A172" s="589" t="s">
        <v>727</v>
      </c>
      <c r="B172" s="589"/>
      <c r="C172" s="589"/>
      <c r="D172" s="589"/>
      <c r="E172" s="589"/>
    </row>
    <row r="173" spans="1:16" hidden="1" x14ac:dyDescent="0.2">
      <c r="A173" s="587"/>
      <c r="B173" s="587"/>
      <c r="C173" s="587"/>
      <c r="D173" s="587"/>
      <c r="E173" s="587"/>
    </row>
    <row r="174" spans="1:16" hidden="1" x14ac:dyDescent="0.2">
      <c r="A174" s="589" t="s">
        <v>728</v>
      </c>
      <c r="B174" s="589"/>
      <c r="C174" s="589"/>
      <c r="D174" s="589"/>
      <c r="E174" s="589"/>
    </row>
    <row r="175" spans="1:16" hidden="1" x14ac:dyDescent="0.2">
      <c r="A175" s="589" t="s">
        <v>713</v>
      </c>
      <c r="B175" s="589"/>
      <c r="C175" s="589"/>
      <c r="D175" s="589"/>
      <c r="E175" s="589"/>
    </row>
    <row r="176" spans="1:16" hidden="1" x14ac:dyDescent="0.2">
      <c r="A176" s="587"/>
      <c r="B176" s="587"/>
      <c r="C176" s="587"/>
      <c r="D176" s="587"/>
      <c r="E176" s="587"/>
    </row>
    <row r="177" spans="1:16" hidden="1" x14ac:dyDescent="0.2">
      <c r="A177" s="589" t="s">
        <v>729</v>
      </c>
      <c r="B177" s="589"/>
      <c r="C177" s="589"/>
      <c r="D177" s="589"/>
      <c r="E177" s="589"/>
      <c r="H177" s="587"/>
      <c r="I177" s="587"/>
      <c r="J177" s="587" t="s">
        <v>715</v>
      </c>
      <c r="K177" s="587"/>
      <c r="L177" s="587">
        <v>783.81</v>
      </c>
      <c r="M177" s="587"/>
      <c r="O177" s="595">
        <f>H177*L177</f>
        <v>0</v>
      </c>
      <c r="P177" s="595"/>
    </row>
    <row r="178" spans="1:16" hidden="1" x14ac:dyDescent="0.2">
      <c r="A178" s="587"/>
      <c r="B178" s="587"/>
      <c r="C178" s="587"/>
      <c r="D178" s="587"/>
      <c r="E178" s="587"/>
      <c r="H178" s="587"/>
      <c r="I178" s="587"/>
      <c r="L178" s="587"/>
      <c r="M178" s="587"/>
      <c r="O178" s="587"/>
      <c r="P178" s="587"/>
    </row>
    <row r="179" spans="1:16" hidden="1" x14ac:dyDescent="0.2">
      <c r="A179" s="589" t="s">
        <v>730</v>
      </c>
      <c r="B179" s="589"/>
      <c r="C179" s="589"/>
      <c r="D179" s="589"/>
      <c r="E179" s="589"/>
      <c r="H179" s="587"/>
      <c r="I179" s="587"/>
      <c r="J179" s="587" t="s">
        <v>715</v>
      </c>
      <c r="K179" s="587"/>
      <c r="L179" s="590">
        <v>1174.92</v>
      </c>
      <c r="M179" s="587"/>
      <c r="O179" s="595">
        <f t="shared" ref="O179" si="4">H179*L179</f>
        <v>0</v>
      </c>
      <c r="P179" s="595"/>
    </row>
    <row r="180" spans="1:16" hidden="1" x14ac:dyDescent="0.2">
      <c r="A180" s="587"/>
      <c r="B180" s="587"/>
      <c r="C180" s="587"/>
      <c r="D180" s="587"/>
      <c r="E180" s="587"/>
      <c r="H180" s="587"/>
      <c r="I180" s="587"/>
      <c r="J180" s="587"/>
      <c r="K180" s="587"/>
      <c r="L180" s="587"/>
      <c r="M180" s="587"/>
      <c r="O180" s="595"/>
      <c r="P180" s="595"/>
    </row>
    <row r="181" spans="1:16" hidden="1" x14ac:dyDescent="0.2">
      <c r="A181" s="589" t="s">
        <v>731</v>
      </c>
      <c r="B181" s="589"/>
      <c r="C181" s="589"/>
      <c r="D181" s="589"/>
      <c r="E181" s="589"/>
      <c r="H181" s="593"/>
      <c r="I181" s="593"/>
      <c r="J181" s="587" t="s">
        <v>620</v>
      </c>
      <c r="K181" s="587"/>
      <c r="L181" s="590">
        <v>3649.14</v>
      </c>
      <c r="M181" s="587"/>
      <c r="O181" s="595">
        <f t="shared" ref="O181" si="5">H181*L181</f>
        <v>0</v>
      </c>
      <c r="P181" s="595"/>
    </row>
    <row r="182" spans="1:16" hidden="1" x14ac:dyDescent="0.2">
      <c r="A182" s="589" t="s">
        <v>732</v>
      </c>
      <c r="B182" s="589"/>
      <c r="C182" s="589"/>
      <c r="D182" s="589"/>
      <c r="E182" s="589"/>
      <c r="H182" s="587"/>
      <c r="I182" s="587"/>
      <c r="J182" s="587"/>
      <c r="K182" s="587"/>
      <c r="L182" s="587"/>
      <c r="M182" s="587"/>
      <c r="O182" s="587"/>
      <c r="P182" s="587"/>
    </row>
    <row r="183" spans="1:16" hidden="1" x14ac:dyDescent="0.2">
      <c r="A183" s="587"/>
      <c r="B183" s="587"/>
      <c r="C183" s="587"/>
      <c r="D183" s="587"/>
      <c r="E183" s="587"/>
      <c r="H183" s="587"/>
      <c r="I183" s="587"/>
      <c r="J183" s="587"/>
      <c r="K183" s="587"/>
      <c r="L183" s="587"/>
      <c r="M183" s="587"/>
      <c r="O183" s="587"/>
      <c r="P183" s="587"/>
    </row>
    <row r="184" spans="1:16" hidden="1" x14ac:dyDescent="0.2">
      <c r="A184" s="589" t="s">
        <v>733</v>
      </c>
      <c r="B184" s="589"/>
      <c r="C184" s="589"/>
      <c r="D184" s="589"/>
      <c r="E184" s="589"/>
      <c r="H184" s="593"/>
      <c r="I184" s="593"/>
      <c r="J184" s="587" t="s">
        <v>684</v>
      </c>
      <c r="K184" s="587"/>
      <c r="L184" s="587"/>
      <c r="M184" s="587"/>
      <c r="O184" s="587" t="s">
        <v>734</v>
      </c>
      <c r="P184" s="587"/>
    </row>
    <row r="185" spans="1:16" hidden="1" x14ac:dyDescent="0.2">
      <c r="A185" s="587"/>
      <c r="B185" s="587"/>
      <c r="C185" s="587"/>
      <c r="D185" s="587"/>
      <c r="E185" s="587"/>
      <c r="H185" s="587"/>
      <c r="I185" s="587"/>
      <c r="J185" s="587"/>
      <c r="K185" s="587"/>
      <c r="L185" s="587"/>
      <c r="M185" s="587"/>
      <c r="O185" s="587"/>
      <c r="P185" s="587"/>
    </row>
    <row r="186" spans="1:16" hidden="1" x14ac:dyDescent="0.2">
      <c r="A186" s="587"/>
      <c r="B186" s="587"/>
      <c r="C186" s="587"/>
      <c r="D186" s="587"/>
      <c r="E186" s="587"/>
      <c r="H186" s="587"/>
      <c r="I186" s="587"/>
      <c r="J186" s="587"/>
      <c r="K186" s="587"/>
      <c r="L186" s="587"/>
      <c r="M186" s="587"/>
      <c r="O186" s="587"/>
      <c r="P186" s="587"/>
    </row>
    <row r="187" spans="1:16" hidden="1" x14ac:dyDescent="0.2">
      <c r="A187" s="589" t="s">
        <v>735</v>
      </c>
      <c r="B187" s="589"/>
      <c r="C187" s="589"/>
      <c r="D187" s="589"/>
      <c r="E187" s="589"/>
      <c r="H187" s="593"/>
      <c r="I187" s="593"/>
      <c r="J187" s="587" t="s">
        <v>620</v>
      </c>
      <c r="K187" s="587"/>
      <c r="L187" s="590">
        <v>2189.4899999999998</v>
      </c>
      <c r="M187" s="587"/>
      <c r="O187" s="587"/>
      <c r="P187" s="587"/>
    </row>
    <row r="188" spans="1:16" hidden="1" x14ac:dyDescent="0.2">
      <c r="A188" s="589" t="s">
        <v>736</v>
      </c>
      <c r="B188" s="589"/>
      <c r="C188" s="589"/>
      <c r="D188" s="589"/>
      <c r="E188" s="589"/>
      <c r="H188" s="587"/>
      <c r="I188" s="587"/>
      <c r="J188" s="587"/>
      <c r="K188" s="587"/>
      <c r="L188" s="587"/>
      <c r="M188" s="587"/>
      <c r="O188" s="587"/>
      <c r="P188" s="587"/>
    </row>
    <row r="189" spans="1:16" hidden="1" x14ac:dyDescent="0.2">
      <c r="A189" s="587"/>
      <c r="B189" s="587"/>
      <c r="C189" s="587"/>
      <c r="D189" s="587"/>
      <c r="E189" s="587"/>
      <c r="H189" s="587"/>
      <c r="I189" s="587"/>
      <c r="J189" s="587"/>
      <c r="K189" s="587"/>
      <c r="L189" s="587"/>
      <c r="M189" s="587"/>
      <c r="O189" s="587"/>
      <c r="P189" s="587"/>
    </row>
    <row r="190" spans="1:16" hidden="1" x14ac:dyDescent="0.2">
      <c r="A190" s="587"/>
      <c r="B190" s="587"/>
      <c r="C190" s="587"/>
      <c r="D190" s="587"/>
      <c r="E190" s="587"/>
      <c r="H190" s="587"/>
      <c r="I190" s="587"/>
      <c r="J190" s="587"/>
      <c r="K190" s="587"/>
      <c r="L190" s="587"/>
      <c r="M190" s="587"/>
      <c r="O190" s="587"/>
      <c r="P190" s="587"/>
    </row>
    <row r="191" spans="1:16" hidden="1" x14ac:dyDescent="0.2">
      <c r="A191" s="589" t="s">
        <v>737</v>
      </c>
      <c r="B191" s="589"/>
      <c r="C191" s="589"/>
      <c r="D191" s="589"/>
      <c r="E191" s="589"/>
      <c r="H191" s="593"/>
      <c r="I191" s="593"/>
      <c r="J191" s="587" t="s">
        <v>620</v>
      </c>
      <c r="K191" s="587"/>
      <c r="L191" s="587"/>
      <c r="M191" s="587"/>
      <c r="O191" s="587" t="s">
        <v>738</v>
      </c>
      <c r="P191" s="587"/>
    </row>
    <row r="192" spans="1:16" hidden="1" x14ac:dyDescent="0.2">
      <c r="A192" s="589" t="s">
        <v>739</v>
      </c>
      <c r="B192" s="589"/>
      <c r="C192" s="589"/>
      <c r="D192" s="589"/>
      <c r="E192" s="589"/>
      <c r="H192" s="587"/>
      <c r="I192" s="587"/>
      <c r="J192" s="587"/>
      <c r="K192" s="587"/>
      <c r="L192" s="587"/>
      <c r="M192" s="587"/>
      <c r="O192" s="587"/>
      <c r="P192" s="587"/>
    </row>
    <row r="193" spans="1:16" hidden="1" x14ac:dyDescent="0.2">
      <c r="A193" s="614" t="s">
        <v>740</v>
      </c>
      <c r="B193" s="589"/>
      <c r="C193" s="589"/>
      <c r="D193" s="589"/>
      <c r="E193" s="589"/>
      <c r="H193" s="587"/>
      <c r="I193" s="587"/>
      <c r="J193" s="587"/>
      <c r="K193" s="587"/>
      <c r="L193" s="587"/>
      <c r="M193" s="587"/>
      <c r="O193" s="587"/>
      <c r="P193" s="587"/>
    </row>
    <row r="194" spans="1:16" hidden="1" x14ac:dyDescent="0.2">
      <c r="A194" s="591" t="s">
        <v>741</v>
      </c>
      <c r="B194" s="592"/>
      <c r="C194" s="592"/>
      <c r="D194" s="592"/>
      <c r="E194" s="592"/>
      <c r="H194" s="587"/>
      <c r="I194" s="587"/>
      <c r="J194" s="587"/>
      <c r="K194" s="587"/>
      <c r="L194" s="587"/>
      <c r="M194" s="587"/>
      <c r="O194" s="587"/>
      <c r="P194" s="587"/>
    </row>
    <row r="195" spans="1:16" hidden="1" x14ac:dyDescent="0.2">
      <c r="A195" s="587"/>
      <c r="B195" s="587"/>
      <c r="C195" s="587"/>
      <c r="D195" s="587"/>
      <c r="E195" s="587"/>
      <c r="H195" s="587"/>
      <c r="I195" s="587"/>
      <c r="J195" s="587"/>
      <c r="K195" s="587"/>
      <c r="L195" s="587"/>
      <c r="M195" s="587"/>
      <c r="O195" s="587"/>
      <c r="P195" s="587"/>
    </row>
    <row r="196" spans="1:16" x14ac:dyDescent="0.2">
      <c r="A196" s="587"/>
      <c r="B196" s="587"/>
      <c r="C196" s="587"/>
      <c r="D196" s="587"/>
      <c r="E196" s="587"/>
      <c r="H196" s="410"/>
      <c r="I196" s="410"/>
      <c r="J196" s="587"/>
      <c r="K196" s="587"/>
      <c r="L196" s="587"/>
      <c r="M196" s="587"/>
      <c r="O196" s="410"/>
      <c r="P196" s="410"/>
    </row>
    <row r="197" spans="1:16" x14ac:dyDescent="0.2">
      <c r="A197" s="589" t="s">
        <v>703</v>
      </c>
      <c r="B197" s="589"/>
      <c r="C197" s="589"/>
      <c r="D197" s="589"/>
      <c r="E197" s="589"/>
      <c r="H197" s="410"/>
      <c r="I197" s="410"/>
      <c r="J197" s="587"/>
      <c r="K197" s="587"/>
      <c r="L197" s="587"/>
      <c r="M197" s="587"/>
      <c r="O197" s="410"/>
      <c r="P197" s="410"/>
    </row>
    <row r="198" spans="1:16" x14ac:dyDescent="0.2">
      <c r="A198" s="587" t="s">
        <v>704</v>
      </c>
      <c r="B198" s="587"/>
      <c r="C198" s="587"/>
      <c r="D198" s="587"/>
      <c r="E198" s="587"/>
      <c r="H198" s="410"/>
      <c r="I198" s="410"/>
      <c r="J198" s="587"/>
      <c r="K198" s="587"/>
      <c r="L198" s="410"/>
      <c r="M198" s="410"/>
      <c r="O198" s="410"/>
      <c r="P198" s="410"/>
    </row>
    <row r="199" spans="1:16" x14ac:dyDescent="0.2">
      <c r="A199" s="589" t="s">
        <v>705</v>
      </c>
      <c r="B199" s="589"/>
      <c r="C199" s="589"/>
      <c r="D199" s="589"/>
      <c r="E199" s="589"/>
      <c r="H199" s="410"/>
      <c r="I199" s="410"/>
      <c r="J199" s="410"/>
      <c r="K199" s="410"/>
      <c r="L199" s="410"/>
      <c r="M199" s="410"/>
      <c r="O199" s="410"/>
      <c r="P199" s="410"/>
    </row>
    <row r="200" spans="1:16" x14ac:dyDescent="0.2">
      <c r="A200" s="587" t="s">
        <v>706</v>
      </c>
      <c r="B200" s="587"/>
      <c r="C200" s="587"/>
      <c r="D200" s="587"/>
      <c r="E200" s="587"/>
      <c r="H200" s="410"/>
      <c r="I200" s="410"/>
      <c r="J200" s="587"/>
      <c r="K200" s="587"/>
      <c r="L200" s="410"/>
      <c r="M200" s="410"/>
      <c r="O200" s="410"/>
      <c r="P200" s="410"/>
    </row>
    <row r="201" spans="1:16" x14ac:dyDescent="0.2">
      <c r="A201" s="589" t="s">
        <v>707</v>
      </c>
      <c r="B201" s="589"/>
      <c r="C201" s="589"/>
      <c r="D201" s="589"/>
      <c r="E201" s="589"/>
      <c r="H201" s="410"/>
      <c r="I201" s="410"/>
      <c r="J201" s="410"/>
      <c r="K201" s="410"/>
      <c r="L201" s="410"/>
      <c r="M201" s="410"/>
      <c r="O201" s="410"/>
      <c r="P201" s="410"/>
    </row>
    <row r="202" spans="1:16" x14ac:dyDescent="0.2">
      <c r="A202" s="589" t="s">
        <v>708</v>
      </c>
      <c r="B202" s="589"/>
      <c r="C202" s="589"/>
      <c r="D202" s="589"/>
      <c r="E202" s="589"/>
      <c r="H202" s="410"/>
      <c r="I202" s="410"/>
      <c r="J202" s="587"/>
      <c r="K202" s="587"/>
      <c r="L202" s="410"/>
      <c r="M202" s="410"/>
      <c r="O202" s="410"/>
      <c r="P202" s="410"/>
    </row>
    <row r="203" spans="1:16" x14ac:dyDescent="0.2">
      <c r="A203" s="587" t="s">
        <v>709</v>
      </c>
      <c r="B203" s="587"/>
      <c r="C203" s="587"/>
      <c r="D203" s="587"/>
      <c r="E203" s="587"/>
      <c r="H203" s="410"/>
      <c r="I203" s="410"/>
      <c r="J203" s="587"/>
      <c r="K203" s="587"/>
      <c r="L203" s="410"/>
      <c r="M203" s="410"/>
      <c r="O203" s="410"/>
      <c r="P203" s="410"/>
    </row>
    <row r="204" spans="1:16" x14ac:dyDescent="0.2">
      <c r="A204" s="587" t="s">
        <v>710</v>
      </c>
      <c r="B204" s="587"/>
      <c r="C204" s="587"/>
      <c r="D204" s="587"/>
      <c r="E204" s="587"/>
      <c r="H204" s="410"/>
      <c r="I204" s="410"/>
      <c r="J204" s="587"/>
      <c r="K204" s="587"/>
      <c r="L204" s="587"/>
      <c r="M204" s="587"/>
      <c r="O204" s="410"/>
      <c r="P204" s="410"/>
    </row>
    <row r="205" spans="1:16" x14ac:dyDescent="0.2">
      <c r="A205" s="589" t="s">
        <v>711</v>
      </c>
      <c r="B205" s="589"/>
      <c r="C205" s="589"/>
      <c r="D205" s="589"/>
      <c r="E205" s="589"/>
      <c r="H205" s="410"/>
      <c r="I205" s="410"/>
      <c r="J205" s="410"/>
      <c r="K205" s="410"/>
      <c r="L205" s="410"/>
      <c r="M205" s="410"/>
      <c r="O205" s="410"/>
      <c r="P205" s="410"/>
    </row>
    <row r="206" spans="1:16" x14ac:dyDescent="0.2">
      <c r="A206" s="587"/>
      <c r="B206" s="587"/>
      <c r="C206" s="587"/>
      <c r="D206" s="587"/>
      <c r="E206" s="587"/>
      <c r="H206" s="410"/>
      <c r="I206" s="410"/>
      <c r="J206" s="410"/>
      <c r="K206" s="410"/>
      <c r="L206" s="410"/>
      <c r="M206" s="410"/>
      <c r="O206" s="410"/>
      <c r="P206" s="410"/>
    </row>
    <row r="207" spans="1:16" x14ac:dyDescent="0.2">
      <c r="A207" s="589" t="s">
        <v>712</v>
      </c>
      <c r="B207" s="589"/>
      <c r="C207" s="589"/>
      <c r="D207" s="589"/>
      <c r="E207" s="589"/>
      <c r="H207" s="410"/>
      <c r="I207" s="410"/>
      <c r="J207" s="410"/>
      <c r="K207" s="410"/>
      <c r="L207" s="410"/>
      <c r="M207" s="410"/>
      <c r="O207" s="410"/>
      <c r="P207" s="410"/>
    </row>
    <row r="208" spans="1:16" x14ac:dyDescent="0.2">
      <c r="A208" s="589" t="s">
        <v>713</v>
      </c>
      <c r="B208" s="589"/>
      <c r="C208" s="589"/>
      <c r="D208" s="589"/>
      <c r="E208" s="589"/>
      <c r="H208" s="410"/>
      <c r="I208" s="410"/>
      <c r="J208" s="410"/>
      <c r="K208" s="410"/>
      <c r="L208" s="410"/>
      <c r="M208" s="410"/>
      <c r="O208" s="410"/>
      <c r="P208" s="410"/>
    </row>
    <row r="209" spans="1:16" x14ac:dyDescent="0.2">
      <c r="A209" s="587"/>
      <c r="B209" s="587"/>
      <c r="C209" s="587"/>
      <c r="D209" s="587"/>
      <c r="E209" s="587"/>
      <c r="H209" s="410"/>
      <c r="I209" s="410"/>
      <c r="J209" s="410"/>
      <c r="K209" s="410"/>
      <c r="L209" s="410"/>
      <c r="M209" s="410"/>
      <c r="O209" s="410"/>
      <c r="P209" s="410"/>
    </row>
    <row r="210" spans="1:16" x14ac:dyDescent="0.2">
      <c r="A210" s="589" t="s">
        <v>714</v>
      </c>
      <c r="B210" s="589"/>
      <c r="C210" s="589"/>
      <c r="D210" s="589"/>
      <c r="E210" s="589"/>
      <c r="H210" s="587"/>
      <c r="I210" s="587"/>
      <c r="J210" s="587" t="s">
        <v>715</v>
      </c>
      <c r="K210" s="587"/>
      <c r="L210" s="587">
        <v>382.54</v>
      </c>
      <c r="M210" s="587"/>
      <c r="O210" s="595">
        <f>H210*L210</f>
        <v>0</v>
      </c>
      <c r="P210" s="595"/>
    </row>
    <row r="211" spans="1:16" x14ac:dyDescent="0.2">
      <c r="A211" s="587"/>
      <c r="B211" s="587"/>
      <c r="C211" s="587"/>
      <c r="D211" s="587"/>
      <c r="E211" s="587"/>
      <c r="H211" s="410"/>
      <c r="I211" s="410"/>
      <c r="J211" s="410"/>
      <c r="K211" s="410"/>
      <c r="L211" s="410"/>
      <c r="M211" s="410"/>
      <c r="O211" s="410"/>
      <c r="P211" s="410"/>
    </row>
    <row r="212" spans="1:16" x14ac:dyDescent="0.2">
      <c r="A212" s="589" t="s">
        <v>716</v>
      </c>
      <c r="B212" s="589"/>
      <c r="C212" s="589"/>
      <c r="D212" s="589"/>
      <c r="E212" s="589"/>
      <c r="H212" s="587"/>
      <c r="I212" s="587"/>
      <c r="J212" s="587" t="s">
        <v>715</v>
      </c>
      <c r="K212" s="587"/>
      <c r="L212" s="587">
        <v>485.89</v>
      </c>
      <c r="M212" s="587"/>
      <c r="O212" s="595">
        <f>H212*L212</f>
        <v>0</v>
      </c>
      <c r="P212" s="595"/>
    </row>
    <row r="213" spans="1:16" x14ac:dyDescent="0.2">
      <c r="A213" s="589" t="s">
        <v>717</v>
      </c>
      <c r="B213" s="589"/>
      <c r="C213" s="589"/>
      <c r="D213" s="589"/>
      <c r="E213" s="589"/>
      <c r="H213" s="410"/>
      <c r="I213" s="410"/>
      <c r="J213" s="410"/>
      <c r="K213" s="410"/>
      <c r="L213" s="410"/>
      <c r="M213" s="410"/>
      <c r="O213" s="410"/>
      <c r="P213" s="410"/>
    </row>
    <row r="214" spans="1:16" x14ac:dyDescent="0.2">
      <c r="A214" s="587"/>
      <c r="B214" s="587"/>
      <c r="C214" s="587"/>
      <c r="D214" s="587"/>
      <c r="E214" s="587"/>
      <c r="H214" s="410"/>
      <c r="I214" s="410"/>
      <c r="J214" s="410"/>
      <c r="K214" s="410"/>
      <c r="L214" s="410"/>
      <c r="M214" s="410"/>
      <c r="O214" s="410"/>
      <c r="P214" s="410"/>
    </row>
    <row r="215" spans="1:16" x14ac:dyDescent="0.2">
      <c r="A215" s="589" t="s">
        <v>718</v>
      </c>
      <c r="B215" s="589"/>
      <c r="C215" s="589"/>
      <c r="D215" s="589"/>
      <c r="E215" s="589"/>
      <c r="H215" s="410"/>
      <c r="I215" s="410"/>
      <c r="J215" s="587" t="s">
        <v>684</v>
      </c>
      <c r="K215" s="587"/>
      <c r="L215" s="410"/>
      <c r="M215" s="410"/>
      <c r="O215" s="410"/>
      <c r="P215" s="410"/>
    </row>
    <row r="216" spans="1:16" x14ac:dyDescent="0.2">
      <c r="A216" s="587"/>
      <c r="B216" s="587"/>
      <c r="C216" s="587"/>
      <c r="D216" s="587"/>
      <c r="E216" s="587"/>
      <c r="H216" s="410"/>
      <c r="I216" s="410"/>
      <c r="J216" s="410"/>
      <c r="K216" s="410"/>
      <c r="L216" s="410"/>
      <c r="M216" s="410"/>
      <c r="O216" s="410"/>
      <c r="P216" s="410"/>
    </row>
    <row r="217" spans="1:16" x14ac:dyDescent="0.2">
      <c r="A217" s="587"/>
      <c r="B217" s="587"/>
      <c r="C217" s="587"/>
      <c r="D217" s="587"/>
      <c r="E217" s="587"/>
      <c r="H217" s="587"/>
      <c r="I217" s="587"/>
      <c r="J217" s="587"/>
      <c r="K217" s="587"/>
      <c r="L217" s="587"/>
      <c r="M217" s="587"/>
      <c r="O217" s="616"/>
      <c r="P217" s="616"/>
    </row>
    <row r="218" spans="1:16" ht="15.75" thickBot="1" x14ac:dyDescent="0.3">
      <c r="A218" s="599" t="s">
        <v>742</v>
      </c>
      <c r="B218" s="599"/>
      <c r="C218" s="599"/>
      <c r="D218" s="599"/>
      <c r="E218" s="599"/>
      <c r="H218" s="587"/>
      <c r="I218" s="587"/>
      <c r="J218" s="587"/>
      <c r="K218" s="587"/>
      <c r="L218" s="587"/>
      <c r="M218" s="587"/>
      <c r="O218" s="617">
        <f>SUM(O84:P217)</f>
        <v>0</v>
      </c>
      <c r="P218" s="618"/>
    </row>
    <row r="219" spans="1:16" ht="15.75" thickTop="1" x14ac:dyDescent="0.25">
      <c r="A219" s="599" t="s">
        <v>656</v>
      </c>
      <c r="B219" s="599"/>
      <c r="C219" s="599"/>
      <c r="D219" s="599"/>
      <c r="E219" s="599"/>
      <c r="H219" s="587"/>
      <c r="I219" s="587"/>
      <c r="J219" s="587"/>
      <c r="K219" s="587"/>
      <c r="L219" s="587"/>
      <c r="M219" s="587"/>
    </row>
    <row r="220" spans="1:16" x14ac:dyDescent="0.2">
      <c r="H220" s="587"/>
      <c r="I220" s="587"/>
      <c r="L220" s="587"/>
      <c r="M220" s="587"/>
    </row>
    <row r="221" spans="1:16" x14ac:dyDescent="0.2">
      <c r="H221" s="587"/>
      <c r="I221" s="587"/>
      <c r="L221" s="587"/>
      <c r="M221" s="587"/>
    </row>
    <row r="222" spans="1:16" ht="15" x14ac:dyDescent="0.25">
      <c r="A222" s="472" t="s">
        <v>743</v>
      </c>
      <c r="B222" s="471"/>
      <c r="C222" s="471"/>
      <c r="D222" s="471"/>
      <c r="E222" s="471"/>
      <c r="F222" s="471"/>
      <c r="G222" s="471"/>
      <c r="H222" s="619"/>
      <c r="I222" s="619"/>
      <c r="J222" s="619"/>
      <c r="K222" s="619"/>
      <c r="L222" s="619"/>
      <c r="M222" s="619"/>
      <c r="N222" s="471"/>
      <c r="O222" s="619"/>
      <c r="P222" s="619"/>
    </row>
    <row r="223" spans="1:16" x14ac:dyDescent="0.2">
      <c r="H223" s="587"/>
      <c r="I223" s="587"/>
      <c r="J223" s="587"/>
      <c r="K223" s="587"/>
      <c r="L223" s="587"/>
      <c r="M223" s="587"/>
      <c r="O223" s="587"/>
      <c r="P223" s="587"/>
    </row>
    <row r="224" spans="1:16" x14ac:dyDescent="0.2">
      <c r="A224" s="589" t="s">
        <v>744</v>
      </c>
      <c r="B224" s="589"/>
      <c r="C224" s="589"/>
      <c r="D224" s="589"/>
      <c r="E224" s="589"/>
      <c r="H224" s="594"/>
      <c r="I224" s="594"/>
      <c r="J224" s="587" t="s">
        <v>745</v>
      </c>
      <c r="K224" s="587"/>
      <c r="L224" s="587">
        <v>46</v>
      </c>
      <c r="M224" s="587"/>
      <c r="O224" s="595">
        <f>H224*L224</f>
        <v>0</v>
      </c>
      <c r="P224" s="595"/>
    </row>
    <row r="225" spans="1:16" x14ac:dyDescent="0.2">
      <c r="A225" s="614" t="s">
        <v>746</v>
      </c>
      <c r="B225" s="589"/>
      <c r="C225" s="589"/>
      <c r="D225" s="589"/>
      <c r="E225" s="589"/>
      <c r="H225" s="587"/>
      <c r="I225" s="587"/>
      <c r="J225" s="587"/>
      <c r="K225" s="587"/>
      <c r="L225" s="587"/>
      <c r="M225" s="587"/>
      <c r="O225" s="595"/>
      <c r="P225" s="595"/>
    </row>
    <row r="226" spans="1:16" x14ac:dyDescent="0.2">
      <c r="A226" s="587"/>
      <c r="B226" s="587"/>
      <c r="C226" s="587"/>
      <c r="D226" s="587"/>
      <c r="E226" s="587"/>
      <c r="H226" s="587"/>
      <c r="I226" s="587"/>
      <c r="J226" s="587"/>
      <c r="K226" s="587"/>
      <c r="L226" s="587"/>
      <c r="M226" s="587"/>
      <c r="O226" s="595"/>
      <c r="P226" s="595"/>
    </row>
    <row r="227" spans="1:16" hidden="1" x14ac:dyDescent="0.2">
      <c r="A227" s="589" t="s">
        <v>747</v>
      </c>
      <c r="B227" s="589"/>
      <c r="C227" s="589"/>
      <c r="D227" s="589"/>
      <c r="E227" s="589"/>
      <c r="H227" s="590"/>
      <c r="I227" s="587"/>
      <c r="J227" s="587" t="s">
        <v>748</v>
      </c>
      <c r="K227" s="587"/>
      <c r="L227" s="587">
        <v>6.93</v>
      </c>
      <c r="M227" s="587"/>
      <c r="O227" s="595">
        <f t="shared" ref="O227" si="6">H227*L227</f>
        <v>0</v>
      </c>
      <c r="P227" s="595"/>
    </row>
    <row r="228" spans="1:16" hidden="1" x14ac:dyDescent="0.2">
      <c r="A228" s="589" t="s">
        <v>749</v>
      </c>
      <c r="B228" s="589"/>
      <c r="C228" s="589"/>
      <c r="D228" s="589"/>
      <c r="E228" s="589"/>
      <c r="H228" s="587"/>
      <c r="I228" s="587"/>
      <c r="J228" s="587"/>
      <c r="K228" s="587"/>
      <c r="L228" s="587"/>
      <c r="M228" s="587"/>
      <c r="O228" s="595"/>
      <c r="P228" s="595"/>
    </row>
    <row r="229" spans="1:16" hidden="1" x14ac:dyDescent="0.2">
      <c r="A229" s="587"/>
      <c r="B229" s="587"/>
      <c r="C229" s="587"/>
      <c r="D229" s="587"/>
      <c r="E229" s="587"/>
      <c r="H229" s="587"/>
      <c r="I229" s="587"/>
      <c r="J229" s="587"/>
      <c r="K229" s="587"/>
      <c r="L229" s="587"/>
      <c r="M229" s="587"/>
      <c r="O229" s="595"/>
      <c r="P229" s="595"/>
    </row>
    <row r="230" spans="1:16" hidden="1" x14ac:dyDescent="0.2">
      <c r="A230" s="589"/>
      <c r="B230" s="589"/>
      <c r="C230" s="589"/>
      <c r="D230" s="589"/>
      <c r="E230" s="589"/>
      <c r="H230" s="587"/>
      <c r="I230" s="587"/>
      <c r="J230" s="587"/>
      <c r="K230" s="587"/>
      <c r="L230" s="587"/>
      <c r="M230" s="587"/>
      <c r="O230" s="595"/>
      <c r="P230" s="595"/>
    </row>
    <row r="231" spans="1:16" x14ac:dyDescent="0.2">
      <c r="A231" s="589" t="s">
        <v>750</v>
      </c>
      <c r="B231" s="589"/>
      <c r="C231" s="589"/>
      <c r="D231" s="589"/>
      <c r="E231" s="589"/>
      <c r="H231" s="590"/>
      <c r="I231" s="587"/>
      <c r="J231" s="587" t="s">
        <v>748</v>
      </c>
      <c r="K231" s="587"/>
      <c r="L231" s="587">
        <v>7.8</v>
      </c>
      <c r="M231" s="587"/>
      <c r="O231" s="595">
        <f t="shared" ref="O231" si="7">H231*L231</f>
        <v>0</v>
      </c>
      <c r="P231" s="595"/>
    </row>
    <row r="232" spans="1:16" x14ac:dyDescent="0.2">
      <c r="A232" s="589" t="s">
        <v>751</v>
      </c>
      <c r="B232" s="589"/>
      <c r="C232" s="589"/>
      <c r="D232" s="589"/>
      <c r="E232" s="589"/>
      <c r="H232" s="587"/>
      <c r="I232" s="587"/>
      <c r="J232" s="587"/>
      <c r="K232" s="587"/>
      <c r="L232" s="587"/>
      <c r="M232" s="587"/>
      <c r="O232" s="595"/>
      <c r="P232" s="595"/>
    </row>
    <row r="233" spans="1:16" x14ac:dyDescent="0.2">
      <c r="A233" s="587"/>
      <c r="B233" s="587"/>
      <c r="C233" s="587"/>
      <c r="D233" s="587"/>
      <c r="E233" s="587"/>
      <c r="H233" s="587"/>
      <c r="I233" s="587"/>
      <c r="J233" s="587"/>
      <c r="K233" s="587"/>
      <c r="L233" s="587"/>
      <c r="M233" s="587"/>
      <c r="O233" s="595"/>
      <c r="P233" s="595"/>
    </row>
    <row r="234" spans="1:16" x14ac:dyDescent="0.2">
      <c r="A234" s="587"/>
      <c r="B234" s="587"/>
      <c r="C234" s="587"/>
      <c r="D234" s="587"/>
      <c r="E234" s="587"/>
      <c r="H234" s="587"/>
      <c r="I234" s="587"/>
      <c r="J234" s="587"/>
      <c r="K234" s="587"/>
      <c r="L234" s="587"/>
      <c r="M234" s="587"/>
      <c r="O234" s="595"/>
      <c r="P234" s="595"/>
    </row>
    <row r="235" spans="1:16" x14ac:dyDescent="0.2">
      <c r="A235" s="614" t="s">
        <v>752</v>
      </c>
      <c r="B235" s="589"/>
      <c r="C235" s="589"/>
      <c r="D235" s="589"/>
      <c r="E235" s="589"/>
      <c r="H235" s="587"/>
      <c r="I235" s="587"/>
      <c r="J235" s="587"/>
      <c r="K235" s="587"/>
      <c r="L235" s="587"/>
      <c r="M235" s="587"/>
      <c r="O235" s="595"/>
      <c r="P235" s="595"/>
    </row>
    <row r="236" spans="1:16" x14ac:dyDescent="0.2">
      <c r="A236" s="589" t="s">
        <v>753</v>
      </c>
      <c r="B236" s="589"/>
      <c r="C236" s="589"/>
      <c r="D236" s="589"/>
      <c r="E236" s="589"/>
      <c r="H236" s="587"/>
      <c r="I236" s="587"/>
      <c r="J236" s="587"/>
      <c r="K236" s="587"/>
      <c r="L236" s="587"/>
      <c r="M236" s="587"/>
      <c r="O236" s="595"/>
      <c r="P236" s="595"/>
    </row>
    <row r="237" spans="1:16" x14ac:dyDescent="0.2">
      <c r="A237" s="589" t="s">
        <v>754</v>
      </c>
      <c r="B237" s="589"/>
      <c r="C237" s="589"/>
      <c r="D237" s="589"/>
      <c r="E237" s="589"/>
      <c r="H237" s="620"/>
      <c r="I237" s="620"/>
      <c r="J237" s="587" t="s">
        <v>662</v>
      </c>
      <c r="K237" s="587"/>
      <c r="L237" s="587">
        <v>203.14</v>
      </c>
      <c r="M237" s="587"/>
      <c r="O237" s="595">
        <f t="shared" ref="O237:O240" si="8">H237*L237</f>
        <v>0</v>
      </c>
      <c r="P237" s="595"/>
    </row>
    <row r="238" spans="1:16" x14ac:dyDescent="0.2">
      <c r="A238" s="589" t="s">
        <v>755</v>
      </c>
      <c r="B238" s="589"/>
      <c r="C238" s="589"/>
      <c r="D238" s="589"/>
      <c r="E238" s="589"/>
      <c r="H238" s="594"/>
      <c r="I238" s="594"/>
      <c r="J238" s="587" t="s">
        <v>662</v>
      </c>
      <c r="K238" s="587"/>
      <c r="L238" s="587">
        <v>192.49</v>
      </c>
      <c r="M238" s="587"/>
      <c r="O238" s="595">
        <f t="shared" si="8"/>
        <v>0</v>
      </c>
      <c r="P238" s="595"/>
    </row>
    <row r="239" spans="1:16" x14ac:dyDescent="0.2">
      <c r="A239" s="589" t="s">
        <v>756</v>
      </c>
      <c r="B239" s="589"/>
      <c r="C239" s="589"/>
      <c r="D239" s="589"/>
      <c r="E239" s="589"/>
      <c r="H239" s="587"/>
      <c r="I239" s="587"/>
      <c r="J239" s="587" t="s">
        <v>662</v>
      </c>
      <c r="K239" s="587"/>
      <c r="L239" s="587"/>
      <c r="M239" s="587"/>
      <c r="O239" s="595"/>
      <c r="P239" s="595"/>
    </row>
    <row r="240" spans="1:16" x14ac:dyDescent="0.2">
      <c r="A240" s="589" t="s">
        <v>757</v>
      </c>
      <c r="B240" s="589"/>
      <c r="C240" s="589"/>
      <c r="D240" s="589"/>
      <c r="E240" s="589"/>
      <c r="H240" s="594"/>
      <c r="I240" s="594"/>
      <c r="J240" s="587" t="s">
        <v>662</v>
      </c>
      <c r="K240" s="587"/>
      <c r="L240" s="587">
        <v>177.62</v>
      </c>
      <c r="M240" s="587"/>
      <c r="O240" s="595">
        <f t="shared" si="8"/>
        <v>0</v>
      </c>
      <c r="P240" s="595"/>
    </row>
    <row r="241" spans="1:16" x14ac:dyDescent="0.2">
      <c r="A241" s="614" t="s">
        <v>758</v>
      </c>
      <c r="B241" s="589"/>
      <c r="C241" s="589"/>
      <c r="D241" s="589"/>
      <c r="E241" s="589"/>
      <c r="H241" s="587"/>
      <c r="I241" s="587"/>
      <c r="J241" s="587"/>
      <c r="K241" s="587"/>
      <c r="L241" s="587"/>
      <c r="M241" s="587"/>
      <c r="O241" s="595"/>
      <c r="P241" s="595"/>
    </row>
    <row r="242" spans="1:16" x14ac:dyDescent="0.2">
      <c r="A242" s="589" t="s">
        <v>759</v>
      </c>
      <c r="B242" s="589"/>
      <c r="C242" s="589"/>
      <c r="D242" s="589"/>
      <c r="E242" s="589"/>
      <c r="H242" s="587"/>
      <c r="I242" s="587"/>
      <c r="J242" s="587"/>
      <c r="K242" s="587"/>
      <c r="L242" s="587"/>
      <c r="M242" s="587"/>
      <c r="O242" s="595"/>
      <c r="P242" s="595"/>
    </row>
    <row r="243" spans="1:16" x14ac:dyDescent="0.2">
      <c r="A243" s="587"/>
      <c r="B243" s="587"/>
      <c r="C243" s="587"/>
      <c r="D243" s="587"/>
      <c r="E243" s="587"/>
      <c r="H243" s="587"/>
      <c r="I243" s="587"/>
      <c r="J243" s="587"/>
      <c r="K243" s="587"/>
      <c r="L243" s="587"/>
      <c r="M243" s="587"/>
      <c r="O243" s="595"/>
      <c r="P243" s="595"/>
    </row>
    <row r="244" spans="1:16" x14ac:dyDescent="0.2">
      <c r="A244" s="587"/>
      <c r="B244" s="587"/>
      <c r="C244" s="587"/>
      <c r="D244" s="587"/>
      <c r="E244" s="587"/>
      <c r="H244" s="587"/>
      <c r="I244" s="587"/>
      <c r="J244" s="587"/>
      <c r="K244" s="587"/>
      <c r="L244" s="587"/>
      <c r="M244" s="587"/>
      <c r="O244" s="595"/>
      <c r="P244" s="595"/>
    </row>
    <row r="245" spans="1:16" x14ac:dyDescent="0.2">
      <c r="A245" s="589" t="s">
        <v>760</v>
      </c>
      <c r="B245" s="589"/>
      <c r="C245" s="589"/>
      <c r="D245" s="589"/>
      <c r="E245" s="589"/>
      <c r="H245" s="587"/>
      <c r="I245" s="587"/>
      <c r="J245" s="587"/>
      <c r="K245" s="587"/>
      <c r="L245" s="587"/>
      <c r="M245" s="587"/>
      <c r="O245" s="595"/>
      <c r="P245" s="595"/>
    </row>
    <row r="246" spans="1:16" x14ac:dyDescent="0.2">
      <c r="A246" s="589" t="s">
        <v>761</v>
      </c>
      <c r="B246" s="589"/>
      <c r="C246" s="589"/>
      <c r="D246" s="589"/>
      <c r="E246" s="589"/>
      <c r="H246" s="587"/>
      <c r="I246" s="587"/>
      <c r="J246" s="587"/>
      <c r="K246" s="587"/>
      <c r="L246" s="587"/>
      <c r="M246" s="587"/>
      <c r="O246" s="595"/>
      <c r="P246" s="595"/>
    </row>
    <row r="247" spans="1:16" x14ac:dyDescent="0.2">
      <c r="A247" s="589" t="s">
        <v>762</v>
      </c>
      <c r="B247" s="589"/>
      <c r="C247" s="589"/>
      <c r="D247" s="589"/>
      <c r="E247" s="589"/>
      <c r="H247" s="587"/>
      <c r="I247" s="587"/>
      <c r="J247" s="587"/>
      <c r="K247" s="587"/>
      <c r="L247" s="587"/>
      <c r="M247" s="587"/>
      <c r="O247" s="595"/>
      <c r="P247" s="595"/>
    </row>
    <row r="248" spans="1:16" x14ac:dyDescent="0.2">
      <c r="A248" s="589" t="s">
        <v>763</v>
      </c>
      <c r="B248" s="589"/>
      <c r="C248" s="589"/>
      <c r="D248" s="589"/>
      <c r="E248" s="589"/>
      <c r="H248" s="587"/>
      <c r="I248" s="587"/>
      <c r="J248" s="587" t="s">
        <v>745</v>
      </c>
      <c r="K248" s="587"/>
      <c r="L248" s="594">
        <v>53.3</v>
      </c>
      <c r="M248" s="594"/>
      <c r="O248" s="595">
        <f t="shared" ref="O248:O249" si="9">H248*L248</f>
        <v>0</v>
      </c>
      <c r="P248" s="595"/>
    </row>
    <row r="249" spans="1:16" x14ac:dyDescent="0.2">
      <c r="A249" s="589" t="s">
        <v>764</v>
      </c>
      <c r="B249" s="589"/>
      <c r="C249" s="589"/>
      <c r="D249" s="589"/>
      <c r="E249" s="589"/>
      <c r="H249" s="587"/>
      <c r="I249" s="587"/>
      <c r="J249" s="587" t="s">
        <v>745</v>
      </c>
      <c r="K249" s="587"/>
      <c r="L249" s="587">
        <v>81.319999999999993</v>
      </c>
      <c r="M249" s="587"/>
      <c r="O249" s="595">
        <f t="shared" si="9"/>
        <v>0</v>
      </c>
      <c r="P249" s="595"/>
    </row>
    <row r="250" spans="1:16" x14ac:dyDescent="0.2">
      <c r="A250" s="587"/>
      <c r="B250" s="587"/>
      <c r="C250" s="587"/>
      <c r="D250" s="587"/>
      <c r="E250" s="587"/>
      <c r="H250" s="587"/>
      <c r="I250" s="587"/>
      <c r="J250" s="587"/>
      <c r="K250" s="587"/>
      <c r="L250" s="587"/>
      <c r="M250" s="587"/>
      <c r="O250" s="595"/>
      <c r="P250" s="595"/>
    </row>
    <row r="251" spans="1:16" x14ac:dyDescent="0.2">
      <c r="A251" s="587"/>
      <c r="B251" s="587"/>
      <c r="C251" s="587"/>
      <c r="D251" s="587"/>
      <c r="E251" s="587"/>
      <c r="H251" s="587"/>
      <c r="I251" s="587"/>
      <c r="J251" s="587"/>
      <c r="K251" s="587"/>
      <c r="L251" s="587"/>
      <c r="M251" s="587"/>
      <c r="O251" s="595"/>
      <c r="P251" s="595"/>
    </row>
    <row r="252" spans="1:16" x14ac:dyDescent="0.2">
      <c r="A252" s="589" t="s">
        <v>765</v>
      </c>
      <c r="B252" s="589"/>
      <c r="C252" s="589"/>
      <c r="D252" s="589"/>
      <c r="E252" s="589"/>
      <c r="H252" s="587"/>
      <c r="I252" s="587"/>
      <c r="J252" s="587"/>
      <c r="K252" s="587"/>
      <c r="L252" s="587"/>
      <c r="M252" s="587"/>
      <c r="O252" s="595"/>
      <c r="P252" s="595"/>
    </row>
    <row r="253" spans="1:16" x14ac:dyDescent="0.2">
      <c r="A253" s="589" t="s">
        <v>766</v>
      </c>
      <c r="B253" s="589"/>
      <c r="C253" s="589"/>
      <c r="D253" s="589"/>
      <c r="E253" s="589"/>
      <c r="H253" s="587"/>
      <c r="I253" s="587"/>
      <c r="J253" s="587"/>
      <c r="K253" s="587"/>
      <c r="L253" s="587"/>
      <c r="M253" s="587"/>
      <c r="O253" s="595"/>
      <c r="P253" s="595"/>
    </row>
    <row r="254" spans="1:16" x14ac:dyDescent="0.2">
      <c r="A254" s="589" t="s">
        <v>767</v>
      </c>
      <c r="B254" s="589"/>
      <c r="C254" s="589"/>
      <c r="D254" s="589"/>
      <c r="E254" s="589"/>
      <c r="H254" s="587"/>
      <c r="I254" s="587"/>
      <c r="J254" s="587"/>
      <c r="K254" s="587"/>
      <c r="L254" s="587"/>
      <c r="M254" s="587"/>
      <c r="O254" s="595"/>
      <c r="P254" s="595"/>
    </row>
    <row r="255" spans="1:16" x14ac:dyDescent="0.2">
      <c r="A255" s="589" t="s">
        <v>768</v>
      </c>
      <c r="B255" s="589"/>
      <c r="C255" s="589"/>
      <c r="D255" s="589"/>
      <c r="E255" s="589"/>
      <c r="H255" s="587"/>
      <c r="I255" s="587"/>
      <c r="J255" s="587"/>
      <c r="K255" s="587"/>
      <c r="L255" s="587"/>
      <c r="M255" s="587"/>
      <c r="O255" s="595"/>
      <c r="P255" s="595"/>
    </row>
    <row r="256" spans="1:16" x14ac:dyDescent="0.2">
      <c r="A256" s="589" t="s">
        <v>769</v>
      </c>
      <c r="B256" s="589"/>
      <c r="C256" s="589"/>
      <c r="D256" s="589"/>
      <c r="E256" s="589"/>
      <c r="H256" s="587"/>
      <c r="I256" s="587"/>
      <c r="J256" s="587" t="s">
        <v>748</v>
      </c>
      <c r="K256" s="587"/>
      <c r="L256" s="621">
        <v>155</v>
      </c>
      <c r="M256" s="621"/>
      <c r="O256" s="595">
        <f t="shared" ref="O256:O270" si="10">H256*L256</f>
        <v>0</v>
      </c>
      <c r="P256" s="595"/>
    </row>
    <row r="257" spans="1:16" x14ac:dyDescent="0.2">
      <c r="A257" s="589" t="s">
        <v>770</v>
      </c>
      <c r="B257" s="589"/>
      <c r="C257" s="589"/>
      <c r="D257" s="589"/>
      <c r="E257" s="589"/>
      <c r="H257" s="587"/>
      <c r="I257" s="587"/>
      <c r="J257" s="587"/>
      <c r="K257" s="587"/>
      <c r="L257" s="587"/>
      <c r="M257" s="587"/>
      <c r="O257" s="595"/>
      <c r="P257" s="595"/>
    </row>
    <row r="258" spans="1:16" x14ac:dyDescent="0.2">
      <c r="A258" s="589" t="s">
        <v>771</v>
      </c>
      <c r="B258" s="589"/>
      <c r="C258" s="589"/>
      <c r="D258" s="589"/>
      <c r="E258" s="589"/>
      <c r="H258" s="587"/>
      <c r="I258" s="587"/>
      <c r="J258" s="587" t="s">
        <v>748</v>
      </c>
      <c r="K258" s="587"/>
      <c r="L258" s="587">
        <v>159.05000000000001</v>
      </c>
      <c r="M258" s="587"/>
      <c r="O258" s="595">
        <f t="shared" si="10"/>
        <v>0</v>
      </c>
      <c r="P258" s="595"/>
    </row>
    <row r="259" spans="1:16" x14ac:dyDescent="0.2">
      <c r="A259" s="589" t="s">
        <v>772</v>
      </c>
      <c r="B259" s="589"/>
      <c r="C259" s="589"/>
      <c r="D259" s="589"/>
      <c r="E259" s="589"/>
      <c r="H259" s="587"/>
      <c r="I259" s="587"/>
      <c r="J259" s="587"/>
      <c r="K259" s="587"/>
      <c r="L259" s="587"/>
      <c r="M259" s="587"/>
      <c r="O259" s="595"/>
      <c r="P259" s="595"/>
    </row>
    <row r="260" spans="1:16" x14ac:dyDescent="0.2">
      <c r="A260" s="587"/>
      <c r="B260" s="587"/>
      <c r="C260" s="587"/>
      <c r="D260" s="587"/>
      <c r="E260" s="587"/>
      <c r="H260" s="587"/>
      <c r="I260" s="587"/>
      <c r="J260" s="587"/>
      <c r="K260" s="587"/>
      <c r="L260" s="587"/>
      <c r="M260" s="587"/>
      <c r="O260" s="595"/>
      <c r="P260" s="595"/>
    </row>
    <row r="261" spans="1:16" x14ac:dyDescent="0.2">
      <c r="A261" s="410" t="s">
        <v>773</v>
      </c>
      <c r="B261" s="410"/>
      <c r="C261" s="410"/>
      <c r="D261" s="410"/>
      <c r="E261" s="410"/>
      <c r="H261" s="594"/>
      <c r="I261" s="594"/>
      <c r="J261" s="587" t="s">
        <v>774</v>
      </c>
      <c r="K261" s="587"/>
      <c r="L261" s="587">
        <v>4300</v>
      </c>
      <c r="M261" s="587"/>
      <c r="O261" s="595">
        <f t="shared" ref="O261" si="11">H261*L261</f>
        <v>0</v>
      </c>
      <c r="P261" s="595"/>
    </row>
    <row r="262" spans="1:16" x14ac:dyDescent="0.2">
      <c r="A262" s="410" t="s">
        <v>775</v>
      </c>
      <c r="B262" s="410"/>
      <c r="C262" s="410"/>
      <c r="D262" s="410"/>
      <c r="E262" s="410"/>
      <c r="H262" s="594"/>
      <c r="I262" s="594"/>
      <c r="J262" s="587" t="s">
        <v>662</v>
      </c>
      <c r="K262" s="587"/>
      <c r="L262" s="587">
        <v>170</v>
      </c>
      <c r="M262" s="587"/>
      <c r="O262" s="595">
        <f t="shared" ref="O262" si="12">H262*L262</f>
        <v>0</v>
      </c>
      <c r="P262" s="595"/>
    </row>
    <row r="263" spans="1:16" x14ac:dyDescent="0.2">
      <c r="A263" s="410" t="s">
        <v>776</v>
      </c>
      <c r="B263" s="410"/>
      <c r="C263" s="410"/>
      <c r="D263" s="410"/>
      <c r="E263" s="410"/>
      <c r="H263" s="594"/>
      <c r="I263" s="594"/>
      <c r="J263" s="587" t="s">
        <v>774</v>
      </c>
      <c r="K263" s="587"/>
      <c r="L263" s="587">
        <v>3400</v>
      </c>
      <c r="M263" s="587"/>
      <c r="O263" s="595">
        <f t="shared" ref="O263" si="13">H263*L263</f>
        <v>0</v>
      </c>
      <c r="P263" s="595"/>
    </row>
    <row r="264" spans="1:16" x14ac:dyDescent="0.2">
      <c r="A264" s="410" t="s">
        <v>777</v>
      </c>
      <c r="B264" s="410"/>
      <c r="C264" s="410"/>
      <c r="D264" s="410"/>
      <c r="E264" s="410"/>
      <c r="H264" s="594"/>
      <c r="I264" s="594"/>
      <c r="J264" s="587" t="s">
        <v>774</v>
      </c>
      <c r="K264" s="587"/>
      <c r="L264" s="587">
        <v>2000</v>
      </c>
      <c r="M264" s="587"/>
      <c r="O264" s="595">
        <f t="shared" ref="O264" si="14">H264*L264</f>
        <v>0</v>
      </c>
      <c r="P264" s="595"/>
    </row>
    <row r="265" spans="1:16" x14ac:dyDescent="0.2">
      <c r="A265" s="410" t="s">
        <v>778</v>
      </c>
      <c r="B265" s="410"/>
      <c r="C265" s="410"/>
      <c r="D265" s="410"/>
      <c r="E265" s="410"/>
      <c r="H265" s="594"/>
      <c r="I265" s="594"/>
      <c r="J265" s="587" t="s">
        <v>774</v>
      </c>
      <c r="K265" s="587"/>
      <c r="L265" s="587">
        <v>1301</v>
      </c>
      <c r="M265" s="587"/>
      <c r="O265" s="595">
        <f t="shared" ref="O265" si="15">H265*L265</f>
        <v>0</v>
      </c>
      <c r="P265" s="595"/>
    </row>
    <row r="266" spans="1:16" x14ac:dyDescent="0.2">
      <c r="A266" s="410"/>
      <c r="B266" s="410"/>
      <c r="C266" s="410"/>
      <c r="D266" s="410"/>
      <c r="E266" s="410"/>
      <c r="H266" s="410"/>
      <c r="I266" s="410"/>
      <c r="J266" s="410"/>
      <c r="K266" s="410"/>
      <c r="L266" s="410"/>
      <c r="M266" s="410"/>
      <c r="O266" s="595"/>
      <c r="P266" s="595"/>
    </row>
    <row r="267" spans="1:16" ht="12.75" customHeight="1" x14ac:dyDescent="0.2">
      <c r="A267" s="589" t="s">
        <v>779</v>
      </c>
      <c r="B267" s="589"/>
      <c r="C267" s="589"/>
      <c r="D267" s="589"/>
      <c r="E267" s="589"/>
      <c r="H267" s="587"/>
      <c r="I267" s="587"/>
      <c r="J267" s="587"/>
      <c r="K267" s="587"/>
      <c r="O267" s="595"/>
      <c r="P267" s="595"/>
    </row>
    <row r="268" spans="1:16" ht="12.75" customHeight="1" x14ac:dyDescent="0.2">
      <c r="A268" s="589" t="s">
        <v>780</v>
      </c>
      <c r="B268" s="589"/>
      <c r="C268" s="589"/>
      <c r="D268" s="589"/>
      <c r="E268" s="589"/>
      <c r="H268" s="587"/>
      <c r="I268" s="587"/>
      <c r="J268" s="587"/>
      <c r="K268" s="587"/>
      <c r="O268" s="595"/>
      <c r="P268" s="595"/>
    </row>
    <row r="269" spans="1:16" ht="12.75" customHeight="1" x14ac:dyDescent="0.2">
      <c r="A269" s="589" t="s">
        <v>781</v>
      </c>
      <c r="B269" s="589"/>
      <c r="C269" s="589"/>
      <c r="D269" s="589"/>
      <c r="E269" s="589"/>
      <c r="H269" s="587"/>
      <c r="I269" s="587"/>
      <c r="J269" s="587"/>
      <c r="K269" s="587"/>
      <c r="O269" s="595"/>
      <c r="P269" s="595"/>
    </row>
    <row r="270" spans="1:16" ht="12.75" customHeight="1" x14ac:dyDescent="0.2">
      <c r="A270" s="589" t="s">
        <v>782</v>
      </c>
      <c r="B270" s="589"/>
      <c r="C270" s="589"/>
      <c r="D270" s="589"/>
      <c r="E270" s="589"/>
      <c r="H270" s="594"/>
      <c r="I270" s="594"/>
      <c r="J270" s="587" t="s">
        <v>774</v>
      </c>
      <c r="K270" s="587"/>
      <c r="L270">
        <v>69.930000000000007</v>
      </c>
      <c r="O270" s="595">
        <f t="shared" si="10"/>
        <v>0</v>
      </c>
      <c r="P270" s="595"/>
    </row>
    <row r="271" spans="1:16" ht="12.75" customHeight="1" x14ac:dyDescent="0.2">
      <c r="A271" s="589" t="s">
        <v>783</v>
      </c>
      <c r="B271" s="589"/>
      <c r="C271" s="589"/>
      <c r="D271" s="589"/>
      <c r="E271" s="589"/>
      <c r="H271" s="587"/>
      <c r="I271" s="587"/>
      <c r="J271" s="587"/>
      <c r="K271" s="587"/>
      <c r="O271" s="595"/>
      <c r="P271" s="595"/>
    </row>
    <row r="272" spans="1:16" ht="12.75" customHeight="1" x14ac:dyDescent="0.2">
      <c r="A272" s="589" t="s">
        <v>784</v>
      </c>
      <c r="B272" s="589"/>
      <c r="C272" s="589"/>
      <c r="D272" s="589"/>
      <c r="E272" s="589"/>
      <c r="H272" s="594"/>
      <c r="I272" s="594"/>
      <c r="J272" s="587" t="s">
        <v>785</v>
      </c>
      <c r="K272" s="587"/>
      <c r="L272">
        <v>94.27</v>
      </c>
      <c r="O272" s="595">
        <f t="shared" ref="O272" si="16">H272*L272</f>
        <v>0</v>
      </c>
      <c r="P272" s="595"/>
    </row>
    <row r="273" spans="1:16" ht="12.75" customHeight="1" x14ac:dyDescent="0.2">
      <c r="A273" s="589" t="s">
        <v>786</v>
      </c>
      <c r="B273" s="589"/>
      <c r="C273" s="589"/>
      <c r="D273" s="589"/>
      <c r="E273" s="589"/>
      <c r="H273" s="587"/>
      <c r="I273" s="587"/>
      <c r="J273" s="587" t="s">
        <v>785</v>
      </c>
      <c r="K273" s="587"/>
      <c r="L273">
        <v>143.13</v>
      </c>
      <c r="O273" s="606">
        <v>0</v>
      </c>
      <c r="P273" s="587"/>
    </row>
    <row r="274" spans="1:16" ht="12.75" customHeight="1" x14ac:dyDescent="0.2">
      <c r="A274" s="589" t="s">
        <v>787</v>
      </c>
      <c r="B274" s="589"/>
      <c r="C274" s="589"/>
      <c r="D274" s="589"/>
      <c r="E274" s="589"/>
      <c r="H274" s="587"/>
      <c r="I274" s="587"/>
      <c r="J274" s="587"/>
      <c r="K274" s="587"/>
      <c r="O274" s="587"/>
      <c r="P274" s="587"/>
    </row>
    <row r="275" spans="1:16" ht="12.75" customHeight="1" x14ac:dyDescent="0.2">
      <c r="A275" s="587"/>
      <c r="B275" s="587"/>
      <c r="C275" s="587"/>
      <c r="D275" s="587"/>
      <c r="E275" s="587"/>
      <c r="H275" s="587"/>
      <c r="I275" s="587"/>
      <c r="J275" s="587"/>
      <c r="K275" s="587"/>
      <c r="O275" s="587"/>
      <c r="P275" s="587"/>
    </row>
    <row r="276" spans="1:16" ht="20.25" customHeight="1" x14ac:dyDescent="0.2">
      <c r="A276" s="470"/>
      <c r="B276" s="470"/>
      <c r="D276" s="468"/>
      <c r="E276" s="468"/>
      <c r="F276" s="468"/>
      <c r="G276" s="468"/>
      <c r="H276" s="468"/>
    </row>
    <row r="277" spans="1:16" ht="12.75" customHeight="1" x14ac:dyDescent="0.2">
      <c r="A277" s="589" t="s">
        <v>788</v>
      </c>
      <c r="B277" s="589"/>
      <c r="C277" s="589"/>
      <c r="D277" s="589"/>
      <c r="E277" s="589"/>
      <c r="H277" s="587"/>
      <c r="I277" s="587"/>
      <c r="J277" s="587"/>
      <c r="K277" s="587"/>
      <c r="O277" s="587"/>
      <c r="P277" s="587"/>
    </row>
    <row r="278" spans="1:16" ht="12.75" customHeight="1" x14ac:dyDescent="0.2">
      <c r="A278" s="587" t="s">
        <v>789</v>
      </c>
      <c r="B278" s="587"/>
      <c r="C278" s="587"/>
      <c r="D278" s="587"/>
      <c r="E278" s="587"/>
      <c r="H278" s="587"/>
      <c r="I278" s="587"/>
      <c r="J278" s="587"/>
      <c r="K278" s="587"/>
      <c r="O278" s="587"/>
      <c r="P278" s="587"/>
    </row>
    <row r="279" spans="1:16" ht="12.75" customHeight="1" x14ac:dyDescent="0.2">
      <c r="A279" s="589" t="s">
        <v>790</v>
      </c>
      <c r="B279" s="589"/>
      <c r="C279" s="589"/>
      <c r="D279" s="589"/>
      <c r="E279" s="589"/>
      <c r="H279" s="587"/>
      <c r="I279" s="587"/>
      <c r="J279" s="587"/>
      <c r="K279" s="587"/>
      <c r="O279" s="587"/>
      <c r="P279" s="587"/>
    </row>
    <row r="280" spans="1:16" ht="12.75" customHeight="1" x14ac:dyDescent="0.2">
      <c r="A280" s="614" t="s">
        <v>791</v>
      </c>
      <c r="B280" s="589"/>
      <c r="C280" s="589"/>
      <c r="D280" s="589"/>
      <c r="E280" s="589"/>
      <c r="H280" s="620"/>
      <c r="I280" s="620"/>
      <c r="J280" s="587" t="s">
        <v>792</v>
      </c>
      <c r="K280" s="587"/>
      <c r="L280">
        <v>122.03</v>
      </c>
      <c r="O280" s="595">
        <f>H280*L280</f>
        <v>0</v>
      </c>
      <c r="P280" s="595"/>
    </row>
    <row r="281" spans="1:16" ht="12.75" customHeight="1" x14ac:dyDescent="0.2">
      <c r="A281" s="622" t="s">
        <v>793</v>
      </c>
      <c r="B281" s="623"/>
      <c r="C281" s="623"/>
      <c r="D281" s="623"/>
      <c r="E281" s="623"/>
      <c r="H281" s="587"/>
      <c r="I281" s="587"/>
      <c r="J281" s="587"/>
      <c r="K281" s="587"/>
      <c r="O281" s="595"/>
      <c r="P281" s="595"/>
    </row>
    <row r="282" spans="1:16" ht="12.75" customHeight="1" x14ac:dyDescent="0.2">
      <c r="A282" s="589" t="s">
        <v>794</v>
      </c>
      <c r="B282" s="589"/>
      <c r="C282" s="589"/>
      <c r="D282" s="589"/>
      <c r="E282" s="589"/>
      <c r="H282" s="593"/>
      <c r="I282" s="593"/>
      <c r="J282" s="587" t="s">
        <v>774</v>
      </c>
      <c r="K282" s="587"/>
      <c r="L282">
        <v>721.22</v>
      </c>
      <c r="O282" s="595">
        <f t="shared" ref="O282:O285" si="17">H282*L282</f>
        <v>0</v>
      </c>
      <c r="P282" s="595"/>
    </row>
    <row r="283" spans="1:16" ht="12.75" customHeight="1" x14ac:dyDescent="0.2">
      <c r="A283" s="587"/>
      <c r="B283" s="587"/>
      <c r="C283" s="587"/>
      <c r="D283" s="587"/>
      <c r="E283" s="587"/>
      <c r="H283" s="587"/>
      <c r="I283" s="587"/>
      <c r="J283" s="587"/>
      <c r="K283" s="587"/>
      <c r="O283" s="595"/>
      <c r="P283" s="595"/>
    </row>
    <row r="284" spans="1:16" ht="12.75" customHeight="1" x14ac:dyDescent="0.2">
      <c r="A284" s="587"/>
      <c r="B284" s="587"/>
      <c r="C284" s="587"/>
      <c r="D284" s="587"/>
      <c r="E284" s="587"/>
      <c r="H284" s="587"/>
      <c r="I284" s="587"/>
      <c r="J284" s="587"/>
      <c r="K284" s="587"/>
      <c r="O284" s="595"/>
      <c r="P284" s="595"/>
    </row>
    <row r="285" spans="1:16" ht="12.75" customHeight="1" x14ac:dyDescent="0.2">
      <c r="A285" s="589" t="s">
        <v>795</v>
      </c>
      <c r="B285" s="589"/>
      <c r="C285" s="589"/>
      <c r="D285" s="589"/>
      <c r="E285" s="589"/>
      <c r="H285" s="593"/>
      <c r="I285" s="593"/>
      <c r="J285" s="587" t="s">
        <v>774</v>
      </c>
      <c r="K285" s="587"/>
      <c r="L285">
        <v>677.25</v>
      </c>
      <c r="O285" s="595">
        <f t="shared" si="17"/>
        <v>0</v>
      </c>
      <c r="P285" s="595"/>
    </row>
    <row r="286" spans="1:16" ht="12.75" customHeight="1" x14ac:dyDescent="0.2">
      <c r="A286" s="614" t="s">
        <v>796</v>
      </c>
      <c r="B286" s="589"/>
      <c r="C286" s="589"/>
      <c r="D286" s="589"/>
      <c r="E286" s="589"/>
      <c r="H286" s="587"/>
      <c r="I286" s="587"/>
      <c r="J286" s="587"/>
      <c r="K286" s="587"/>
      <c r="O286" s="595"/>
      <c r="P286" s="595"/>
    </row>
    <row r="287" spans="1:16" ht="12.75" customHeight="1" x14ac:dyDescent="0.2">
      <c r="A287" s="589" t="s">
        <v>797</v>
      </c>
      <c r="B287" s="589"/>
      <c r="C287" s="589"/>
      <c r="D287" s="589"/>
      <c r="E287" s="589"/>
      <c r="H287" s="587"/>
      <c r="I287" s="587"/>
      <c r="J287" s="587"/>
      <c r="K287" s="587"/>
      <c r="O287" s="595"/>
      <c r="P287" s="595"/>
    </row>
    <row r="288" spans="1:16" ht="12.75" customHeight="1" x14ac:dyDescent="0.2">
      <c r="A288" s="587"/>
      <c r="B288" s="587"/>
      <c r="C288" s="587"/>
      <c r="D288" s="587"/>
      <c r="E288" s="587"/>
      <c r="H288" s="587"/>
      <c r="I288" s="587"/>
      <c r="J288" s="587"/>
      <c r="K288" s="587"/>
      <c r="O288" s="595"/>
      <c r="P288" s="595"/>
    </row>
    <row r="289" spans="1:16" ht="12.75" customHeight="1" x14ac:dyDescent="0.2">
      <c r="A289" s="587"/>
      <c r="B289" s="587"/>
      <c r="C289" s="587"/>
      <c r="D289" s="587"/>
      <c r="E289" s="587"/>
      <c r="H289" s="587"/>
      <c r="I289" s="587"/>
      <c r="J289" s="587"/>
      <c r="K289" s="587"/>
      <c r="O289" s="595"/>
      <c r="P289" s="595"/>
    </row>
    <row r="290" spans="1:16" ht="12.75" customHeight="1" x14ac:dyDescent="0.2">
      <c r="A290" s="589" t="s">
        <v>798</v>
      </c>
      <c r="B290" s="589"/>
      <c r="C290" s="589"/>
      <c r="D290" s="589"/>
      <c r="E290" s="589"/>
      <c r="H290" s="587"/>
      <c r="I290" s="587"/>
      <c r="J290" s="587"/>
      <c r="K290" s="587"/>
      <c r="O290" s="595"/>
      <c r="P290" s="595"/>
    </row>
    <row r="291" spans="1:16" ht="12.75" customHeight="1" x14ac:dyDescent="0.2">
      <c r="A291" s="589" t="s">
        <v>799</v>
      </c>
      <c r="B291" s="589"/>
      <c r="C291" s="589"/>
      <c r="D291" s="589"/>
      <c r="E291" s="589"/>
      <c r="H291" s="587"/>
      <c r="I291" s="587"/>
      <c r="J291" s="587"/>
      <c r="K291" s="587"/>
      <c r="O291" s="595"/>
      <c r="P291" s="595"/>
    </row>
    <row r="292" spans="1:16" ht="12.75" customHeight="1" x14ac:dyDescent="0.2">
      <c r="A292" s="589" t="s">
        <v>800</v>
      </c>
      <c r="B292" s="589"/>
      <c r="C292" s="589"/>
      <c r="D292" s="589"/>
      <c r="E292" s="589"/>
      <c r="H292" s="590"/>
      <c r="I292" s="587"/>
      <c r="J292" s="587" t="s">
        <v>792</v>
      </c>
      <c r="K292" s="587"/>
      <c r="L292">
        <v>36.14</v>
      </c>
      <c r="O292" s="595">
        <f>H292*L292</f>
        <v>0</v>
      </c>
      <c r="P292" s="595"/>
    </row>
    <row r="293" spans="1:16" ht="12.75" customHeight="1" x14ac:dyDescent="0.2">
      <c r="A293" s="587"/>
      <c r="B293" s="587"/>
      <c r="C293" s="587"/>
      <c r="D293" s="587"/>
      <c r="E293" s="587"/>
      <c r="H293" s="587"/>
      <c r="I293" s="587"/>
      <c r="J293" s="587"/>
      <c r="K293" s="587"/>
      <c r="O293" s="595"/>
      <c r="P293" s="595"/>
    </row>
    <row r="294" spans="1:16" ht="12.75" customHeight="1" x14ac:dyDescent="0.2">
      <c r="A294" s="587"/>
      <c r="B294" s="587"/>
      <c r="C294" s="587"/>
      <c r="D294" s="587"/>
      <c r="E294" s="587"/>
      <c r="H294" s="587"/>
      <c r="I294" s="587"/>
      <c r="J294" s="587"/>
      <c r="K294" s="587"/>
      <c r="O294" s="595"/>
      <c r="P294" s="595"/>
    </row>
    <row r="295" spans="1:16" ht="12.75" customHeight="1" x14ac:dyDescent="0.2">
      <c r="A295" s="589" t="s">
        <v>801</v>
      </c>
      <c r="B295" s="589"/>
      <c r="C295" s="589"/>
      <c r="D295" s="589"/>
      <c r="E295" s="589"/>
      <c r="H295" s="593"/>
      <c r="I295" s="593"/>
      <c r="J295" s="587" t="s">
        <v>802</v>
      </c>
      <c r="K295" s="587"/>
      <c r="L295" s="477">
        <v>1824.57</v>
      </c>
      <c r="O295" s="595">
        <f t="shared" ref="O295:O317" si="18">H295*L295</f>
        <v>0</v>
      </c>
      <c r="P295" s="595"/>
    </row>
    <row r="296" spans="1:16" ht="12.75" customHeight="1" x14ac:dyDescent="0.2">
      <c r="A296" s="589" t="s">
        <v>803</v>
      </c>
      <c r="B296" s="589"/>
      <c r="C296" s="589"/>
      <c r="D296" s="589"/>
      <c r="E296" s="589"/>
      <c r="H296" s="587"/>
      <c r="I296" s="587"/>
      <c r="J296" s="587"/>
      <c r="K296" s="587"/>
      <c r="O296" s="595"/>
      <c r="P296" s="595"/>
    </row>
    <row r="297" spans="1:16" ht="12.75" customHeight="1" x14ac:dyDescent="0.2">
      <c r="A297" s="587"/>
      <c r="B297" s="587"/>
      <c r="C297" s="587"/>
      <c r="D297" s="587"/>
      <c r="E297" s="587"/>
      <c r="H297" s="587"/>
      <c r="I297" s="587"/>
      <c r="J297" s="587"/>
      <c r="K297" s="587"/>
      <c r="O297" s="595"/>
      <c r="P297" s="595"/>
    </row>
    <row r="298" spans="1:16" ht="12.75" customHeight="1" x14ac:dyDescent="0.2">
      <c r="A298" s="587"/>
      <c r="B298" s="587"/>
      <c r="C298" s="587"/>
      <c r="D298" s="587"/>
      <c r="E298" s="587"/>
      <c r="H298" s="587"/>
      <c r="I298" s="587"/>
      <c r="J298" s="587"/>
      <c r="K298" s="587"/>
      <c r="O298" s="595"/>
      <c r="P298" s="595"/>
    </row>
    <row r="299" spans="1:16" ht="12.75" customHeight="1" x14ac:dyDescent="0.2">
      <c r="A299" s="589" t="s">
        <v>804</v>
      </c>
      <c r="B299" s="589"/>
      <c r="C299" s="589"/>
      <c r="D299" s="589"/>
      <c r="E299" s="589"/>
      <c r="H299" s="587"/>
      <c r="I299" s="587"/>
      <c r="J299" s="587"/>
      <c r="K299" s="587"/>
      <c r="O299" s="595"/>
      <c r="P299" s="595"/>
    </row>
    <row r="300" spans="1:16" ht="12.75" customHeight="1" x14ac:dyDescent="0.2">
      <c r="A300" s="589" t="s">
        <v>805</v>
      </c>
      <c r="B300" s="589"/>
      <c r="C300" s="589"/>
      <c r="D300" s="589"/>
      <c r="E300" s="589"/>
      <c r="H300" s="593"/>
      <c r="I300" s="593"/>
      <c r="J300" s="587" t="s">
        <v>774</v>
      </c>
      <c r="K300" s="587"/>
      <c r="L300">
        <v>344.48</v>
      </c>
      <c r="O300" s="595">
        <f t="shared" si="18"/>
        <v>0</v>
      </c>
      <c r="P300" s="595"/>
    </row>
    <row r="301" spans="1:16" ht="12.75" customHeight="1" x14ac:dyDescent="0.2">
      <c r="A301" s="589" t="s">
        <v>806</v>
      </c>
      <c r="B301" s="589"/>
      <c r="C301" s="589"/>
      <c r="D301" s="589"/>
      <c r="E301" s="589"/>
      <c r="H301" s="593"/>
      <c r="I301" s="593"/>
      <c r="J301" s="587" t="s">
        <v>774</v>
      </c>
      <c r="K301" s="587"/>
      <c r="L301">
        <v>474.39</v>
      </c>
      <c r="O301" s="595">
        <f t="shared" si="18"/>
        <v>0</v>
      </c>
      <c r="P301" s="595"/>
    </row>
    <row r="302" spans="1:16" ht="12.75" customHeight="1" x14ac:dyDescent="0.2">
      <c r="A302" s="589" t="s">
        <v>807</v>
      </c>
      <c r="B302" s="589"/>
      <c r="C302" s="589"/>
      <c r="D302" s="589"/>
      <c r="E302" s="589"/>
      <c r="H302" s="593"/>
      <c r="I302" s="593"/>
      <c r="J302" s="587" t="s">
        <v>774</v>
      </c>
      <c r="K302" s="587"/>
      <c r="L302">
        <v>656.85</v>
      </c>
      <c r="O302" s="595">
        <f t="shared" si="18"/>
        <v>0</v>
      </c>
      <c r="P302" s="595"/>
    </row>
    <row r="303" spans="1:16" ht="12.75" customHeight="1" x14ac:dyDescent="0.2">
      <c r="A303" s="592" t="s">
        <v>808</v>
      </c>
      <c r="B303" s="592"/>
      <c r="C303" s="592"/>
      <c r="D303" s="592"/>
      <c r="E303" s="592"/>
      <c r="H303" s="593"/>
      <c r="I303" s="593"/>
      <c r="J303" s="587" t="s">
        <v>802</v>
      </c>
      <c r="K303" s="587"/>
      <c r="L303" s="477">
        <v>3709.96</v>
      </c>
      <c r="O303" s="595">
        <f t="shared" si="18"/>
        <v>0</v>
      </c>
      <c r="P303" s="595"/>
    </row>
    <row r="304" spans="1:16" ht="12.75" customHeight="1" x14ac:dyDescent="0.2">
      <c r="A304" s="589" t="s">
        <v>809</v>
      </c>
      <c r="B304" s="589"/>
      <c r="C304" s="589"/>
      <c r="D304" s="589"/>
      <c r="E304" s="589"/>
      <c r="H304" s="587"/>
      <c r="I304" s="587"/>
      <c r="J304" s="587"/>
      <c r="K304" s="587"/>
      <c r="O304" s="595"/>
      <c r="P304" s="595"/>
    </row>
    <row r="305" spans="1:16" x14ac:dyDescent="0.2">
      <c r="A305" s="589" t="s">
        <v>810</v>
      </c>
      <c r="B305" s="589"/>
      <c r="C305" s="589"/>
      <c r="D305" s="589"/>
      <c r="E305" s="589"/>
      <c r="H305" s="587"/>
      <c r="I305" s="587"/>
      <c r="J305" s="587" t="s">
        <v>774</v>
      </c>
      <c r="K305" s="587"/>
      <c r="L305" s="587"/>
      <c r="M305" s="587"/>
      <c r="O305" s="595">
        <f t="shared" ref="O305" si="19">H305*L305</f>
        <v>0</v>
      </c>
      <c r="P305" s="595"/>
    </row>
    <row r="306" spans="1:16" x14ac:dyDescent="0.2">
      <c r="A306" s="587"/>
      <c r="B306" s="587"/>
      <c r="C306" s="587"/>
      <c r="D306" s="587"/>
      <c r="E306" s="587"/>
      <c r="H306" s="587"/>
      <c r="I306" s="587"/>
      <c r="J306" s="587"/>
      <c r="K306" s="587"/>
      <c r="L306" s="587"/>
      <c r="M306" s="587"/>
      <c r="O306" s="595"/>
      <c r="P306" s="595"/>
    </row>
    <row r="307" spans="1:16" x14ac:dyDescent="0.2">
      <c r="A307" s="587"/>
      <c r="B307" s="587"/>
      <c r="C307" s="587"/>
      <c r="D307" s="587"/>
      <c r="E307" s="587"/>
      <c r="H307" s="587"/>
      <c r="I307" s="587"/>
      <c r="J307" s="587"/>
      <c r="K307" s="587"/>
      <c r="L307" s="587"/>
      <c r="M307" s="587"/>
      <c r="O307" s="595"/>
      <c r="P307" s="595"/>
    </row>
    <row r="308" spans="1:16" x14ac:dyDescent="0.2">
      <c r="A308" s="589" t="s">
        <v>811</v>
      </c>
      <c r="B308" s="589"/>
      <c r="C308" s="589"/>
      <c r="D308" s="589"/>
      <c r="E308" s="589"/>
      <c r="H308" s="593"/>
      <c r="I308" s="593"/>
      <c r="J308" s="587" t="s">
        <v>785</v>
      </c>
      <c r="K308" s="587"/>
      <c r="L308" s="587">
        <v>72.7</v>
      </c>
      <c r="M308" s="587"/>
      <c r="O308" s="595">
        <f t="shared" si="18"/>
        <v>0</v>
      </c>
      <c r="P308" s="595"/>
    </row>
    <row r="309" spans="1:16" x14ac:dyDescent="0.2">
      <c r="A309" s="589" t="s">
        <v>812</v>
      </c>
      <c r="B309" s="589"/>
      <c r="C309" s="589"/>
      <c r="D309" s="589"/>
      <c r="E309" s="589"/>
      <c r="H309" s="593"/>
      <c r="I309" s="593"/>
      <c r="J309" s="587" t="s">
        <v>785</v>
      </c>
      <c r="K309" s="587"/>
      <c r="L309" s="587">
        <v>40</v>
      </c>
      <c r="M309" s="587"/>
      <c r="O309" s="595">
        <f t="shared" ref="O309" si="20">H309*L309</f>
        <v>0</v>
      </c>
      <c r="P309" s="595"/>
    </row>
    <row r="310" spans="1:16" x14ac:dyDescent="0.2">
      <c r="A310" s="589" t="s">
        <v>813</v>
      </c>
      <c r="B310" s="589"/>
      <c r="C310" s="589"/>
      <c r="D310" s="589"/>
      <c r="E310" s="589"/>
      <c r="H310" s="587"/>
      <c r="I310" s="587"/>
      <c r="J310" s="587"/>
      <c r="K310" s="587"/>
      <c r="L310" s="587"/>
      <c r="M310" s="587"/>
      <c r="O310" s="595"/>
      <c r="P310" s="595"/>
    </row>
    <row r="311" spans="1:16" x14ac:dyDescent="0.2">
      <c r="A311" s="589" t="s">
        <v>814</v>
      </c>
      <c r="B311" s="589"/>
      <c r="C311" s="589"/>
      <c r="D311" s="589"/>
      <c r="E311" s="589"/>
      <c r="H311" s="587"/>
      <c r="I311" s="587"/>
      <c r="J311" s="587"/>
      <c r="K311" s="587"/>
      <c r="L311" s="587"/>
      <c r="M311" s="587"/>
      <c r="O311" s="595"/>
      <c r="P311" s="595"/>
    </row>
    <row r="312" spans="1:16" x14ac:dyDescent="0.2">
      <c r="A312" s="587"/>
      <c r="B312" s="587"/>
      <c r="C312" s="587"/>
      <c r="D312" s="587"/>
      <c r="E312" s="587"/>
      <c r="H312" s="587"/>
      <c r="I312" s="587"/>
      <c r="J312" s="587"/>
      <c r="K312" s="587"/>
      <c r="L312" s="587"/>
      <c r="M312" s="587"/>
      <c r="O312" s="595"/>
      <c r="P312" s="595"/>
    </row>
    <row r="313" spans="1:16" x14ac:dyDescent="0.2">
      <c r="A313" s="587"/>
      <c r="B313" s="587"/>
      <c r="C313" s="587"/>
      <c r="D313" s="587"/>
      <c r="E313" s="587"/>
      <c r="H313" s="587"/>
      <c r="I313" s="587"/>
      <c r="J313" s="587"/>
      <c r="K313" s="587"/>
      <c r="L313" s="587"/>
      <c r="M313" s="587"/>
      <c r="O313" s="595"/>
      <c r="P313" s="595"/>
    </row>
    <row r="314" spans="1:16" x14ac:dyDescent="0.2">
      <c r="A314" s="589" t="s">
        <v>815</v>
      </c>
      <c r="B314" s="589"/>
      <c r="C314" s="589"/>
      <c r="D314" s="589"/>
      <c r="E314" s="589"/>
      <c r="H314" s="590"/>
      <c r="I314" s="587"/>
      <c r="J314" s="587" t="s">
        <v>816</v>
      </c>
      <c r="K314" s="587"/>
      <c r="L314" s="594">
        <v>11</v>
      </c>
      <c r="M314" s="594"/>
      <c r="O314" s="595">
        <f t="shared" si="18"/>
        <v>0</v>
      </c>
      <c r="P314" s="595"/>
    </row>
    <row r="315" spans="1:16" x14ac:dyDescent="0.2">
      <c r="A315" s="587"/>
      <c r="B315" s="587"/>
      <c r="C315" s="587"/>
      <c r="D315" s="587"/>
      <c r="E315" s="587"/>
      <c r="H315" s="587"/>
      <c r="I315" s="587"/>
      <c r="J315" s="587"/>
      <c r="K315" s="587"/>
      <c r="L315" s="587"/>
      <c r="M315" s="587"/>
      <c r="O315" s="595"/>
      <c r="P315" s="595"/>
    </row>
    <row r="316" spans="1:16" x14ac:dyDescent="0.2">
      <c r="A316" s="587"/>
      <c r="B316" s="587"/>
      <c r="C316" s="587"/>
      <c r="D316" s="587"/>
      <c r="E316" s="587"/>
      <c r="H316" s="587"/>
      <c r="I316" s="587"/>
      <c r="J316" s="587"/>
      <c r="K316" s="587"/>
      <c r="L316" s="587"/>
      <c r="M316" s="587"/>
      <c r="O316" s="595"/>
      <c r="P316" s="595"/>
    </row>
    <row r="317" spans="1:16" hidden="1" x14ac:dyDescent="0.2">
      <c r="A317" s="589" t="s">
        <v>817</v>
      </c>
      <c r="B317" s="589"/>
      <c r="C317" s="589"/>
      <c r="D317" s="589"/>
      <c r="E317" s="589"/>
      <c r="H317" s="593"/>
      <c r="I317" s="593"/>
      <c r="J317" s="587" t="s">
        <v>802</v>
      </c>
      <c r="K317" s="587"/>
      <c r="L317" s="590">
        <v>7711.86</v>
      </c>
      <c r="M317" s="587"/>
      <c r="O317" s="595">
        <f t="shared" si="18"/>
        <v>0</v>
      </c>
      <c r="P317" s="595"/>
    </row>
    <row r="318" spans="1:16" hidden="1" x14ac:dyDescent="0.2">
      <c r="A318" s="589" t="s">
        <v>818</v>
      </c>
      <c r="B318" s="589"/>
      <c r="C318" s="589"/>
      <c r="D318" s="589"/>
      <c r="E318" s="589"/>
      <c r="H318" s="587"/>
      <c r="I318" s="587"/>
      <c r="J318" s="587"/>
      <c r="K318" s="587"/>
      <c r="L318" s="587"/>
      <c r="M318" s="587"/>
      <c r="O318" s="587"/>
      <c r="P318" s="587"/>
    </row>
    <row r="319" spans="1:16" hidden="1" x14ac:dyDescent="0.2">
      <c r="A319" s="591" t="s">
        <v>819</v>
      </c>
      <c r="B319" s="592"/>
      <c r="C319" s="592"/>
      <c r="D319" s="592"/>
      <c r="E319" s="592"/>
      <c r="H319" s="587"/>
      <c r="I319" s="587"/>
      <c r="J319" s="587"/>
      <c r="K319" s="587"/>
      <c r="L319" s="587"/>
      <c r="M319" s="587"/>
      <c r="O319" s="587"/>
      <c r="P319" s="587"/>
    </row>
    <row r="320" spans="1:16" hidden="1" x14ac:dyDescent="0.2">
      <c r="A320" s="587"/>
      <c r="B320" s="587"/>
      <c r="C320" s="587"/>
      <c r="D320" s="587"/>
      <c r="E320" s="587"/>
      <c r="H320" s="587"/>
      <c r="I320" s="587"/>
      <c r="J320" s="587"/>
      <c r="K320" s="587"/>
      <c r="L320" s="587"/>
      <c r="M320" s="587"/>
      <c r="O320" s="587"/>
      <c r="P320" s="587"/>
    </row>
    <row r="321" spans="1:16" x14ac:dyDescent="0.2">
      <c r="A321" s="587"/>
      <c r="B321" s="587"/>
      <c r="C321" s="587"/>
      <c r="D321" s="587"/>
      <c r="E321" s="587"/>
      <c r="H321" s="587"/>
      <c r="I321" s="587"/>
      <c r="J321" s="587"/>
      <c r="K321" s="587"/>
      <c r="L321" s="587"/>
      <c r="M321" s="587"/>
      <c r="O321" s="587"/>
      <c r="P321" s="587"/>
    </row>
    <row r="322" spans="1:16" ht="15.75" thickBot="1" x14ac:dyDescent="0.3">
      <c r="A322" s="599" t="s">
        <v>820</v>
      </c>
      <c r="B322" s="599"/>
      <c r="C322" s="599"/>
      <c r="D322" s="599"/>
      <c r="E322" s="599"/>
      <c r="H322" s="587"/>
      <c r="I322" s="587"/>
      <c r="J322" s="587"/>
      <c r="K322" s="587"/>
      <c r="L322" s="587"/>
      <c r="M322" s="587"/>
      <c r="O322" s="624">
        <f>SUM(O224:P321)</f>
        <v>0</v>
      </c>
      <c r="P322" s="624"/>
    </row>
    <row r="323" spans="1:16" ht="15.75" thickTop="1" x14ac:dyDescent="0.25">
      <c r="A323" s="599" t="s">
        <v>656</v>
      </c>
      <c r="B323" s="599"/>
      <c r="C323" s="599"/>
      <c r="D323" s="599"/>
      <c r="E323" s="599"/>
      <c r="H323" s="587"/>
      <c r="I323" s="587"/>
      <c r="J323" s="587"/>
      <c r="K323" s="587"/>
      <c r="L323" s="587"/>
      <c r="M323" s="587"/>
      <c r="O323" s="587"/>
      <c r="P323" s="587"/>
    </row>
    <row r="324" spans="1:16" x14ac:dyDescent="0.2">
      <c r="A324" s="587"/>
      <c r="B324" s="587"/>
      <c r="C324" s="587"/>
      <c r="D324" s="587"/>
      <c r="E324" s="587"/>
      <c r="H324" s="587"/>
      <c r="I324" s="587"/>
      <c r="J324" s="587"/>
      <c r="K324" s="587"/>
      <c r="L324" s="587"/>
      <c r="M324" s="587"/>
      <c r="O324" s="587"/>
      <c r="P324" s="587"/>
    </row>
    <row r="325" spans="1:16" x14ac:dyDescent="0.2">
      <c r="A325" s="587"/>
      <c r="B325" s="587"/>
      <c r="C325" s="587"/>
      <c r="D325" s="587"/>
      <c r="E325" s="587"/>
      <c r="H325" s="587"/>
      <c r="I325" s="587"/>
      <c r="J325" s="587"/>
      <c r="K325" s="587"/>
      <c r="L325" s="587"/>
      <c r="M325" s="587"/>
      <c r="O325" s="587"/>
      <c r="P325" s="587"/>
    </row>
    <row r="326" spans="1:16" ht="15" x14ac:dyDescent="0.25">
      <c r="A326" s="625" t="s">
        <v>821</v>
      </c>
      <c r="B326" s="625"/>
      <c r="C326" s="625"/>
      <c r="D326" s="625"/>
      <c r="E326" s="625"/>
      <c r="F326" s="471"/>
      <c r="G326" s="471"/>
      <c r="H326" s="619"/>
      <c r="I326" s="619"/>
      <c r="J326" s="619"/>
      <c r="K326" s="619"/>
      <c r="L326" s="619"/>
      <c r="M326" s="619"/>
      <c r="N326" s="471"/>
      <c r="O326" s="619"/>
      <c r="P326" s="619"/>
    </row>
    <row r="327" spans="1:16" x14ac:dyDescent="0.2">
      <c r="A327" s="587"/>
      <c r="B327" s="587"/>
      <c r="C327" s="587"/>
      <c r="D327" s="587"/>
      <c r="E327" s="587"/>
      <c r="H327" s="587"/>
      <c r="I327" s="587"/>
      <c r="J327" s="587"/>
      <c r="K327" s="587"/>
      <c r="L327" s="587"/>
      <c r="M327" s="587"/>
      <c r="O327" s="587"/>
      <c r="P327" s="587"/>
    </row>
    <row r="328" spans="1:16" hidden="1" x14ac:dyDescent="0.2">
      <c r="A328" s="589" t="s">
        <v>822</v>
      </c>
      <c r="B328" s="589"/>
      <c r="C328" s="589"/>
      <c r="D328" s="589"/>
      <c r="E328" s="589"/>
      <c r="H328" s="587"/>
      <c r="I328" s="587"/>
      <c r="J328" s="587"/>
      <c r="K328" s="587"/>
      <c r="L328" s="587"/>
      <c r="M328" s="587"/>
      <c r="O328" s="587"/>
      <c r="P328" s="587"/>
    </row>
    <row r="329" spans="1:16" hidden="1" x14ac:dyDescent="0.2">
      <c r="A329" s="589" t="s">
        <v>823</v>
      </c>
      <c r="B329" s="589"/>
      <c r="C329" s="589"/>
      <c r="D329" s="589"/>
      <c r="E329" s="589"/>
      <c r="H329" s="587"/>
      <c r="I329" s="587"/>
      <c r="J329" s="587"/>
      <c r="K329" s="587"/>
      <c r="L329" s="587"/>
      <c r="M329" s="587"/>
      <c r="O329" s="587"/>
      <c r="P329" s="587"/>
    </row>
    <row r="330" spans="1:16" hidden="1" x14ac:dyDescent="0.2">
      <c r="A330" s="589" t="s">
        <v>824</v>
      </c>
      <c r="B330" s="589"/>
      <c r="C330" s="589"/>
      <c r="D330" s="589"/>
      <c r="E330" s="589"/>
      <c r="H330" s="587"/>
      <c r="I330" s="587"/>
      <c r="J330" s="587"/>
      <c r="K330" s="587"/>
      <c r="L330" s="587"/>
      <c r="M330" s="587"/>
      <c r="O330" s="587"/>
      <c r="P330" s="587"/>
    </row>
    <row r="331" spans="1:16" hidden="1" x14ac:dyDescent="0.2">
      <c r="A331" s="589" t="s">
        <v>825</v>
      </c>
      <c r="B331" s="589"/>
      <c r="C331" s="589"/>
      <c r="D331" s="589"/>
      <c r="E331" s="589"/>
      <c r="H331" s="587"/>
      <c r="I331" s="587"/>
      <c r="J331" s="587"/>
      <c r="K331" s="587"/>
      <c r="L331" s="587"/>
      <c r="M331" s="587"/>
      <c r="O331" s="587"/>
      <c r="P331" s="587"/>
    </row>
    <row r="332" spans="1:16" hidden="1" x14ac:dyDescent="0.2">
      <c r="A332" s="589" t="s">
        <v>826</v>
      </c>
      <c r="B332" s="589"/>
      <c r="C332" s="589"/>
      <c r="D332" s="589"/>
      <c r="E332" s="589"/>
      <c r="H332" s="587"/>
      <c r="I332" s="587"/>
      <c r="J332" s="587"/>
      <c r="K332" s="587"/>
      <c r="L332" s="587"/>
      <c r="M332" s="587"/>
      <c r="O332" s="587"/>
      <c r="P332" s="587"/>
    </row>
    <row r="333" spans="1:16" hidden="1" x14ac:dyDescent="0.2">
      <c r="A333" s="589"/>
      <c r="B333" s="589"/>
      <c r="C333" s="589"/>
      <c r="D333" s="589"/>
      <c r="E333" s="589"/>
      <c r="H333" s="587"/>
      <c r="I333" s="587"/>
      <c r="J333" s="587"/>
      <c r="K333" s="587"/>
      <c r="L333" s="587"/>
      <c r="M333" s="587"/>
      <c r="O333" s="587"/>
      <c r="P333" s="587"/>
    </row>
    <row r="334" spans="1:16" hidden="1" x14ac:dyDescent="0.2">
      <c r="A334" s="589" t="s">
        <v>827</v>
      </c>
      <c r="B334" s="589"/>
      <c r="C334" s="589"/>
      <c r="D334" s="589"/>
      <c r="E334" s="589"/>
      <c r="H334" s="587"/>
      <c r="I334" s="587"/>
      <c r="J334" s="587"/>
      <c r="K334" s="587"/>
      <c r="L334" s="587"/>
      <c r="M334" s="587"/>
      <c r="O334" s="587"/>
      <c r="P334" s="587"/>
    </row>
    <row r="335" spans="1:16" x14ac:dyDescent="0.2">
      <c r="A335" s="589" t="s">
        <v>828</v>
      </c>
      <c r="B335" s="589"/>
      <c r="C335" s="589"/>
      <c r="D335" s="589"/>
      <c r="E335" s="589"/>
      <c r="H335" s="587"/>
      <c r="I335" s="587"/>
      <c r="J335" s="587" t="s">
        <v>785</v>
      </c>
      <c r="K335" s="587"/>
      <c r="L335" s="587">
        <v>188.15</v>
      </c>
      <c r="M335" s="587"/>
      <c r="O335" s="587">
        <f>H335*L335</f>
        <v>0</v>
      </c>
      <c r="P335" s="587"/>
    </row>
    <row r="336" spans="1:16" x14ac:dyDescent="0.2">
      <c r="A336" s="589" t="s">
        <v>829</v>
      </c>
      <c r="B336" s="589"/>
      <c r="C336" s="589"/>
      <c r="D336" s="589"/>
      <c r="E336" s="589"/>
      <c r="H336" s="587">
        <v>10.039999999999999</v>
      </c>
      <c r="I336" s="587"/>
      <c r="J336" s="587" t="s">
        <v>785</v>
      </c>
      <c r="K336" s="587"/>
      <c r="L336" s="587">
        <v>269.38</v>
      </c>
      <c r="M336" s="587"/>
      <c r="O336" s="587">
        <f>H336*L336</f>
        <v>2704.5751999999998</v>
      </c>
      <c r="P336" s="587"/>
    </row>
    <row r="337" spans="1:16" x14ac:dyDescent="0.2">
      <c r="A337" s="587"/>
      <c r="B337" s="587"/>
      <c r="C337" s="587"/>
      <c r="D337" s="587"/>
      <c r="E337" s="587"/>
      <c r="H337" s="587"/>
      <c r="I337" s="587"/>
      <c r="J337" s="587"/>
      <c r="K337" s="587"/>
      <c r="L337" s="587"/>
      <c r="M337" s="587"/>
      <c r="O337" s="587"/>
      <c r="P337" s="587"/>
    </row>
    <row r="338" spans="1:16" x14ac:dyDescent="0.2">
      <c r="A338" s="587"/>
      <c r="B338" s="587"/>
      <c r="C338" s="587"/>
      <c r="D338" s="587"/>
      <c r="E338" s="587"/>
      <c r="H338" s="587"/>
      <c r="I338" s="587"/>
      <c r="J338" s="587"/>
      <c r="K338" s="587"/>
      <c r="L338" s="587"/>
      <c r="M338" s="587"/>
      <c r="O338" s="587"/>
      <c r="P338" s="587"/>
    </row>
    <row r="339" spans="1:16" x14ac:dyDescent="0.2">
      <c r="A339" s="589" t="s">
        <v>830</v>
      </c>
      <c r="B339" s="589"/>
      <c r="C339" s="589"/>
      <c r="D339" s="589"/>
      <c r="E339" s="589"/>
      <c r="H339" s="587"/>
      <c r="I339" s="587"/>
      <c r="J339" s="587"/>
      <c r="K339" s="587"/>
      <c r="L339" s="587"/>
      <c r="M339" s="587"/>
      <c r="O339" s="587"/>
      <c r="P339" s="587"/>
    </row>
    <row r="340" spans="1:16" x14ac:dyDescent="0.2">
      <c r="A340" s="587"/>
      <c r="B340" s="587"/>
      <c r="C340" s="587"/>
      <c r="D340" s="587"/>
      <c r="E340" s="587"/>
      <c r="H340" s="410"/>
      <c r="I340" s="410"/>
      <c r="J340" s="410"/>
      <c r="K340" s="410"/>
      <c r="L340" s="410"/>
      <c r="M340" s="410"/>
      <c r="O340" s="410"/>
      <c r="P340" s="410"/>
    </row>
    <row r="341" spans="1:16" x14ac:dyDescent="0.2">
      <c r="A341" s="589" t="s">
        <v>831</v>
      </c>
      <c r="B341" s="589"/>
      <c r="C341" s="589"/>
      <c r="D341" s="589"/>
      <c r="E341" s="589"/>
      <c r="H341" s="587">
        <v>10</v>
      </c>
      <c r="I341" s="587"/>
      <c r="J341" s="587" t="s">
        <v>785</v>
      </c>
      <c r="K341" s="587"/>
      <c r="L341" s="587">
        <v>148.21</v>
      </c>
      <c r="M341" s="587"/>
      <c r="O341" s="587">
        <f t="shared" ref="O341" si="21">H341*L341</f>
        <v>1482.1000000000001</v>
      </c>
      <c r="P341" s="587"/>
    </row>
    <row r="342" spans="1:16" x14ac:dyDescent="0.2">
      <c r="A342" s="588" t="s">
        <v>832</v>
      </c>
      <c r="B342" s="589"/>
      <c r="C342" s="589"/>
      <c r="D342" s="589"/>
      <c r="E342" s="589"/>
      <c r="H342" s="587"/>
      <c r="I342" s="587"/>
      <c r="J342" s="587" t="s">
        <v>785</v>
      </c>
      <c r="K342" s="587"/>
      <c r="L342" s="587">
        <v>160.93</v>
      </c>
      <c r="M342" s="587"/>
      <c r="O342" s="587">
        <f t="shared" ref="O342:O363" si="22">H342*L342</f>
        <v>0</v>
      </c>
      <c r="P342" s="587"/>
    </row>
    <row r="343" spans="1:16" x14ac:dyDescent="0.2">
      <c r="A343" s="399" t="s">
        <v>833</v>
      </c>
      <c r="H343" s="587"/>
      <c r="I343" s="587"/>
      <c r="J343" s="587" t="s">
        <v>785</v>
      </c>
      <c r="K343" s="587"/>
      <c r="L343" s="587">
        <v>170</v>
      </c>
      <c r="M343" s="587"/>
      <c r="O343" s="587">
        <f t="shared" ref="O343" si="23">H343*L343</f>
        <v>0</v>
      </c>
      <c r="P343" s="587"/>
    </row>
    <row r="344" spans="1:16" x14ac:dyDescent="0.2">
      <c r="A344" s="588" t="s">
        <v>834</v>
      </c>
      <c r="B344" s="588"/>
      <c r="C344" s="588"/>
      <c r="D344" s="588"/>
      <c r="E344" s="588"/>
      <c r="H344" s="587"/>
      <c r="I344" s="587"/>
      <c r="J344" s="587" t="s">
        <v>785</v>
      </c>
      <c r="K344" s="587"/>
      <c r="L344" s="587"/>
      <c r="M344" s="587"/>
      <c r="O344" s="587">
        <f t="shared" ref="O344" si="24">H344*L344</f>
        <v>0</v>
      </c>
      <c r="P344" s="587"/>
    </row>
    <row r="345" spans="1:16" x14ac:dyDescent="0.2">
      <c r="A345" s="627" t="s">
        <v>130</v>
      </c>
      <c r="B345" s="627"/>
      <c r="C345" s="627"/>
      <c r="D345" s="627"/>
      <c r="E345" s="627"/>
      <c r="F345" s="481"/>
      <c r="G345" s="481"/>
      <c r="H345" s="626">
        <v>199.73</v>
      </c>
      <c r="I345" s="626"/>
      <c r="J345" s="626" t="s">
        <v>785</v>
      </c>
      <c r="K345" s="626"/>
      <c r="L345" s="626"/>
      <c r="M345" s="626"/>
      <c r="N345" s="481"/>
      <c r="O345" s="626">
        <f t="shared" ref="O345:O346" si="25">H345*L345</f>
        <v>0</v>
      </c>
      <c r="P345" s="626"/>
    </row>
    <row r="346" spans="1:16" x14ac:dyDescent="0.2">
      <c r="A346" s="627" t="s">
        <v>129</v>
      </c>
      <c r="B346" s="627"/>
      <c r="C346" s="627"/>
      <c r="D346" s="627"/>
      <c r="E346" s="627"/>
      <c r="F346" s="481"/>
      <c r="G346" s="481"/>
      <c r="H346" s="626">
        <v>135.16</v>
      </c>
      <c r="I346" s="626"/>
      <c r="J346" s="626" t="s">
        <v>785</v>
      </c>
      <c r="K346" s="626"/>
      <c r="L346" s="626"/>
      <c r="M346" s="626"/>
      <c r="N346" s="481"/>
      <c r="O346" s="626">
        <f t="shared" si="25"/>
        <v>0</v>
      </c>
      <c r="P346" s="626"/>
    </row>
    <row r="347" spans="1:16" x14ac:dyDescent="0.2">
      <c r="A347" s="627" t="s">
        <v>128</v>
      </c>
      <c r="B347" s="627"/>
      <c r="C347" s="627"/>
      <c r="D347" s="627"/>
      <c r="E347" s="627"/>
      <c r="F347" s="481"/>
      <c r="G347" s="481"/>
      <c r="H347" s="626">
        <v>32.590000000000003</v>
      </c>
      <c r="I347" s="626"/>
      <c r="J347" s="626" t="s">
        <v>785</v>
      </c>
      <c r="K347" s="626"/>
      <c r="L347" s="626"/>
      <c r="M347" s="626"/>
      <c r="N347" s="481"/>
      <c r="O347" s="626">
        <f t="shared" ref="O347" si="26">H347*L347</f>
        <v>0</v>
      </c>
      <c r="P347" s="626"/>
    </row>
    <row r="348" spans="1:16" x14ac:dyDescent="0.2">
      <c r="A348" s="627" t="s">
        <v>127</v>
      </c>
      <c r="B348" s="627"/>
      <c r="C348" s="627"/>
      <c r="D348" s="627"/>
      <c r="E348" s="627"/>
      <c r="F348" s="481"/>
      <c r="G348" s="481"/>
      <c r="H348" s="626">
        <v>49.64</v>
      </c>
      <c r="I348" s="626"/>
      <c r="J348" s="626" t="s">
        <v>785</v>
      </c>
      <c r="K348" s="626"/>
      <c r="L348" s="482"/>
      <c r="M348" s="482"/>
      <c r="N348" s="481"/>
      <c r="O348" s="626">
        <f t="shared" ref="O348:O349" si="27">H348*L348</f>
        <v>0</v>
      </c>
      <c r="P348" s="626"/>
    </row>
    <row r="349" spans="1:16" x14ac:dyDescent="0.2">
      <c r="A349" s="627" t="s">
        <v>125</v>
      </c>
      <c r="B349" s="627"/>
      <c r="C349" s="627"/>
      <c r="D349" s="627"/>
      <c r="E349" s="627"/>
      <c r="F349" s="481"/>
      <c r="G349" s="481"/>
      <c r="H349" s="626"/>
      <c r="I349" s="626"/>
      <c r="J349" s="626" t="s">
        <v>785</v>
      </c>
      <c r="K349" s="626"/>
      <c r="L349" s="482"/>
      <c r="M349" s="482"/>
      <c r="N349" s="481"/>
      <c r="O349" s="626">
        <f t="shared" si="27"/>
        <v>0</v>
      </c>
      <c r="P349" s="626"/>
    </row>
    <row r="350" spans="1:16" x14ac:dyDescent="0.2">
      <c r="A350" s="627" t="s">
        <v>835</v>
      </c>
      <c r="B350" s="627"/>
      <c r="C350" s="627"/>
      <c r="D350" s="627"/>
      <c r="E350" s="627"/>
      <c r="F350" s="481"/>
      <c r="G350" s="481"/>
      <c r="H350" s="626">
        <v>9.43</v>
      </c>
      <c r="I350" s="626"/>
      <c r="J350" s="626" t="s">
        <v>785</v>
      </c>
      <c r="K350" s="626"/>
      <c r="L350" s="482"/>
      <c r="M350" s="482"/>
      <c r="N350" s="481"/>
      <c r="O350" s="626">
        <f t="shared" ref="O350" si="28">H350*L350</f>
        <v>0</v>
      </c>
      <c r="P350" s="626"/>
    </row>
    <row r="351" spans="1:16" ht="22.5" customHeight="1" x14ac:dyDescent="0.2">
      <c r="A351" s="587"/>
      <c r="B351" s="587"/>
      <c r="C351" s="587"/>
      <c r="D351" s="587"/>
      <c r="E351" s="587"/>
      <c r="H351" s="587"/>
      <c r="I351" s="587"/>
      <c r="J351" s="587"/>
      <c r="K351" s="587"/>
      <c r="L351" s="587"/>
      <c r="M351" s="587"/>
      <c r="O351" s="587"/>
      <c r="P351" s="587"/>
    </row>
    <row r="352" spans="1:16" x14ac:dyDescent="0.2">
      <c r="A352" s="592" t="s">
        <v>836</v>
      </c>
      <c r="B352" s="592"/>
      <c r="C352" s="592"/>
      <c r="D352" s="592"/>
      <c r="E352" s="592"/>
      <c r="H352" s="587"/>
      <c r="I352" s="587"/>
      <c r="J352" s="587" t="s">
        <v>662</v>
      </c>
      <c r="K352" s="587"/>
      <c r="L352" s="587"/>
      <c r="M352" s="587"/>
      <c r="O352" s="587"/>
      <c r="P352" s="587"/>
    </row>
    <row r="353" spans="1:16" x14ac:dyDescent="0.2">
      <c r="A353" s="589" t="s">
        <v>837</v>
      </c>
      <c r="B353" s="589"/>
      <c r="C353" s="589"/>
      <c r="D353" s="589"/>
      <c r="E353" s="589"/>
      <c r="H353" s="587"/>
      <c r="I353" s="587"/>
      <c r="J353" s="587"/>
      <c r="K353" s="587"/>
      <c r="L353" s="587"/>
      <c r="M353" s="587"/>
      <c r="O353" s="587"/>
      <c r="P353" s="587"/>
    </row>
    <row r="354" spans="1:16" x14ac:dyDescent="0.2">
      <c r="A354" s="589" t="s">
        <v>838</v>
      </c>
      <c r="B354" s="589"/>
      <c r="C354" s="589"/>
      <c r="D354" s="589"/>
      <c r="E354" s="589"/>
      <c r="H354" s="587"/>
      <c r="I354" s="587"/>
      <c r="J354" s="587"/>
      <c r="K354" s="587"/>
      <c r="L354" s="587"/>
      <c r="M354" s="587"/>
      <c r="O354" s="587"/>
      <c r="P354" s="587"/>
    </row>
    <row r="355" spans="1:16" x14ac:dyDescent="0.2">
      <c r="A355" s="587"/>
      <c r="B355" s="587"/>
      <c r="C355" s="587"/>
      <c r="D355" s="587"/>
      <c r="E355" s="587"/>
      <c r="H355" s="587"/>
      <c r="I355" s="587"/>
      <c r="J355" s="587"/>
      <c r="K355" s="587"/>
      <c r="L355" s="587"/>
      <c r="M355" s="587"/>
      <c r="O355" s="587"/>
      <c r="P355" s="587"/>
    </row>
    <row r="356" spans="1:16" x14ac:dyDescent="0.2">
      <c r="A356" s="589" t="s">
        <v>839</v>
      </c>
      <c r="B356" s="589"/>
      <c r="C356" s="589"/>
      <c r="D356" s="589"/>
      <c r="E356" s="589"/>
      <c r="H356" s="587"/>
      <c r="I356" s="587"/>
      <c r="J356" s="587" t="s">
        <v>679</v>
      </c>
      <c r="K356" s="587"/>
      <c r="L356" s="587">
        <v>1571.96</v>
      </c>
      <c r="M356" s="587"/>
      <c r="O356" s="587">
        <f>H356*L356</f>
        <v>0</v>
      </c>
      <c r="P356" s="587"/>
    </row>
    <row r="357" spans="1:16" x14ac:dyDescent="0.2">
      <c r="A357" s="589" t="s">
        <v>840</v>
      </c>
      <c r="B357" s="589"/>
      <c r="C357" s="589"/>
      <c r="D357" s="589"/>
      <c r="E357" s="589"/>
      <c r="H357" s="587"/>
      <c r="I357" s="587"/>
      <c r="J357" s="587"/>
      <c r="K357" s="587"/>
      <c r="L357" s="587"/>
      <c r="M357" s="587"/>
      <c r="O357" s="587"/>
      <c r="P357" s="587"/>
    </row>
    <row r="358" spans="1:16" x14ac:dyDescent="0.2">
      <c r="A358" s="587"/>
      <c r="B358" s="587"/>
      <c r="C358" s="587"/>
      <c r="D358" s="587"/>
      <c r="E358" s="587"/>
      <c r="H358" s="587"/>
      <c r="I358" s="587"/>
      <c r="J358" s="587"/>
      <c r="K358" s="587"/>
      <c r="L358" s="587"/>
      <c r="M358" s="587"/>
      <c r="O358" s="587"/>
      <c r="P358" s="587"/>
    </row>
    <row r="359" spans="1:16" x14ac:dyDescent="0.2">
      <c r="A359" s="410"/>
      <c r="B359" s="410"/>
      <c r="C359" s="410"/>
      <c r="D359" s="410"/>
      <c r="E359" s="410"/>
      <c r="H359" s="410"/>
      <c r="I359" s="410"/>
      <c r="J359" s="410"/>
      <c r="K359" s="410"/>
      <c r="L359" s="410"/>
      <c r="M359" s="410"/>
      <c r="O359" s="410"/>
      <c r="P359" s="410"/>
    </row>
    <row r="360" spans="1:16" x14ac:dyDescent="0.2">
      <c r="A360" s="589" t="s">
        <v>841</v>
      </c>
      <c r="B360" s="589"/>
      <c r="C360" s="589"/>
      <c r="D360" s="589"/>
      <c r="E360" s="589"/>
      <c r="H360" s="587"/>
      <c r="I360" s="587"/>
      <c r="J360" s="587"/>
      <c r="K360" s="587"/>
      <c r="L360" s="587"/>
      <c r="M360" s="587"/>
      <c r="O360" s="587"/>
      <c r="P360" s="587"/>
    </row>
    <row r="361" spans="1:16" x14ac:dyDescent="0.2">
      <c r="A361" s="589" t="s">
        <v>842</v>
      </c>
      <c r="B361" s="589"/>
      <c r="C361" s="589"/>
      <c r="D361" s="589"/>
      <c r="E361" s="589"/>
      <c r="H361" s="587"/>
      <c r="I361" s="587"/>
      <c r="J361" s="587"/>
      <c r="K361" s="587"/>
      <c r="L361" s="587"/>
      <c r="M361" s="587"/>
      <c r="O361" s="587"/>
      <c r="P361" s="587"/>
    </row>
    <row r="362" spans="1:16" x14ac:dyDescent="0.2">
      <c r="A362" s="589" t="s">
        <v>843</v>
      </c>
      <c r="B362" s="589"/>
      <c r="C362" s="589"/>
      <c r="D362" s="589"/>
      <c r="E362" s="589"/>
      <c r="H362" s="593"/>
      <c r="I362" s="593"/>
      <c r="J362" s="587" t="s">
        <v>844</v>
      </c>
      <c r="K362" s="587"/>
      <c r="L362" s="587">
        <v>25</v>
      </c>
      <c r="M362" s="587"/>
      <c r="O362" s="587">
        <f t="shared" si="22"/>
        <v>0</v>
      </c>
      <c r="P362" s="587"/>
    </row>
    <row r="363" spans="1:16" x14ac:dyDescent="0.2">
      <c r="A363" s="589" t="s">
        <v>845</v>
      </c>
      <c r="B363" s="589"/>
      <c r="C363" s="589"/>
      <c r="D363" s="589"/>
      <c r="E363" s="589"/>
      <c r="H363" s="593"/>
      <c r="I363" s="593"/>
      <c r="J363" s="587" t="s">
        <v>844</v>
      </c>
      <c r="K363" s="587"/>
      <c r="L363" s="587">
        <v>180</v>
      </c>
      <c r="M363" s="587"/>
      <c r="O363" s="587">
        <f t="shared" si="22"/>
        <v>0</v>
      </c>
      <c r="P363" s="587"/>
    </row>
    <row r="364" spans="1:16" x14ac:dyDescent="0.2">
      <c r="A364" s="587"/>
      <c r="B364" s="587"/>
      <c r="C364" s="587"/>
      <c r="D364" s="587"/>
      <c r="E364" s="587"/>
      <c r="H364" s="587"/>
      <c r="I364" s="587"/>
      <c r="J364" s="587"/>
      <c r="K364" s="587"/>
      <c r="L364" s="587"/>
      <c r="M364" s="587"/>
      <c r="O364" s="587"/>
      <c r="P364" s="587"/>
    </row>
    <row r="365" spans="1:16" x14ac:dyDescent="0.2">
      <c r="A365" s="587"/>
      <c r="B365" s="587"/>
      <c r="C365" s="587"/>
      <c r="D365" s="587"/>
      <c r="E365" s="587"/>
      <c r="H365" s="587"/>
      <c r="I365" s="587"/>
      <c r="J365" s="587"/>
      <c r="K365" s="587"/>
      <c r="L365" s="587"/>
      <c r="M365" s="587"/>
      <c r="O365" s="587"/>
      <c r="P365" s="587"/>
    </row>
    <row r="366" spans="1:16" x14ac:dyDescent="0.2">
      <c r="A366" s="589" t="s">
        <v>846</v>
      </c>
      <c r="B366" s="589"/>
      <c r="C366" s="589"/>
      <c r="D366" s="589"/>
      <c r="E366" s="589"/>
      <c r="H366" s="587"/>
      <c r="I366" s="587"/>
      <c r="J366" s="587"/>
      <c r="K366" s="587"/>
      <c r="L366" s="587"/>
      <c r="M366" s="587"/>
      <c r="O366" s="587"/>
      <c r="P366" s="587"/>
    </row>
    <row r="367" spans="1:16" x14ac:dyDescent="0.2">
      <c r="A367" s="589" t="s">
        <v>847</v>
      </c>
      <c r="B367" s="589"/>
      <c r="C367" s="589"/>
      <c r="D367" s="589"/>
      <c r="E367" s="589"/>
      <c r="H367" s="587"/>
      <c r="I367" s="587"/>
      <c r="J367" s="587"/>
      <c r="K367" s="587"/>
      <c r="L367" s="587"/>
      <c r="M367" s="587"/>
      <c r="O367" s="587"/>
      <c r="P367" s="587"/>
    </row>
    <row r="368" spans="1:16" x14ac:dyDescent="0.2">
      <c r="A368" s="589" t="s">
        <v>848</v>
      </c>
      <c r="B368" s="589"/>
      <c r="C368" s="589"/>
      <c r="D368" s="589"/>
      <c r="E368" s="589"/>
      <c r="H368" s="587"/>
      <c r="I368" s="587"/>
      <c r="J368" s="587"/>
      <c r="K368" s="587"/>
      <c r="L368" s="587"/>
      <c r="M368" s="587"/>
      <c r="O368" s="587"/>
      <c r="P368" s="587"/>
    </row>
    <row r="369" spans="1:16" ht="9.75" customHeight="1" x14ac:dyDescent="0.2">
      <c r="A369" s="589" t="s">
        <v>849</v>
      </c>
      <c r="B369" s="589"/>
      <c r="C369" s="589"/>
      <c r="D369" s="589"/>
      <c r="E369" s="589"/>
      <c r="H369" s="593"/>
      <c r="I369" s="593"/>
      <c r="J369" s="587" t="s">
        <v>774</v>
      </c>
      <c r="K369" s="587"/>
      <c r="L369" s="590">
        <v>3649.15</v>
      </c>
      <c r="M369" s="587"/>
      <c r="O369" s="587">
        <f t="shared" ref="O369" si="29">H369*L369</f>
        <v>0</v>
      </c>
      <c r="P369" s="587"/>
    </row>
    <row r="370" spans="1:16" ht="6" customHeight="1" x14ac:dyDescent="0.2">
      <c r="A370" s="587"/>
      <c r="B370" s="587"/>
      <c r="C370" s="587"/>
      <c r="D370" s="587"/>
      <c r="E370" s="587"/>
      <c r="H370" s="587"/>
      <c r="I370" s="587"/>
      <c r="J370" s="587"/>
      <c r="K370" s="587"/>
      <c r="L370" s="587"/>
      <c r="M370" s="587"/>
      <c r="O370" s="587"/>
      <c r="P370" s="587"/>
    </row>
    <row r="371" spans="1:16" ht="14.25" customHeight="1" x14ac:dyDescent="0.2">
      <c r="A371" s="587"/>
      <c r="B371" s="587"/>
      <c r="C371" s="587"/>
      <c r="D371" s="587"/>
      <c r="E371" s="587"/>
      <c r="H371" s="587"/>
      <c r="I371" s="587"/>
      <c r="J371" s="587"/>
      <c r="K371" s="587"/>
      <c r="L371" s="587"/>
      <c r="M371" s="587"/>
      <c r="O371" s="587"/>
      <c r="P371" s="587"/>
    </row>
    <row r="372" spans="1:16" x14ac:dyDescent="0.2">
      <c r="A372" s="589" t="s">
        <v>850</v>
      </c>
      <c r="B372" s="589"/>
      <c r="C372" s="589"/>
      <c r="D372" s="589"/>
      <c r="E372" s="589"/>
      <c r="H372" s="587"/>
      <c r="I372" s="587"/>
      <c r="J372" s="587"/>
      <c r="K372" s="587"/>
      <c r="L372" s="587"/>
      <c r="M372" s="587"/>
      <c r="O372" s="587"/>
      <c r="P372" s="587"/>
    </row>
    <row r="373" spans="1:16" x14ac:dyDescent="0.2">
      <c r="A373" s="589" t="s">
        <v>851</v>
      </c>
      <c r="B373" s="589"/>
      <c r="C373" s="589"/>
      <c r="D373" s="589"/>
      <c r="E373" s="589"/>
      <c r="H373" s="587"/>
      <c r="I373" s="587"/>
      <c r="J373" s="587"/>
      <c r="K373" s="587"/>
      <c r="L373" s="587"/>
      <c r="M373" s="587"/>
      <c r="O373" s="587"/>
      <c r="P373" s="587"/>
    </row>
    <row r="374" spans="1:16" x14ac:dyDescent="0.2">
      <c r="A374" s="589" t="s">
        <v>852</v>
      </c>
      <c r="B374" s="589"/>
      <c r="C374" s="589"/>
      <c r="D374" s="589"/>
      <c r="E374" s="589"/>
      <c r="H374" s="587"/>
      <c r="I374" s="587"/>
      <c r="J374" s="587"/>
      <c r="K374" s="587"/>
      <c r="L374" s="587"/>
      <c r="M374" s="587"/>
      <c r="O374" s="587"/>
      <c r="P374" s="587"/>
    </row>
    <row r="375" spans="1:16" x14ac:dyDescent="0.2">
      <c r="A375" s="628" t="s">
        <v>853</v>
      </c>
      <c r="B375" s="628"/>
      <c r="C375" s="628"/>
      <c r="D375" s="628"/>
      <c r="E375" s="628"/>
      <c r="F375" s="481"/>
      <c r="G375" s="481"/>
      <c r="H375" s="626">
        <v>1</v>
      </c>
      <c r="I375" s="626"/>
      <c r="J375" s="626" t="s">
        <v>774</v>
      </c>
      <c r="K375" s="626"/>
      <c r="L375" s="629">
        <v>4522.76</v>
      </c>
      <c r="M375" s="626"/>
      <c r="N375" s="481"/>
      <c r="O375" s="626">
        <f t="shared" ref="O375" si="30">H375*L375</f>
        <v>4522.76</v>
      </c>
      <c r="P375" s="626"/>
    </row>
    <row r="376" spans="1:16" x14ac:dyDescent="0.2">
      <c r="A376" s="589" t="s">
        <v>854</v>
      </c>
      <c r="B376" s="589"/>
      <c r="C376" s="589"/>
      <c r="D376" s="589"/>
      <c r="E376" s="589"/>
      <c r="H376" s="587">
        <v>2</v>
      </c>
      <c r="I376" s="587"/>
      <c r="J376" s="587" t="s">
        <v>774</v>
      </c>
      <c r="K376" s="587"/>
      <c r="L376" s="590">
        <v>1868.6</v>
      </c>
      <c r="M376" s="590"/>
      <c r="O376" s="587">
        <f>H376*L376</f>
        <v>3737.2</v>
      </c>
      <c r="P376" s="587"/>
    </row>
    <row r="377" spans="1:16" x14ac:dyDescent="0.2">
      <c r="A377" s="589" t="s">
        <v>855</v>
      </c>
      <c r="B377" s="589"/>
      <c r="C377" s="589"/>
      <c r="D377" s="589"/>
      <c r="E377" s="589"/>
      <c r="H377" s="587"/>
      <c r="I377" s="587"/>
      <c r="J377" s="587" t="s">
        <v>774</v>
      </c>
      <c r="K377" s="587"/>
      <c r="L377" s="590">
        <v>2498.39</v>
      </c>
      <c r="M377" s="590"/>
      <c r="O377" s="587">
        <f>H377*L377</f>
        <v>0</v>
      </c>
      <c r="P377" s="587"/>
    </row>
    <row r="378" spans="1:16" x14ac:dyDescent="0.2">
      <c r="A378" s="589" t="s">
        <v>856</v>
      </c>
      <c r="B378" s="589"/>
      <c r="C378" s="589"/>
      <c r="D378" s="589"/>
      <c r="E378" s="589"/>
      <c r="H378" s="587"/>
      <c r="I378" s="587"/>
      <c r="J378" s="587"/>
      <c r="K378" s="587"/>
      <c r="L378" s="590"/>
      <c r="M378" s="590"/>
      <c r="O378" s="587">
        <f t="shared" ref="O378:O385" si="31">H378*L378</f>
        <v>0</v>
      </c>
      <c r="P378" s="587"/>
    </row>
    <row r="379" spans="1:16" x14ac:dyDescent="0.2">
      <c r="A379" s="589" t="s">
        <v>857</v>
      </c>
      <c r="B379" s="589"/>
      <c r="C379" s="589"/>
      <c r="D379" s="589"/>
      <c r="E379" s="589"/>
      <c r="H379" s="587"/>
      <c r="I379" s="587"/>
      <c r="J379" s="587" t="s">
        <v>774</v>
      </c>
      <c r="K379" s="587"/>
      <c r="L379" s="590">
        <v>2455.13</v>
      </c>
      <c r="M379" s="587"/>
      <c r="O379" s="587">
        <f t="shared" si="31"/>
        <v>0</v>
      </c>
      <c r="P379" s="587"/>
    </row>
    <row r="380" spans="1:16" x14ac:dyDescent="0.2">
      <c r="A380" s="589" t="s">
        <v>858</v>
      </c>
      <c r="B380" s="589"/>
      <c r="C380" s="589"/>
      <c r="D380" s="589"/>
      <c r="E380" s="589"/>
      <c r="H380" s="587"/>
      <c r="I380" s="587"/>
      <c r="J380" s="587" t="s">
        <v>774</v>
      </c>
      <c r="K380" s="587"/>
      <c r="L380" s="590">
        <v>2049.56</v>
      </c>
      <c r="M380" s="587"/>
      <c r="O380" s="587">
        <f t="shared" si="31"/>
        <v>0</v>
      </c>
      <c r="P380" s="587"/>
    </row>
    <row r="381" spans="1:16" x14ac:dyDescent="0.2">
      <c r="A381" s="627" t="s">
        <v>859</v>
      </c>
      <c r="B381" s="628"/>
      <c r="C381" s="628"/>
      <c r="D381" s="628"/>
      <c r="E381" s="628"/>
      <c r="F381" s="481"/>
      <c r="G381" s="481"/>
      <c r="H381" s="626">
        <v>12</v>
      </c>
      <c r="I381" s="626"/>
      <c r="J381" s="626" t="s">
        <v>774</v>
      </c>
      <c r="K381" s="626"/>
      <c r="L381" s="629"/>
      <c r="M381" s="629"/>
      <c r="N381" s="481"/>
      <c r="O381" s="626">
        <f t="shared" si="31"/>
        <v>0</v>
      </c>
      <c r="P381" s="626"/>
    </row>
    <row r="382" spans="1:16" x14ac:dyDescent="0.2">
      <c r="A382" s="587"/>
      <c r="B382" s="587"/>
      <c r="C382" s="587"/>
      <c r="D382" s="587"/>
      <c r="E382" s="587"/>
      <c r="H382" s="587"/>
      <c r="I382" s="587"/>
      <c r="J382" s="587"/>
      <c r="K382" s="587"/>
      <c r="L382" s="590"/>
      <c r="M382" s="590"/>
      <c r="O382" s="587">
        <f t="shared" si="31"/>
        <v>0</v>
      </c>
      <c r="P382" s="587"/>
    </row>
    <row r="383" spans="1:16" x14ac:dyDescent="0.2">
      <c r="A383" s="587"/>
      <c r="B383" s="587"/>
      <c r="C383" s="587"/>
      <c r="D383" s="587"/>
      <c r="E383" s="587"/>
      <c r="H383" s="587"/>
      <c r="I383" s="587"/>
      <c r="J383" s="587"/>
      <c r="K383" s="587"/>
      <c r="L383" s="590"/>
      <c r="M383" s="590"/>
      <c r="O383" s="587">
        <f t="shared" si="31"/>
        <v>0</v>
      </c>
      <c r="P383" s="587"/>
    </row>
    <row r="384" spans="1:16" x14ac:dyDescent="0.2">
      <c r="A384" s="587"/>
      <c r="B384" s="587"/>
      <c r="C384" s="587"/>
      <c r="D384" s="587"/>
      <c r="E384" s="587"/>
      <c r="H384" s="587"/>
      <c r="I384" s="587"/>
      <c r="J384" s="587"/>
      <c r="K384" s="587"/>
      <c r="L384" s="590"/>
      <c r="M384" s="590"/>
      <c r="O384" s="587">
        <f t="shared" si="31"/>
        <v>0</v>
      </c>
      <c r="P384" s="587"/>
    </row>
    <row r="385" spans="1:16" x14ac:dyDescent="0.2">
      <c r="A385" s="587"/>
      <c r="B385" s="587"/>
      <c r="C385" s="587"/>
      <c r="D385" s="587"/>
      <c r="E385" s="587"/>
      <c r="H385" s="587"/>
      <c r="I385" s="587"/>
      <c r="J385" s="587"/>
      <c r="K385" s="587"/>
      <c r="L385" s="590"/>
      <c r="M385" s="590"/>
      <c r="O385" s="587">
        <f t="shared" si="31"/>
        <v>0</v>
      </c>
      <c r="P385" s="587"/>
    </row>
    <row r="386" spans="1:16" x14ac:dyDescent="0.2">
      <c r="A386" s="587"/>
      <c r="B386" s="587"/>
      <c r="C386" s="587"/>
      <c r="D386" s="587"/>
      <c r="E386" s="587"/>
      <c r="H386" s="587"/>
      <c r="I386" s="587"/>
      <c r="J386" s="587"/>
      <c r="K386" s="587"/>
      <c r="L386" s="587"/>
      <c r="M386" s="587"/>
      <c r="O386" s="587"/>
      <c r="P386" s="587"/>
    </row>
    <row r="387" spans="1:16" x14ac:dyDescent="0.2">
      <c r="A387" s="589" t="s">
        <v>860</v>
      </c>
      <c r="B387" s="589"/>
      <c r="C387" s="589"/>
      <c r="D387" s="589"/>
      <c r="E387" s="589"/>
      <c r="H387" s="587"/>
      <c r="I387" s="587"/>
      <c r="J387" s="587"/>
      <c r="K387" s="587"/>
      <c r="L387" s="587"/>
      <c r="M387" s="587"/>
      <c r="O387" s="587"/>
      <c r="P387" s="587"/>
    </row>
    <row r="388" spans="1:16" x14ac:dyDescent="0.2">
      <c r="A388" s="589" t="s">
        <v>861</v>
      </c>
      <c r="B388" s="589"/>
      <c r="C388" s="589"/>
      <c r="D388" s="589"/>
      <c r="E388" s="589"/>
      <c r="H388" s="587"/>
      <c r="I388" s="587"/>
      <c r="J388" s="587" t="s">
        <v>774</v>
      </c>
      <c r="K388" s="587"/>
      <c r="L388" s="587">
        <v>148.71</v>
      </c>
      <c r="M388" s="587"/>
      <c r="O388" s="587">
        <f>H388*L388</f>
        <v>0</v>
      </c>
      <c r="P388" s="587"/>
    </row>
    <row r="389" spans="1:16" x14ac:dyDescent="0.2">
      <c r="A389" s="587"/>
      <c r="B389" s="587"/>
      <c r="C389" s="587"/>
      <c r="D389" s="587"/>
      <c r="E389" s="587"/>
      <c r="H389" s="587"/>
      <c r="I389" s="587"/>
      <c r="J389" s="587"/>
      <c r="K389" s="587"/>
      <c r="L389" s="587"/>
      <c r="M389" s="587"/>
      <c r="O389" s="587"/>
      <c r="P389" s="587"/>
    </row>
    <row r="390" spans="1:16" hidden="1" x14ac:dyDescent="0.2">
      <c r="A390" s="589" t="s">
        <v>862</v>
      </c>
      <c r="B390" s="589"/>
      <c r="C390" s="589"/>
      <c r="D390" s="589"/>
      <c r="E390" s="589"/>
      <c r="H390" s="587"/>
      <c r="I390" s="587"/>
      <c r="J390" s="587"/>
      <c r="K390" s="587"/>
      <c r="L390" s="587"/>
      <c r="M390" s="587"/>
      <c r="O390" s="587"/>
      <c r="P390" s="587"/>
    </row>
    <row r="391" spans="1:16" hidden="1" x14ac:dyDescent="0.2">
      <c r="A391" s="589" t="s">
        <v>863</v>
      </c>
      <c r="B391" s="589"/>
      <c r="C391" s="589"/>
      <c r="D391" s="589"/>
      <c r="E391" s="589"/>
      <c r="H391" s="587"/>
      <c r="I391" s="587"/>
      <c r="J391" s="587" t="s">
        <v>774</v>
      </c>
      <c r="K391" s="587"/>
      <c r="L391" s="590">
        <v>1083.95</v>
      </c>
      <c r="M391" s="587"/>
      <c r="O391" s="587">
        <f>H391*L391</f>
        <v>0</v>
      </c>
      <c r="P391" s="587"/>
    </row>
    <row r="392" spans="1:16" hidden="1" x14ac:dyDescent="0.2">
      <c r="A392" s="589" t="s">
        <v>864</v>
      </c>
      <c r="B392" s="589"/>
      <c r="C392" s="589"/>
      <c r="D392" s="589"/>
      <c r="E392" s="589"/>
      <c r="H392" s="587"/>
      <c r="I392" s="587"/>
      <c r="J392" s="587" t="s">
        <v>774</v>
      </c>
      <c r="K392" s="587"/>
      <c r="L392" s="590">
        <v>1836.05</v>
      </c>
      <c r="M392" s="587"/>
      <c r="O392" s="587">
        <f>H392*L392</f>
        <v>0</v>
      </c>
      <c r="P392" s="587"/>
    </row>
    <row r="393" spans="1:16" hidden="1" x14ac:dyDescent="0.2">
      <c r="A393" s="587"/>
      <c r="B393" s="587"/>
      <c r="C393" s="587"/>
      <c r="D393" s="587"/>
      <c r="E393" s="587"/>
      <c r="H393" s="587"/>
      <c r="I393" s="587"/>
      <c r="J393" s="587"/>
      <c r="K393" s="587"/>
      <c r="L393" s="587"/>
      <c r="M393" s="587"/>
      <c r="O393" s="587"/>
      <c r="P393" s="587"/>
    </row>
    <row r="394" spans="1:16" x14ac:dyDescent="0.2">
      <c r="A394" s="588" t="s">
        <v>865</v>
      </c>
      <c r="B394" s="589"/>
      <c r="C394" s="589"/>
      <c r="D394" s="589"/>
      <c r="E394" s="589"/>
      <c r="H394" s="587"/>
      <c r="I394" s="587"/>
      <c r="J394" s="587" t="s">
        <v>113</v>
      </c>
      <c r="K394" s="587"/>
      <c r="L394" s="587">
        <v>550</v>
      </c>
      <c r="M394" s="587"/>
      <c r="O394" s="587">
        <f>H394*L394</f>
        <v>0</v>
      </c>
      <c r="P394" s="587"/>
    </row>
    <row r="395" spans="1:16" x14ac:dyDescent="0.2">
      <c r="A395" s="587"/>
      <c r="B395" s="587"/>
      <c r="C395" s="587"/>
      <c r="D395" s="587"/>
      <c r="E395" s="587"/>
      <c r="H395" s="587"/>
      <c r="I395" s="587"/>
      <c r="J395" s="587"/>
      <c r="K395" s="587"/>
      <c r="L395" s="587"/>
      <c r="M395" s="587"/>
      <c r="O395" s="587"/>
      <c r="P395" s="587"/>
    </row>
    <row r="396" spans="1:16" x14ac:dyDescent="0.2">
      <c r="A396" s="589" t="s">
        <v>866</v>
      </c>
      <c r="B396" s="589"/>
      <c r="C396" s="589"/>
      <c r="D396" s="589"/>
      <c r="E396" s="589"/>
      <c r="H396" s="587"/>
      <c r="I396" s="587"/>
      <c r="J396" s="587"/>
      <c r="K396" s="587"/>
      <c r="L396" s="587"/>
      <c r="M396" s="587"/>
      <c r="O396" s="587"/>
      <c r="P396" s="587"/>
    </row>
    <row r="397" spans="1:16" x14ac:dyDescent="0.2">
      <c r="A397" s="589" t="s">
        <v>867</v>
      </c>
      <c r="B397" s="589"/>
      <c r="C397" s="589"/>
      <c r="D397" s="589"/>
      <c r="E397" s="589"/>
      <c r="H397" s="587"/>
      <c r="I397" s="587"/>
      <c r="J397" s="587"/>
      <c r="K397" s="587"/>
      <c r="L397" s="587"/>
      <c r="M397" s="587"/>
      <c r="O397" s="587"/>
      <c r="P397" s="587"/>
    </row>
    <row r="398" spans="1:16" x14ac:dyDescent="0.2">
      <c r="A398" s="589" t="s">
        <v>868</v>
      </c>
      <c r="B398" s="589"/>
      <c r="C398" s="589"/>
      <c r="D398" s="589"/>
      <c r="E398" s="589"/>
      <c r="H398" s="587"/>
      <c r="I398" s="587"/>
      <c r="J398" s="587"/>
      <c r="K398" s="587"/>
      <c r="L398" s="587"/>
      <c r="M398" s="587"/>
      <c r="O398" s="587"/>
      <c r="P398" s="587"/>
    </row>
    <row r="399" spans="1:16" x14ac:dyDescent="0.2">
      <c r="A399" s="589" t="s">
        <v>869</v>
      </c>
      <c r="B399" s="589"/>
      <c r="C399" s="589"/>
      <c r="D399" s="589"/>
      <c r="E399" s="589"/>
      <c r="H399" s="587">
        <v>1</v>
      </c>
      <c r="I399" s="587"/>
      <c r="J399" s="587" t="s">
        <v>774</v>
      </c>
      <c r="K399" s="587"/>
      <c r="L399" s="590">
        <v>5120.37</v>
      </c>
      <c r="M399" s="587"/>
      <c r="O399" s="587">
        <f t="shared" ref="O399:O400" si="32">H399*L399</f>
        <v>5120.37</v>
      </c>
      <c r="P399" s="587"/>
    </row>
    <row r="400" spans="1:16" x14ac:dyDescent="0.2">
      <c r="A400" s="589" t="s">
        <v>870</v>
      </c>
      <c r="B400" s="589"/>
      <c r="C400" s="589"/>
      <c r="D400" s="589"/>
      <c r="E400" s="589"/>
      <c r="H400" s="587">
        <v>1</v>
      </c>
      <c r="I400" s="587"/>
      <c r="J400" s="587" t="s">
        <v>774</v>
      </c>
      <c r="K400" s="587"/>
      <c r="L400" s="590">
        <v>5485.28</v>
      </c>
      <c r="M400" s="587"/>
      <c r="O400" s="587">
        <f t="shared" si="32"/>
        <v>5485.28</v>
      </c>
      <c r="P400" s="587"/>
    </row>
    <row r="401" spans="1:16" x14ac:dyDescent="0.2">
      <c r="A401" s="588" t="s">
        <v>871</v>
      </c>
      <c r="B401" s="589"/>
      <c r="C401" s="589"/>
      <c r="D401" s="589"/>
      <c r="E401" s="589"/>
      <c r="H401" s="587"/>
      <c r="I401" s="587"/>
      <c r="J401" s="587" t="s">
        <v>774</v>
      </c>
      <c r="K401" s="587"/>
      <c r="L401" s="587">
        <v>5913.11</v>
      </c>
      <c r="M401" s="587"/>
      <c r="O401" s="587">
        <f t="shared" ref="O401" si="33">H401*L401</f>
        <v>0</v>
      </c>
      <c r="P401" s="587"/>
    </row>
    <row r="402" spans="1:16" x14ac:dyDescent="0.2">
      <c r="A402" s="587"/>
      <c r="B402" s="587"/>
      <c r="C402" s="587"/>
      <c r="D402" s="587"/>
      <c r="E402" s="587"/>
      <c r="H402" s="587"/>
      <c r="I402" s="587"/>
      <c r="J402" s="587"/>
      <c r="K402" s="587"/>
      <c r="L402" s="587"/>
      <c r="M402" s="587"/>
      <c r="O402" s="587"/>
      <c r="P402" s="587"/>
    </row>
    <row r="403" spans="1:16" x14ac:dyDescent="0.2">
      <c r="A403" s="588" t="s">
        <v>872</v>
      </c>
      <c r="B403" s="589"/>
      <c r="C403" s="589"/>
      <c r="D403" s="589"/>
      <c r="E403" s="589"/>
      <c r="H403" s="587"/>
      <c r="I403" s="587"/>
      <c r="J403" s="587" t="s">
        <v>774</v>
      </c>
      <c r="K403" s="587"/>
      <c r="L403" s="587">
        <v>600</v>
      </c>
      <c r="M403" s="587"/>
      <c r="O403" s="587">
        <f>H403*L403</f>
        <v>0</v>
      </c>
      <c r="P403" s="587"/>
    </row>
    <row r="404" spans="1:16" x14ac:dyDescent="0.2">
      <c r="A404" s="588" t="s">
        <v>873</v>
      </c>
      <c r="B404" s="589"/>
      <c r="C404" s="589"/>
      <c r="D404" s="589"/>
      <c r="E404" s="589"/>
      <c r="H404" s="587"/>
      <c r="I404" s="587"/>
      <c r="J404" s="587" t="s">
        <v>774</v>
      </c>
      <c r="K404" s="587"/>
      <c r="L404" s="587">
        <v>1200</v>
      </c>
      <c r="M404" s="587"/>
      <c r="O404" s="587">
        <f>H404*L404</f>
        <v>0</v>
      </c>
      <c r="P404" s="587"/>
    </row>
    <row r="405" spans="1:16" x14ac:dyDescent="0.2">
      <c r="A405" s="588" t="s">
        <v>874</v>
      </c>
      <c r="B405" s="589"/>
      <c r="C405" s="589"/>
      <c r="D405" s="589"/>
      <c r="E405" s="589"/>
      <c r="H405" s="587"/>
      <c r="I405" s="587"/>
      <c r="J405" s="587" t="s">
        <v>774</v>
      </c>
      <c r="K405" s="587"/>
      <c r="L405" s="587">
        <v>722</v>
      </c>
      <c r="M405" s="587"/>
      <c r="O405" s="587">
        <f t="shared" ref="O405:O407" si="34">H405*L405</f>
        <v>0</v>
      </c>
      <c r="P405" s="587"/>
    </row>
    <row r="406" spans="1:16" x14ac:dyDescent="0.2">
      <c r="A406" s="588" t="s">
        <v>875</v>
      </c>
      <c r="B406" s="589"/>
      <c r="C406" s="589"/>
      <c r="D406" s="589"/>
      <c r="E406" s="589"/>
      <c r="H406" s="587"/>
      <c r="I406" s="587"/>
      <c r="J406" s="587" t="s">
        <v>774</v>
      </c>
      <c r="K406" s="587"/>
      <c r="L406" s="587">
        <v>2200</v>
      </c>
      <c r="M406" s="587"/>
      <c r="O406" s="587">
        <f t="shared" si="34"/>
        <v>0</v>
      </c>
      <c r="P406" s="587"/>
    </row>
    <row r="407" spans="1:16" x14ac:dyDescent="0.2">
      <c r="A407" s="588" t="s">
        <v>876</v>
      </c>
      <c r="B407" s="589"/>
      <c r="C407" s="589"/>
      <c r="D407" s="589"/>
      <c r="E407" s="589"/>
      <c r="H407" s="587"/>
      <c r="I407" s="587"/>
      <c r="J407" s="587" t="s">
        <v>774</v>
      </c>
      <c r="K407" s="587"/>
      <c r="L407" s="587">
        <v>1500</v>
      </c>
      <c r="M407" s="587"/>
      <c r="O407" s="587">
        <f t="shared" si="34"/>
        <v>0</v>
      </c>
      <c r="P407" s="587"/>
    </row>
    <row r="408" spans="1:16" x14ac:dyDescent="0.2">
      <c r="A408" s="588" t="s">
        <v>877</v>
      </c>
      <c r="B408" s="589"/>
      <c r="C408" s="589"/>
      <c r="D408" s="589"/>
      <c r="E408" s="589"/>
      <c r="H408" s="587"/>
      <c r="I408" s="587"/>
      <c r="J408" s="587" t="s">
        <v>774</v>
      </c>
      <c r="K408" s="587"/>
      <c r="L408" s="587">
        <v>2144</v>
      </c>
      <c r="M408" s="587"/>
      <c r="O408" s="587">
        <f t="shared" ref="O408" si="35">H408*L408</f>
        <v>0</v>
      </c>
      <c r="P408" s="587"/>
    </row>
    <row r="409" spans="1:16" x14ac:dyDescent="0.2">
      <c r="A409" s="410"/>
      <c r="B409" s="410"/>
      <c r="C409" s="410"/>
      <c r="D409" s="410"/>
      <c r="E409" s="410"/>
      <c r="H409" s="410"/>
      <c r="I409" s="410"/>
      <c r="J409" s="410"/>
      <c r="K409" s="410"/>
      <c r="L409" s="410"/>
      <c r="M409" s="410"/>
      <c r="O409" s="410"/>
      <c r="P409" s="410"/>
    </row>
    <row r="410" spans="1:16" hidden="1" x14ac:dyDescent="0.2">
      <c r="A410" s="589" t="s">
        <v>878</v>
      </c>
      <c r="B410" s="589"/>
      <c r="C410" s="589"/>
      <c r="D410" s="589"/>
      <c r="E410" s="589"/>
      <c r="H410" s="587"/>
      <c r="I410" s="587"/>
      <c r="J410" s="587" t="s">
        <v>679</v>
      </c>
      <c r="K410" s="587"/>
      <c r="L410" s="590">
        <v>6627.44</v>
      </c>
      <c r="M410" s="587"/>
      <c r="O410" s="587">
        <f t="shared" ref="O410" si="36">H410*L410</f>
        <v>0</v>
      </c>
      <c r="P410" s="587"/>
    </row>
    <row r="411" spans="1:16" hidden="1" x14ac:dyDescent="0.2">
      <c r="A411" s="591" t="s">
        <v>879</v>
      </c>
      <c r="B411" s="592"/>
      <c r="C411" s="592"/>
      <c r="D411" s="592"/>
      <c r="E411" s="592"/>
      <c r="H411" s="587"/>
      <c r="I411" s="587"/>
      <c r="J411" s="587"/>
      <c r="K411" s="587"/>
      <c r="L411" s="587"/>
      <c r="M411" s="587"/>
      <c r="O411" s="587"/>
      <c r="P411" s="587"/>
    </row>
    <row r="412" spans="1:16" hidden="1" x14ac:dyDescent="0.2">
      <c r="A412" s="587"/>
      <c r="B412" s="587"/>
      <c r="C412" s="587"/>
      <c r="D412" s="587"/>
      <c r="E412" s="587"/>
      <c r="H412" s="587"/>
      <c r="I412" s="587"/>
      <c r="J412" s="587"/>
      <c r="K412" s="587"/>
      <c r="L412" s="587"/>
      <c r="M412" s="587"/>
      <c r="O412" s="587"/>
      <c r="P412" s="587"/>
    </row>
    <row r="413" spans="1:16" hidden="1" x14ac:dyDescent="0.2">
      <c r="A413" s="587"/>
      <c r="B413" s="587"/>
      <c r="C413" s="587"/>
      <c r="D413" s="587"/>
      <c r="E413" s="587"/>
      <c r="H413" s="587"/>
      <c r="I413" s="587"/>
      <c r="J413" s="587"/>
      <c r="K413" s="587"/>
      <c r="L413" s="587"/>
      <c r="M413" s="587"/>
      <c r="O413" s="587"/>
      <c r="P413" s="587"/>
    </row>
    <row r="414" spans="1:16" hidden="1" x14ac:dyDescent="0.2">
      <c r="A414" s="589" t="s">
        <v>880</v>
      </c>
      <c r="B414" s="589"/>
      <c r="C414" s="589"/>
      <c r="D414" s="589"/>
      <c r="E414" s="589"/>
      <c r="H414" s="587"/>
      <c r="I414" s="587"/>
      <c r="J414" s="587"/>
      <c r="K414" s="587"/>
      <c r="L414" s="587"/>
      <c r="M414" s="587"/>
      <c r="O414" s="587"/>
      <c r="P414" s="587"/>
    </row>
    <row r="415" spans="1:16" hidden="1" x14ac:dyDescent="0.2">
      <c r="A415" s="589" t="s">
        <v>881</v>
      </c>
      <c r="B415" s="589"/>
      <c r="C415" s="589"/>
      <c r="D415" s="589"/>
      <c r="E415" s="589"/>
      <c r="H415" s="587"/>
      <c r="I415" s="587"/>
      <c r="J415" s="587" t="s">
        <v>348</v>
      </c>
      <c r="K415" s="587"/>
      <c r="L415" s="587">
        <v>15.84</v>
      </c>
      <c r="M415" s="587"/>
      <c r="O415" s="587">
        <f>H415*L415</f>
        <v>0</v>
      </c>
      <c r="P415" s="587"/>
    </row>
    <row r="416" spans="1:16" hidden="1" x14ac:dyDescent="0.2">
      <c r="A416" s="589" t="s">
        <v>882</v>
      </c>
      <c r="B416" s="589"/>
      <c r="C416" s="589"/>
      <c r="D416" s="589"/>
      <c r="E416" s="589"/>
      <c r="H416" s="587"/>
      <c r="I416" s="587"/>
      <c r="J416" s="587" t="s">
        <v>679</v>
      </c>
      <c r="K416" s="587"/>
      <c r="L416" s="590">
        <v>1983.84</v>
      </c>
      <c r="M416" s="587"/>
      <c r="O416" s="587">
        <f t="shared" ref="O416:O423" si="37">H416*L416</f>
        <v>0</v>
      </c>
      <c r="P416" s="587"/>
    </row>
    <row r="417" spans="1:16" hidden="1" x14ac:dyDescent="0.2">
      <c r="A417" s="589" t="s">
        <v>883</v>
      </c>
      <c r="B417" s="589"/>
      <c r="C417" s="589"/>
      <c r="D417" s="589"/>
      <c r="E417" s="589"/>
      <c r="H417" s="587"/>
      <c r="I417" s="587"/>
      <c r="J417" s="587" t="s">
        <v>113</v>
      </c>
      <c r="K417" s="587"/>
      <c r="L417" s="587">
        <v>38</v>
      </c>
      <c r="M417" s="587"/>
      <c r="O417" s="587">
        <f t="shared" si="37"/>
        <v>0</v>
      </c>
      <c r="P417" s="587"/>
    </row>
    <row r="418" spans="1:16" hidden="1" x14ac:dyDescent="0.2">
      <c r="A418" s="589" t="s">
        <v>884</v>
      </c>
      <c r="B418" s="589"/>
      <c r="C418" s="589"/>
      <c r="D418" s="589"/>
      <c r="E418" s="589"/>
      <c r="H418" s="587"/>
      <c r="I418" s="587"/>
      <c r="J418" s="587" t="s">
        <v>348</v>
      </c>
      <c r="K418" s="587"/>
      <c r="L418" s="587">
        <v>237.75</v>
      </c>
      <c r="M418" s="587"/>
      <c r="O418" s="587">
        <f t="shared" si="37"/>
        <v>0</v>
      </c>
      <c r="P418" s="587"/>
    </row>
    <row r="419" spans="1:16" hidden="1" x14ac:dyDescent="0.2">
      <c r="A419" s="589" t="s">
        <v>885</v>
      </c>
      <c r="B419" s="589"/>
      <c r="C419" s="589"/>
      <c r="D419" s="589"/>
      <c r="E419" s="589"/>
      <c r="H419" s="587"/>
      <c r="I419" s="587"/>
      <c r="J419" s="587" t="s">
        <v>348</v>
      </c>
      <c r="K419" s="587"/>
      <c r="L419" s="587">
        <v>303.76</v>
      </c>
      <c r="M419" s="587"/>
      <c r="O419" s="587">
        <f t="shared" si="37"/>
        <v>0</v>
      </c>
      <c r="P419" s="587"/>
    </row>
    <row r="420" spans="1:16" hidden="1" x14ac:dyDescent="0.2">
      <c r="A420" s="589" t="s">
        <v>886</v>
      </c>
      <c r="B420" s="589"/>
      <c r="C420" s="589"/>
      <c r="D420" s="589"/>
      <c r="E420" s="589"/>
      <c r="H420" s="587"/>
      <c r="I420" s="587"/>
      <c r="J420" s="587" t="s">
        <v>348</v>
      </c>
      <c r="K420" s="587"/>
      <c r="L420" s="587">
        <v>224.73</v>
      </c>
      <c r="M420" s="587"/>
      <c r="O420" s="587">
        <f t="shared" si="37"/>
        <v>0</v>
      </c>
      <c r="P420" s="587"/>
    </row>
    <row r="421" spans="1:16" hidden="1" x14ac:dyDescent="0.2">
      <c r="A421" s="589" t="s">
        <v>887</v>
      </c>
      <c r="B421" s="589"/>
      <c r="C421" s="589"/>
      <c r="D421" s="589"/>
      <c r="E421" s="589"/>
      <c r="H421" s="587"/>
      <c r="I421" s="587"/>
      <c r="J421" s="587" t="s">
        <v>313</v>
      </c>
      <c r="K421" s="587"/>
      <c r="L421" s="587">
        <v>17.61</v>
      </c>
      <c r="M421" s="587"/>
      <c r="O421" s="587">
        <f t="shared" si="37"/>
        <v>0</v>
      </c>
      <c r="P421" s="587"/>
    </row>
    <row r="422" spans="1:16" hidden="1" x14ac:dyDescent="0.2">
      <c r="A422" s="589" t="s">
        <v>888</v>
      </c>
      <c r="B422" s="589"/>
      <c r="C422" s="589"/>
      <c r="D422" s="589"/>
      <c r="E422" s="589"/>
      <c r="H422" s="410"/>
      <c r="I422" s="410"/>
      <c r="J422" s="587" t="s">
        <v>679</v>
      </c>
      <c r="K422" s="587"/>
      <c r="L422" s="590">
        <v>4408.54</v>
      </c>
      <c r="M422" s="587"/>
      <c r="O422" s="587">
        <f t="shared" si="37"/>
        <v>0</v>
      </c>
      <c r="P422" s="587"/>
    </row>
    <row r="423" spans="1:16" hidden="1" x14ac:dyDescent="0.2">
      <c r="A423" s="589" t="s">
        <v>889</v>
      </c>
      <c r="B423" s="589"/>
      <c r="C423" s="589"/>
      <c r="D423" s="589"/>
      <c r="E423" s="589"/>
      <c r="H423" s="410"/>
      <c r="I423" s="410"/>
      <c r="J423" s="587" t="s">
        <v>679</v>
      </c>
      <c r="K423" s="587"/>
      <c r="L423" s="590">
        <v>16097.45</v>
      </c>
      <c r="M423" s="587"/>
      <c r="O423" s="587">
        <f t="shared" si="37"/>
        <v>0</v>
      </c>
      <c r="P423" s="587"/>
    </row>
    <row r="424" spans="1:16" hidden="1" x14ac:dyDescent="0.2">
      <c r="A424" s="589" t="s">
        <v>890</v>
      </c>
      <c r="B424" s="589"/>
      <c r="C424" s="589"/>
      <c r="D424" s="589"/>
      <c r="E424" s="589"/>
      <c r="H424" s="410"/>
      <c r="I424" s="410"/>
      <c r="J424" s="587"/>
      <c r="K424" s="587"/>
      <c r="L424" s="587"/>
      <c r="M424" s="587"/>
      <c r="O424" s="587"/>
      <c r="P424" s="587"/>
    </row>
    <row r="425" spans="1:16" hidden="1" x14ac:dyDescent="0.2">
      <c r="A425" s="589" t="s">
        <v>891</v>
      </c>
      <c r="B425" s="589"/>
      <c r="C425" s="589"/>
      <c r="D425" s="589"/>
      <c r="E425" s="589"/>
      <c r="H425" s="410"/>
      <c r="I425" s="410"/>
      <c r="J425" s="587"/>
      <c r="K425" s="587"/>
      <c r="L425" s="587"/>
      <c r="M425" s="587"/>
      <c r="O425" s="587"/>
      <c r="P425" s="587"/>
    </row>
    <row r="426" spans="1:16" hidden="1" x14ac:dyDescent="0.2">
      <c r="A426" s="589" t="s">
        <v>892</v>
      </c>
      <c r="B426" s="589"/>
      <c r="C426" s="589"/>
      <c r="D426" s="589"/>
      <c r="E426" s="589"/>
      <c r="H426" s="410"/>
      <c r="I426" s="410"/>
      <c r="J426" s="587"/>
      <c r="K426" s="587"/>
      <c r="L426" s="587"/>
      <c r="M426" s="587"/>
      <c r="O426" s="587"/>
      <c r="P426" s="587"/>
    </row>
    <row r="427" spans="1:16" hidden="1" x14ac:dyDescent="0.2">
      <c r="A427" s="587"/>
      <c r="B427" s="587"/>
      <c r="C427" s="587"/>
      <c r="D427" s="587"/>
      <c r="E427" s="587"/>
      <c r="H427" s="587"/>
      <c r="I427" s="587"/>
      <c r="J427" s="587"/>
      <c r="K427" s="587"/>
      <c r="L427" s="587"/>
      <c r="M427" s="587"/>
      <c r="O427" s="587"/>
      <c r="P427" s="587"/>
    </row>
    <row r="428" spans="1:16" hidden="1" x14ac:dyDescent="0.2">
      <c r="A428" s="589" t="s">
        <v>893</v>
      </c>
      <c r="B428" s="589"/>
      <c r="C428" s="589"/>
      <c r="D428" s="589"/>
      <c r="E428" s="589"/>
      <c r="H428" s="410"/>
      <c r="I428" s="410"/>
      <c r="J428" s="587"/>
      <c r="K428" s="587"/>
      <c r="L428" s="587"/>
      <c r="M428" s="587"/>
      <c r="O428" s="587"/>
      <c r="P428" s="587"/>
    </row>
    <row r="429" spans="1:16" hidden="1" x14ac:dyDescent="0.2">
      <c r="A429" s="589" t="s">
        <v>894</v>
      </c>
      <c r="B429" s="589"/>
      <c r="C429" s="589"/>
      <c r="D429" s="589"/>
      <c r="E429" s="589"/>
      <c r="H429" s="410"/>
      <c r="I429" s="410"/>
      <c r="J429" s="587" t="s">
        <v>313</v>
      </c>
      <c r="K429" s="587"/>
      <c r="L429" s="587">
        <v>151.03</v>
      </c>
      <c r="M429" s="587"/>
      <c r="O429" s="587">
        <f t="shared" ref="O429" si="38">H429*L429</f>
        <v>0</v>
      </c>
      <c r="P429" s="587"/>
    </row>
    <row r="430" spans="1:16" hidden="1" x14ac:dyDescent="0.2">
      <c r="A430" s="587"/>
      <c r="B430" s="587"/>
      <c r="C430" s="587"/>
      <c r="D430" s="587"/>
      <c r="E430" s="587"/>
      <c r="H430" s="410"/>
      <c r="I430" s="410"/>
      <c r="J430" s="587"/>
      <c r="K430" s="587"/>
      <c r="L430" s="587"/>
      <c r="M430" s="587"/>
      <c r="O430" s="587"/>
      <c r="P430" s="587"/>
    </row>
    <row r="431" spans="1:16" x14ac:dyDescent="0.2">
      <c r="A431" s="587"/>
      <c r="B431" s="587"/>
      <c r="C431" s="587"/>
      <c r="D431" s="587"/>
      <c r="E431" s="587"/>
      <c r="H431" s="410"/>
      <c r="I431" s="410"/>
      <c r="J431" s="587"/>
      <c r="K431" s="587"/>
      <c r="L431" s="587"/>
      <c r="M431" s="587"/>
      <c r="O431" s="587"/>
      <c r="P431" s="587"/>
    </row>
    <row r="432" spans="1:16" x14ac:dyDescent="0.2">
      <c r="A432" s="589" t="s">
        <v>895</v>
      </c>
      <c r="B432" s="589"/>
      <c r="C432" s="589"/>
      <c r="D432" s="589"/>
      <c r="E432" s="589"/>
      <c r="H432" s="587"/>
      <c r="I432" s="587"/>
      <c r="J432" s="587"/>
      <c r="K432" s="587"/>
      <c r="L432" s="587"/>
      <c r="M432" s="587"/>
      <c r="O432" s="587"/>
      <c r="P432" s="587"/>
    </row>
    <row r="433" spans="1:16" x14ac:dyDescent="0.2">
      <c r="A433" s="589" t="s">
        <v>896</v>
      </c>
      <c r="B433" s="589"/>
      <c r="C433" s="589"/>
      <c r="D433" s="589"/>
      <c r="E433" s="589"/>
      <c r="H433" s="587"/>
      <c r="I433" s="587"/>
      <c r="J433" s="587"/>
      <c r="K433" s="587"/>
      <c r="L433" s="587"/>
      <c r="M433" s="587"/>
      <c r="O433" s="587"/>
      <c r="P433" s="587"/>
    </row>
    <row r="434" spans="1:16" x14ac:dyDescent="0.2">
      <c r="A434" s="589" t="s">
        <v>897</v>
      </c>
      <c r="B434" s="589"/>
      <c r="C434" s="589"/>
      <c r="D434" s="589"/>
      <c r="E434" s="589"/>
      <c r="H434" s="587"/>
      <c r="I434" s="587"/>
      <c r="J434" s="587"/>
      <c r="K434" s="587"/>
      <c r="L434" s="587"/>
      <c r="M434" s="587"/>
      <c r="O434" s="587"/>
      <c r="P434" s="587"/>
    </row>
    <row r="435" spans="1:16" x14ac:dyDescent="0.2">
      <c r="A435" s="589" t="s">
        <v>898</v>
      </c>
      <c r="B435" s="589"/>
      <c r="C435" s="589"/>
      <c r="D435" s="589"/>
      <c r="E435" s="589"/>
      <c r="H435" s="587"/>
      <c r="I435" s="587"/>
      <c r="J435" s="587"/>
      <c r="K435" s="587"/>
      <c r="L435" s="587"/>
      <c r="M435" s="587"/>
      <c r="O435" s="587"/>
      <c r="P435" s="587"/>
    </row>
    <row r="436" spans="1:16" x14ac:dyDescent="0.2">
      <c r="A436" s="589" t="s">
        <v>899</v>
      </c>
      <c r="B436" s="589"/>
      <c r="C436" s="589"/>
      <c r="D436" s="589"/>
      <c r="E436" s="589"/>
      <c r="H436" s="587"/>
      <c r="I436" s="587"/>
      <c r="J436" s="587"/>
      <c r="K436" s="587"/>
      <c r="L436" s="587"/>
      <c r="M436" s="587"/>
      <c r="O436" s="587"/>
      <c r="P436" s="587"/>
    </row>
    <row r="437" spans="1:16" x14ac:dyDescent="0.2">
      <c r="A437" s="589" t="s">
        <v>900</v>
      </c>
      <c r="B437" s="589"/>
      <c r="C437" s="589"/>
      <c r="D437" s="589"/>
      <c r="E437" s="589"/>
      <c r="H437" s="587">
        <v>1</v>
      </c>
      <c r="I437" s="587"/>
      <c r="J437" s="587" t="s">
        <v>679</v>
      </c>
      <c r="K437" s="587"/>
      <c r="L437" s="590">
        <v>1038.79</v>
      </c>
      <c r="M437" s="587"/>
      <c r="O437" s="587">
        <f t="shared" ref="O437:O438" si="39">H437*L437</f>
        <v>1038.79</v>
      </c>
      <c r="P437" s="587"/>
    </row>
    <row r="438" spans="1:16" x14ac:dyDescent="0.2">
      <c r="A438" s="589" t="s">
        <v>901</v>
      </c>
      <c r="B438" s="589"/>
      <c r="C438" s="589"/>
      <c r="D438" s="589"/>
      <c r="E438" s="589"/>
      <c r="H438" s="587">
        <v>1</v>
      </c>
      <c r="I438" s="587"/>
      <c r="J438" s="587" t="s">
        <v>679</v>
      </c>
      <c r="K438" s="587"/>
      <c r="L438" s="590">
        <v>1038.79</v>
      </c>
      <c r="M438" s="587"/>
      <c r="O438" s="587">
        <f t="shared" si="39"/>
        <v>1038.79</v>
      </c>
      <c r="P438" s="587"/>
    </row>
    <row r="439" spans="1:16" x14ac:dyDescent="0.2">
      <c r="A439" s="587"/>
      <c r="B439" s="587"/>
      <c r="C439" s="587"/>
      <c r="D439" s="587"/>
      <c r="E439" s="587"/>
      <c r="H439" s="587"/>
      <c r="I439" s="587"/>
      <c r="J439" s="587"/>
      <c r="K439" s="587"/>
      <c r="L439" s="587"/>
      <c r="M439" s="587"/>
      <c r="O439" s="587"/>
      <c r="P439" s="587"/>
    </row>
    <row r="440" spans="1:16" x14ac:dyDescent="0.2">
      <c r="A440" s="627" t="s">
        <v>902</v>
      </c>
      <c r="B440" s="628"/>
      <c r="C440" s="628"/>
      <c r="D440" s="628"/>
      <c r="E440" s="628"/>
      <c r="F440" s="481"/>
      <c r="G440" s="481"/>
      <c r="H440" s="626">
        <v>25.51</v>
      </c>
      <c r="I440" s="626"/>
      <c r="J440" s="632" t="s">
        <v>113</v>
      </c>
      <c r="K440" s="626"/>
      <c r="L440" s="626"/>
      <c r="M440" s="626"/>
      <c r="N440" s="481"/>
      <c r="O440" s="626">
        <f t="shared" ref="O440" si="40">H440*L440</f>
        <v>0</v>
      </c>
      <c r="P440" s="626"/>
    </row>
    <row r="441" spans="1:16" x14ac:dyDescent="0.2">
      <c r="A441" s="627" t="s">
        <v>903</v>
      </c>
      <c r="B441" s="628"/>
      <c r="C441" s="628"/>
      <c r="D441" s="628"/>
      <c r="E441" s="628"/>
      <c r="F441" s="481"/>
      <c r="G441" s="481"/>
      <c r="H441" s="626">
        <v>162.78</v>
      </c>
      <c r="I441" s="626"/>
      <c r="J441" s="632" t="s">
        <v>113</v>
      </c>
      <c r="K441" s="626"/>
      <c r="L441" s="626"/>
      <c r="M441" s="626"/>
      <c r="N441" s="481"/>
      <c r="O441" s="626">
        <f t="shared" ref="O441:O442" si="41">H441*L441</f>
        <v>0</v>
      </c>
      <c r="P441" s="626"/>
    </row>
    <row r="442" spans="1:16" x14ac:dyDescent="0.2">
      <c r="A442" s="627" t="s">
        <v>904</v>
      </c>
      <c r="B442" s="628"/>
      <c r="C442" s="628"/>
      <c r="D442" s="628"/>
      <c r="E442" s="628"/>
      <c r="F442" s="481"/>
      <c r="G442" s="481"/>
      <c r="H442" s="626">
        <v>16.8</v>
      </c>
      <c r="I442" s="626"/>
      <c r="J442" s="632" t="s">
        <v>348</v>
      </c>
      <c r="K442" s="626"/>
      <c r="L442" s="626"/>
      <c r="M442" s="626"/>
      <c r="N442" s="481"/>
      <c r="O442" s="626">
        <f t="shared" si="41"/>
        <v>0</v>
      </c>
      <c r="P442" s="626"/>
    </row>
    <row r="443" spans="1:16" x14ac:dyDescent="0.2">
      <c r="A443" s="627"/>
      <c r="B443" s="628"/>
      <c r="C443" s="628"/>
      <c r="D443" s="628"/>
      <c r="E443" s="628"/>
      <c r="F443" s="481"/>
      <c r="G443" s="481"/>
      <c r="H443" s="626"/>
      <c r="I443" s="626"/>
      <c r="J443" s="626"/>
      <c r="K443" s="626"/>
      <c r="L443" s="626"/>
      <c r="M443" s="626"/>
      <c r="N443" s="481"/>
      <c r="O443" s="626"/>
      <c r="P443" s="626"/>
    </row>
    <row r="444" spans="1:16" x14ac:dyDescent="0.2">
      <c r="A444" s="627" t="s">
        <v>905</v>
      </c>
      <c r="B444" s="628"/>
      <c r="C444" s="628"/>
      <c r="D444" s="628"/>
      <c r="E444" s="628"/>
      <c r="F444" s="481"/>
      <c r="G444" s="481"/>
      <c r="H444" s="626"/>
      <c r="I444" s="626"/>
      <c r="J444" s="626"/>
      <c r="K444" s="626"/>
      <c r="L444" s="626"/>
      <c r="M444" s="626"/>
      <c r="N444" s="481"/>
      <c r="O444" s="626"/>
      <c r="P444" s="626"/>
    </row>
    <row r="445" spans="1:16" x14ac:dyDescent="0.2">
      <c r="A445" s="627" t="s">
        <v>906</v>
      </c>
      <c r="B445" s="628"/>
      <c r="C445" s="628"/>
      <c r="D445" s="628"/>
      <c r="E445" s="628"/>
      <c r="F445" s="481"/>
      <c r="G445" s="481"/>
      <c r="H445" s="626">
        <v>3.73</v>
      </c>
      <c r="I445" s="626"/>
      <c r="J445" s="632" t="s">
        <v>113</v>
      </c>
      <c r="K445" s="626"/>
      <c r="L445" s="626"/>
      <c r="M445" s="626"/>
      <c r="N445" s="481"/>
      <c r="O445" s="626">
        <f t="shared" ref="O445" si="42">H445*L445</f>
        <v>0</v>
      </c>
      <c r="P445" s="626"/>
    </row>
    <row r="446" spans="1:16" x14ac:dyDescent="0.2">
      <c r="A446" s="627" t="s">
        <v>907</v>
      </c>
      <c r="B446" s="628"/>
      <c r="C446" s="628"/>
      <c r="D446" s="628"/>
      <c r="E446" s="628"/>
      <c r="F446" s="481"/>
      <c r="G446" s="481"/>
      <c r="H446" s="626">
        <v>20.46</v>
      </c>
      <c r="I446" s="626"/>
      <c r="J446" s="632" t="s">
        <v>113</v>
      </c>
      <c r="K446" s="626"/>
      <c r="L446" s="626"/>
      <c r="M446" s="626"/>
      <c r="N446" s="481"/>
      <c r="O446" s="626">
        <f t="shared" ref="O446:O448" si="43">H446*L446</f>
        <v>0</v>
      </c>
      <c r="P446" s="626"/>
    </row>
    <row r="447" spans="1:16" x14ac:dyDescent="0.2">
      <c r="A447" s="627" t="s">
        <v>908</v>
      </c>
      <c r="B447" s="628"/>
      <c r="C447" s="628"/>
      <c r="D447" s="628"/>
      <c r="E447" s="628"/>
      <c r="F447" s="481"/>
      <c r="G447" s="481"/>
      <c r="H447" s="626">
        <v>6.21</v>
      </c>
      <c r="I447" s="626"/>
      <c r="J447" s="632" t="s">
        <v>113</v>
      </c>
      <c r="K447" s="626"/>
      <c r="L447" s="626"/>
      <c r="M447" s="626"/>
      <c r="N447" s="481"/>
      <c r="O447" s="626">
        <f t="shared" si="43"/>
        <v>0</v>
      </c>
      <c r="P447" s="626"/>
    </row>
    <row r="448" spans="1:16" x14ac:dyDescent="0.2">
      <c r="A448" s="627" t="s">
        <v>909</v>
      </c>
      <c r="B448" s="628"/>
      <c r="C448" s="628"/>
      <c r="D448" s="628"/>
      <c r="E448" s="628"/>
      <c r="F448" s="481"/>
      <c r="G448" s="481"/>
      <c r="H448" s="626">
        <v>16</v>
      </c>
      <c r="I448" s="626"/>
      <c r="J448" s="632" t="s">
        <v>76</v>
      </c>
      <c r="K448" s="626"/>
      <c r="L448" s="626"/>
      <c r="M448" s="626"/>
      <c r="N448" s="481"/>
      <c r="O448" s="626">
        <f t="shared" si="43"/>
        <v>0</v>
      </c>
      <c r="P448" s="626"/>
    </row>
    <row r="449" spans="1:16" x14ac:dyDescent="0.2">
      <c r="A449" s="626"/>
      <c r="B449" s="626"/>
      <c r="C449" s="626"/>
      <c r="D449" s="626"/>
      <c r="E449" s="626"/>
      <c r="F449" s="481"/>
      <c r="G449" s="481"/>
      <c r="H449" s="626"/>
      <c r="I449" s="626"/>
      <c r="J449" s="626"/>
      <c r="K449" s="626"/>
      <c r="L449" s="626"/>
      <c r="M449" s="626"/>
      <c r="N449" s="481"/>
      <c r="O449" s="626"/>
      <c r="P449" s="626"/>
    </row>
    <row r="450" spans="1:16" x14ac:dyDescent="0.2">
      <c r="A450" s="627" t="s">
        <v>910</v>
      </c>
      <c r="B450" s="628"/>
      <c r="C450" s="628"/>
      <c r="D450" s="628"/>
      <c r="E450" s="628"/>
      <c r="F450" s="481"/>
      <c r="G450" s="481"/>
      <c r="H450" s="626"/>
      <c r="I450" s="626"/>
      <c r="J450" s="626"/>
      <c r="K450" s="626"/>
      <c r="L450" s="626"/>
      <c r="M450" s="626"/>
      <c r="N450" s="481"/>
      <c r="O450" s="626"/>
      <c r="P450" s="626"/>
    </row>
    <row r="451" spans="1:16" x14ac:dyDescent="0.2">
      <c r="A451" s="627" t="s">
        <v>911</v>
      </c>
      <c r="B451" s="628"/>
      <c r="C451" s="628"/>
      <c r="D451" s="628"/>
      <c r="E451" s="628"/>
      <c r="F451" s="481"/>
      <c r="G451" s="481"/>
      <c r="H451" s="626">
        <v>2</v>
      </c>
      <c r="I451" s="626"/>
      <c r="J451" s="632" t="s">
        <v>76</v>
      </c>
      <c r="K451" s="626"/>
      <c r="L451" s="626"/>
      <c r="M451" s="626"/>
      <c r="N451" s="481"/>
      <c r="O451" s="626">
        <f t="shared" ref="O451" si="44">H451*L451</f>
        <v>0</v>
      </c>
      <c r="P451" s="626"/>
    </row>
    <row r="452" spans="1:16" x14ac:dyDescent="0.2">
      <c r="A452" s="627" t="s">
        <v>912</v>
      </c>
      <c r="B452" s="628"/>
      <c r="C452" s="628"/>
      <c r="D452" s="628"/>
      <c r="E452" s="628"/>
      <c r="F452" s="481"/>
      <c r="G452" s="481"/>
      <c r="H452" s="626">
        <v>2</v>
      </c>
      <c r="I452" s="626"/>
      <c r="J452" s="632" t="s">
        <v>76</v>
      </c>
      <c r="K452" s="626"/>
      <c r="L452" s="626"/>
      <c r="M452" s="626"/>
      <c r="N452" s="481"/>
      <c r="O452" s="626">
        <f t="shared" ref="O452:O461" si="45">H452*L452</f>
        <v>0</v>
      </c>
      <c r="P452" s="626"/>
    </row>
    <row r="453" spans="1:16" x14ac:dyDescent="0.2">
      <c r="A453" s="627" t="s">
        <v>913</v>
      </c>
      <c r="B453" s="628"/>
      <c r="C453" s="628"/>
      <c r="D453" s="628"/>
      <c r="E453" s="628"/>
      <c r="F453" s="481"/>
      <c r="G453" s="481"/>
      <c r="H453" s="626">
        <v>292</v>
      </c>
      <c r="I453" s="626"/>
      <c r="J453" s="632" t="s">
        <v>313</v>
      </c>
      <c r="K453" s="626"/>
      <c r="L453" s="626"/>
      <c r="M453" s="626"/>
      <c r="N453" s="481"/>
      <c r="O453" s="626">
        <f t="shared" si="45"/>
        <v>0</v>
      </c>
      <c r="P453" s="626"/>
    </row>
    <row r="454" spans="1:16" x14ac:dyDescent="0.2">
      <c r="A454" s="627" t="s">
        <v>914</v>
      </c>
      <c r="B454" s="628"/>
      <c r="C454" s="628"/>
      <c r="D454" s="628"/>
      <c r="E454" s="628"/>
      <c r="F454" s="481"/>
      <c r="G454" s="481"/>
      <c r="H454" s="626">
        <v>2</v>
      </c>
      <c r="I454" s="626"/>
      <c r="J454" s="632" t="s">
        <v>76</v>
      </c>
      <c r="K454" s="626"/>
      <c r="L454" s="626"/>
      <c r="M454" s="626"/>
      <c r="N454" s="481"/>
      <c r="O454" s="626">
        <f t="shared" si="45"/>
        <v>0</v>
      </c>
      <c r="P454" s="626"/>
    </row>
    <row r="455" spans="1:16" x14ac:dyDescent="0.2">
      <c r="A455" s="627" t="s">
        <v>915</v>
      </c>
      <c r="B455" s="628"/>
      <c r="C455" s="628"/>
      <c r="D455" s="628"/>
      <c r="E455" s="628"/>
      <c r="F455" s="481"/>
      <c r="G455" s="481"/>
      <c r="H455" s="626">
        <v>1</v>
      </c>
      <c r="I455" s="626"/>
      <c r="J455" s="632" t="s">
        <v>76</v>
      </c>
      <c r="K455" s="626"/>
      <c r="L455" s="626"/>
      <c r="M455" s="626"/>
      <c r="N455" s="481"/>
      <c r="O455" s="626">
        <f t="shared" si="45"/>
        <v>0</v>
      </c>
      <c r="P455" s="626"/>
    </row>
    <row r="456" spans="1:16" x14ac:dyDescent="0.2">
      <c r="A456" s="627" t="s">
        <v>916</v>
      </c>
      <c r="B456" s="628"/>
      <c r="C456" s="628"/>
      <c r="D456" s="628"/>
      <c r="E456" s="628"/>
      <c r="F456" s="481"/>
      <c r="G456" s="481"/>
      <c r="H456" s="626">
        <v>1</v>
      </c>
      <c r="I456" s="626"/>
      <c r="J456" s="632" t="s">
        <v>76</v>
      </c>
      <c r="K456" s="626"/>
      <c r="L456" s="626"/>
      <c r="M456" s="626"/>
      <c r="N456" s="481"/>
      <c r="O456" s="626">
        <f t="shared" si="45"/>
        <v>0</v>
      </c>
      <c r="P456" s="626"/>
    </row>
    <row r="457" spans="1:16" x14ac:dyDescent="0.2">
      <c r="A457" s="627" t="s">
        <v>917</v>
      </c>
      <c r="B457" s="628"/>
      <c r="C457" s="628"/>
      <c r="D457" s="628"/>
      <c r="E457" s="628"/>
      <c r="F457" s="481"/>
      <c r="G457" s="481"/>
      <c r="H457" s="626">
        <v>1</v>
      </c>
      <c r="I457" s="626"/>
      <c r="J457" s="632" t="s">
        <v>76</v>
      </c>
      <c r="K457" s="626"/>
      <c r="L457" s="626"/>
      <c r="M457" s="626"/>
      <c r="N457" s="481"/>
      <c r="O457" s="626">
        <f t="shared" si="45"/>
        <v>0</v>
      </c>
      <c r="P457" s="626"/>
    </row>
    <row r="458" spans="1:16" x14ac:dyDescent="0.2">
      <c r="A458" s="627" t="s">
        <v>918</v>
      </c>
      <c r="B458" s="628"/>
      <c r="C458" s="628"/>
      <c r="D458" s="628"/>
      <c r="E458" s="628"/>
      <c r="F458" s="481"/>
      <c r="G458" s="481"/>
      <c r="H458" s="626">
        <v>1</v>
      </c>
      <c r="I458" s="626"/>
      <c r="J458" s="632" t="s">
        <v>76</v>
      </c>
      <c r="K458" s="626"/>
      <c r="L458" s="626"/>
      <c r="M458" s="626"/>
      <c r="N458" s="481"/>
      <c r="O458" s="626">
        <f t="shared" si="45"/>
        <v>0</v>
      </c>
      <c r="P458" s="626"/>
    </row>
    <row r="459" spans="1:16" x14ac:dyDescent="0.2">
      <c r="A459" s="626"/>
      <c r="B459" s="626"/>
      <c r="C459" s="626"/>
      <c r="D459" s="626"/>
      <c r="E459" s="626"/>
      <c r="F459" s="481"/>
      <c r="G459" s="481"/>
      <c r="H459" s="626"/>
      <c r="I459" s="626"/>
      <c r="J459" s="626"/>
      <c r="K459" s="626"/>
      <c r="L459" s="626"/>
      <c r="M459" s="626"/>
      <c r="N459" s="481"/>
      <c r="O459" s="626">
        <f t="shared" si="45"/>
        <v>0</v>
      </c>
      <c r="P459" s="626"/>
    </row>
    <row r="460" spans="1:16" x14ac:dyDescent="0.2">
      <c r="A460" s="627" t="s">
        <v>919</v>
      </c>
      <c r="B460" s="628"/>
      <c r="C460" s="628"/>
      <c r="D460" s="628"/>
      <c r="E460" s="628"/>
      <c r="F460" s="481"/>
      <c r="G460" s="481"/>
      <c r="H460" s="626">
        <v>1</v>
      </c>
      <c r="I460" s="626"/>
      <c r="J460" s="632" t="s">
        <v>76</v>
      </c>
      <c r="K460" s="626"/>
      <c r="L460" s="626"/>
      <c r="M460" s="626"/>
      <c r="N460" s="481"/>
      <c r="O460" s="626">
        <f t="shared" si="45"/>
        <v>0</v>
      </c>
      <c r="P460" s="626"/>
    </row>
    <row r="461" spans="1:16" x14ac:dyDescent="0.2">
      <c r="A461" s="627" t="s">
        <v>920</v>
      </c>
      <c r="B461" s="628"/>
      <c r="C461" s="628"/>
      <c r="D461" s="628"/>
      <c r="E461" s="628"/>
      <c r="F461" s="481"/>
      <c r="G461" s="481"/>
      <c r="H461" s="626">
        <v>345</v>
      </c>
      <c r="I461" s="626"/>
      <c r="J461" s="632" t="s">
        <v>113</v>
      </c>
      <c r="K461" s="626"/>
      <c r="L461" s="626"/>
      <c r="M461" s="626"/>
      <c r="N461" s="481"/>
      <c r="O461" s="626">
        <f t="shared" si="45"/>
        <v>0</v>
      </c>
      <c r="P461" s="626"/>
    </row>
    <row r="462" spans="1:16" x14ac:dyDescent="0.2">
      <c r="A462" s="587"/>
      <c r="B462" s="587"/>
      <c r="C462" s="587"/>
      <c r="D462" s="587"/>
      <c r="E462" s="587"/>
      <c r="H462" s="587"/>
      <c r="I462" s="587"/>
      <c r="J462" s="587"/>
      <c r="K462" s="587"/>
      <c r="L462" s="587"/>
      <c r="M462" s="587"/>
      <c r="O462" s="626"/>
      <c r="P462" s="626"/>
    </row>
    <row r="463" spans="1:16" ht="15.75" thickBot="1" x14ac:dyDescent="0.3">
      <c r="A463" s="630" t="s">
        <v>921</v>
      </c>
      <c r="B463" s="630"/>
      <c r="C463" s="630"/>
      <c r="D463" s="630"/>
      <c r="E463" s="630"/>
      <c r="H463" s="587"/>
      <c r="I463" s="587"/>
      <c r="J463" s="587"/>
      <c r="K463" s="587"/>
      <c r="L463" s="587"/>
      <c r="M463" s="587"/>
      <c r="O463" s="631">
        <f>SUM(O335:P462)</f>
        <v>25129.8652</v>
      </c>
      <c r="P463" s="631"/>
    </row>
    <row r="464" spans="1:16" ht="15.75" thickTop="1" x14ac:dyDescent="0.25">
      <c r="A464" s="599" t="s">
        <v>656</v>
      </c>
      <c r="B464" s="599"/>
      <c r="C464" s="599"/>
      <c r="D464" s="599"/>
      <c r="E464" s="599"/>
      <c r="H464" s="587"/>
      <c r="I464" s="587"/>
      <c r="J464" s="587"/>
      <c r="K464" s="587"/>
      <c r="L464" s="587"/>
      <c r="M464" s="587"/>
      <c r="O464" s="587"/>
      <c r="P464" s="587"/>
    </row>
    <row r="465" spans="1:16" x14ac:dyDescent="0.2">
      <c r="A465" s="587"/>
      <c r="B465" s="587"/>
      <c r="C465" s="587"/>
      <c r="D465" s="587"/>
      <c r="E465" s="587"/>
      <c r="H465" s="587"/>
      <c r="I465" s="587"/>
      <c r="J465" s="587"/>
      <c r="K465" s="587"/>
      <c r="L465" s="587"/>
      <c r="M465" s="587"/>
      <c r="O465" s="587"/>
      <c r="P465" s="587"/>
    </row>
    <row r="466" spans="1:16" x14ac:dyDescent="0.2">
      <c r="A466" s="587"/>
      <c r="B466" s="587"/>
      <c r="C466" s="587"/>
      <c r="D466" s="587"/>
      <c r="E466" s="587"/>
      <c r="H466" s="587"/>
      <c r="I466" s="587"/>
      <c r="J466" s="587"/>
      <c r="K466" s="587"/>
      <c r="L466" s="587"/>
      <c r="M466" s="587"/>
      <c r="O466" s="587"/>
      <c r="P466" s="587"/>
    </row>
    <row r="467" spans="1:16" x14ac:dyDescent="0.2">
      <c r="A467" s="587"/>
      <c r="B467" s="587"/>
      <c r="C467" s="587"/>
      <c r="D467" s="587"/>
      <c r="E467" s="587"/>
      <c r="H467" s="587"/>
      <c r="I467" s="587"/>
      <c r="J467" s="587"/>
      <c r="K467" s="587"/>
      <c r="L467" s="587"/>
      <c r="M467" s="587"/>
      <c r="O467" s="587"/>
      <c r="P467" s="587"/>
    </row>
    <row r="468" spans="1:16" ht="15" x14ac:dyDescent="0.25">
      <c r="A468" s="625" t="s">
        <v>922</v>
      </c>
      <c r="B468" s="625"/>
      <c r="C468" s="625"/>
      <c r="D468" s="625"/>
      <c r="E468" s="625"/>
      <c r="F468" s="471"/>
      <c r="G468" s="471"/>
      <c r="H468" s="619"/>
      <c r="I468" s="619"/>
      <c r="J468" s="619"/>
      <c r="K468" s="619"/>
      <c r="L468" s="619"/>
      <c r="M468" s="619"/>
      <c r="N468" s="471"/>
      <c r="O468" s="619"/>
      <c r="P468" s="619"/>
    </row>
    <row r="469" spans="1:16" x14ac:dyDescent="0.2">
      <c r="A469" s="587"/>
      <c r="B469" s="587"/>
      <c r="C469" s="587"/>
      <c r="D469" s="587"/>
      <c r="E469" s="587"/>
      <c r="H469" s="587"/>
      <c r="I469" s="587"/>
      <c r="J469" s="587"/>
      <c r="K469" s="587"/>
      <c r="L469" s="587"/>
      <c r="M469" s="587"/>
      <c r="O469" s="587"/>
      <c r="P469" s="587"/>
    </row>
    <row r="470" spans="1:16" hidden="1" x14ac:dyDescent="0.2">
      <c r="A470" s="589" t="s">
        <v>923</v>
      </c>
      <c r="B470" s="589"/>
      <c r="C470" s="589"/>
      <c r="D470" s="589"/>
      <c r="E470" s="589"/>
      <c r="H470" s="587"/>
      <c r="I470" s="587"/>
      <c r="J470" s="587"/>
      <c r="K470" s="587"/>
      <c r="L470" s="587"/>
      <c r="M470" s="587"/>
      <c r="O470" s="587"/>
      <c r="P470" s="587"/>
    </row>
    <row r="471" spans="1:16" hidden="1" x14ac:dyDescent="0.2">
      <c r="A471" s="589" t="s">
        <v>924</v>
      </c>
      <c r="B471" s="589"/>
      <c r="C471" s="589"/>
      <c r="D471" s="589"/>
      <c r="E471" s="589"/>
      <c r="H471" s="587"/>
      <c r="I471" s="587"/>
      <c r="J471" s="587"/>
      <c r="K471" s="587"/>
      <c r="L471" s="587"/>
      <c r="M471" s="587"/>
      <c r="O471" s="587"/>
      <c r="P471" s="587"/>
    </row>
    <row r="472" spans="1:16" hidden="1" x14ac:dyDescent="0.2">
      <c r="A472" s="589" t="s">
        <v>925</v>
      </c>
      <c r="B472" s="589"/>
      <c r="C472" s="589"/>
      <c r="D472" s="589"/>
      <c r="E472" s="589"/>
      <c r="H472" s="587"/>
      <c r="I472" s="587"/>
      <c r="J472" s="587"/>
      <c r="K472" s="587"/>
      <c r="L472" s="587"/>
      <c r="M472" s="587"/>
      <c r="O472" s="587"/>
      <c r="P472" s="587"/>
    </row>
    <row r="473" spans="1:16" hidden="1" x14ac:dyDescent="0.2">
      <c r="A473" s="589" t="s">
        <v>926</v>
      </c>
      <c r="B473" s="589"/>
      <c r="C473" s="589"/>
      <c r="D473" s="589"/>
      <c r="E473" s="589"/>
      <c r="H473" s="587"/>
      <c r="I473" s="587"/>
      <c r="J473" s="587"/>
      <c r="K473" s="587"/>
      <c r="L473" s="587"/>
      <c r="M473" s="587"/>
      <c r="O473" s="587"/>
      <c r="P473" s="587"/>
    </row>
    <row r="474" spans="1:16" hidden="1" x14ac:dyDescent="0.2">
      <c r="A474" s="589" t="s">
        <v>927</v>
      </c>
      <c r="B474" s="589"/>
      <c r="C474" s="589"/>
      <c r="D474" s="589"/>
      <c r="E474" s="589"/>
      <c r="H474" s="587"/>
      <c r="I474" s="587"/>
      <c r="J474" s="587"/>
      <c r="K474" s="587"/>
      <c r="L474" s="587"/>
      <c r="M474" s="587"/>
      <c r="O474" s="587"/>
      <c r="P474" s="587"/>
    </row>
    <row r="475" spans="1:16" hidden="1" x14ac:dyDescent="0.2">
      <c r="A475" s="589" t="s">
        <v>928</v>
      </c>
      <c r="B475" s="589"/>
      <c r="C475" s="589"/>
      <c r="D475" s="589"/>
      <c r="E475" s="589"/>
      <c r="H475" s="587"/>
      <c r="I475" s="587"/>
      <c r="J475" s="587"/>
      <c r="K475" s="587"/>
      <c r="L475" s="587"/>
      <c r="M475" s="587"/>
      <c r="O475" s="587"/>
      <c r="P475" s="587"/>
    </row>
    <row r="476" spans="1:16" hidden="1" x14ac:dyDescent="0.2">
      <c r="A476" s="589" t="s">
        <v>929</v>
      </c>
      <c r="B476" s="589"/>
      <c r="C476" s="589"/>
      <c r="D476" s="589"/>
      <c r="E476" s="589"/>
      <c r="H476" s="587"/>
      <c r="I476" s="587"/>
      <c r="J476" s="587" t="s">
        <v>785</v>
      </c>
      <c r="K476" s="587"/>
      <c r="L476" s="587">
        <v>132.15</v>
      </c>
      <c r="M476" s="587"/>
      <c r="O476" s="587">
        <f>H476*L476</f>
        <v>0</v>
      </c>
      <c r="P476" s="587"/>
    </row>
    <row r="477" spans="1:16" hidden="1" x14ac:dyDescent="0.2">
      <c r="A477" s="589" t="s">
        <v>930</v>
      </c>
      <c r="B477" s="589"/>
      <c r="C477" s="589"/>
      <c r="D477" s="589"/>
      <c r="E477" s="589"/>
      <c r="H477" s="587"/>
      <c r="I477" s="587"/>
      <c r="J477" s="587" t="s">
        <v>785</v>
      </c>
      <c r="K477" s="587"/>
      <c r="L477" s="587">
        <v>209.15</v>
      </c>
      <c r="M477" s="587"/>
      <c r="O477" s="587">
        <f t="shared" ref="O477:O479" si="46">H477*L477</f>
        <v>0</v>
      </c>
      <c r="P477" s="587"/>
    </row>
    <row r="478" spans="1:16" hidden="1" x14ac:dyDescent="0.2">
      <c r="A478" s="589" t="s">
        <v>931</v>
      </c>
      <c r="B478" s="589"/>
      <c r="C478" s="589"/>
      <c r="D478" s="589"/>
      <c r="E478" s="589"/>
      <c r="H478" s="587"/>
      <c r="I478" s="587"/>
      <c r="J478" s="587" t="s">
        <v>679</v>
      </c>
      <c r="K478" s="587"/>
      <c r="L478" s="590">
        <v>10515.48</v>
      </c>
      <c r="M478" s="587"/>
      <c r="O478" s="587">
        <f t="shared" si="46"/>
        <v>0</v>
      </c>
      <c r="P478" s="587"/>
    </row>
    <row r="479" spans="1:16" hidden="1" x14ac:dyDescent="0.2">
      <c r="A479" s="588" t="s">
        <v>932</v>
      </c>
      <c r="B479" s="589"/>
      <c r="C479" s="589"/>
      <c r="D479" s="589"/>
      <c r="E479" s="589"/>
      <c r="H479" s="587">
        <v>16.850000000000001</v>
      </c>
      <c r="I479" s="587"/>
      <c r="J479" s="587" t="s">
        <v>785</v>
      </c>
      <c r="K479" s="587"/>
      <c r="L479" s="633"/>
      <c r="M479" s="633"/>
      <c r="O479" s="587">
        <f t="shared" si="46"/>
        <v>0</v>
      </c>
      <c r="P479" s="587"/>
    </row>
    <row r="480" spans="1:16" hidden="1" x14ac:dyDescent="0.2">
      <c r="A480" s="589" t="s">
        <v>933</v>
      </c>
      <c r="B480" s="589"/>
      <c r="C480" s="589"/>
      <c r="D480" s="589"/>
      <c r="E480" s="589"/>
      <c r="H480" s="587"/>
      <c r="I480" s="587"/>
      <c r="J480" s="587"/>
      <c r="K480" s="587"/>
      <c r="L480" s="587"/>
      <c r="M480" s="587"/>
      <c r="O480" s="587"/>
      <c r="P480" s="587"/>
    </row>
    <row r="481" spans="1:16" hidden="1" x14ac:dyDescent="0.2">
      <c r="A481" s="589" t="s">
        <v>934</v>
      </c>
      <c r="B481" s="589"/>
      <c r="C481" s="589"/>
      <c r="D481" s="589"/>
      <c r="E481" s="589"/>
      <c r="H481" s="587"/>
      <c r="I481" s="587"/>
      <c r="J481" s="587"/>
      <c r="K481" s="587"/>
      <c r="L481" s="587"/>
      <c r="M481" s="587"/>
      <c r="O481" s="587"/>
      <c r="P481" s="587"/>
    </row>
    <row r="482" spans="1:16" hidden="1" x14ac:dyDescent="0.2">
      <c r="A482" s="589" t="s">
        <v>935</v>
      </c>
      <c r="B482" s="589"/>
      <c r="C482" s="589"/>
      <c r="D482" s="589"/>
      <c r="E482" s="589"/>
      <c r="H482" s="587"/>
      <c r="I482" s="587"/>
      <c r="J482" s="587"/>
      <c r="K482" s="587"/>
      <c r="L482" s="587"/>
      <c r="M482" s="587"/>
      <c r="O482" s="587"/>
      <c r="P482" s="587"/>
    </row>
    <row r="483" spans="1:16" hidden="1" x14ac:dyDescent="0.2">
      <c r="A483" s="587"/>
      <c r="B483" s="587"/>
      <c r="C483" s="587"/>
      <c r="D483" s="587"/>
      <c r="E483" s="587"/>
      <c r="H483" s="587"/>
      <c r="I483" s="587"/>
      <c r="J483" s="587"/>
      <c r="K483" s="587"/>
      <c r="L483" s="587"/>
      <c r="M483" s="587"/>
      <c r="O483" s="587"/>
      <c r="P483" s="587"/>
    </row>
    <row r="484" spans="1:16" hidden="1" x14ac:dyDescent="0.2">
      <c r="A484" s="587"/>
      <c r="B484" s="587"/>
      <c r="C484" s="587"/>
      <c r="D484" s="587"/>
      <c r="E484" s="587"/>
      <c r="H484" s="587"/>
      <c r="I484" s="587"/>
      <c r="J484" s="587"/>
      <c r="K484" s="587"/>
      <c r="L484" s="587"/>
      <c r="M484" s="587"/>
      <c r="O484" s="587"/>
      <c r="P484" s="587"/>
    </row>
    <row r="485" spans="1:16" hidden="1" x14ac:dyDescent="0.2">
      <c r="A485" s="589" t="s">
        <v>936</v>
      </c>
      <c r="B485" s="589"/>
      <c r="C485" s="589"/>
      <c r="D485" s="589"/>
      <c r="E485" s="589"/>
      <c r="H485" s="587"/>
      <c r="I485" s="587"/>
      <c r="J485" s="587"/>
      <c r="K485" s="587"/>
      <c r="L485" s="587"/>
      <c r="M485" s="587"/>
      <c r="O485" s="587"/>
      <c r="P485" s="587"/>
    </row>
    <row r="486" spans="1:16" hidden="1" x14ac:dyDescent="0.2">
      <c r="A486" s="589" t="s">
        <v>937</v>
      </c>
      <c r="B486" s="589"/>
      <c r="C486" s="589"/>
      <c r="D486" s="589"/>
      <c r="E486" s="589"/>
      <c r="H486" s="587"/>
      <c r="I486" s="587"/>
      <c r="J486" s="587"/>
      <c r="K486" s="587"/>
      <c r="L486" s="587"/>
      <c r="M486" s="587"/>
      <c r="O486" s="587"/>
      <c r="P486" s="587"/>
    </row>
    <row r="487" spans="1:16" hidden="1" x14ac:dyDescent="0.2">
      <c r="A487" s="589" t="s">
        <v>938</v>
      </c>
      <c r="B487" s="589"/>
      <c r="C487" s="589"/>
      <c r="D487" s="589"/>
      <c r="E487" s="589"/>
      <c r="H487" s="587"/>
      <c r="I487" s="587"/>
      <c r="J487" s="587" t="s">
        <v>662</v>
      </c>
      <c r="K487" s="587"/>
      <c r="L487" s="587">
        <v>25</v>
      </c>
      <c r="M487" s="587"/>
      <c r="O487" s="587">
        <f t="shared" ref="O487:O488" si="47">H487*L487</f>
        <v>0</v>
      </c>
      <c r="P487" s="587"/>
    </row>
    <row r="488" spans="1:16" hidden="1" x14ac:dyDescent="0.2">
      <c r="A488" s="589" t="s">
        <v>939</v>
      </c>
      <c r="B488" s="589"/>
      <c r="C488" s="589"/>
      <c r="D488" s="589"/>
      <c r="E488" s="589"/>
      <c r="H488" s="587"/>
      <c r="I488" s="587"/>
      <c r="J488" s="587" t="s">
        <v>662</v>
      </c>
      <c r="K488" s="587"/>
      <c r="L488" s="587">
        <v>180</v>
      </c>
      <c r="M488" s="587"/>
      <c r="O488" s="587">
        <f t="shared" si="47"/>
        <v>0</v>
      </c>
      <c r="P488" s="587"/>
    </row>
    <row r="489" spans="1:16" hidden="1" x14ac:dyDescent="0.2">
      <c r="A489" s="587"/>
      <c r="B489" s="587"/>
      <c r="C489" s="587"/>
      <c r="D489" s="587"/>
      <c r="E489" s="587"/>
      <c r="H489" s="587"/>
      <c r="I489" s="587"/>
      <c r="J489" s="587"/>
      <c r="K489" s="587"/>
      <c r="L489" s="587"/>
      <c r="M489" s="587"/>
      <c r="O489" s="587"/>
      <c r="P489" s="587"/>
    </row>
    <row r="490" spans="1:16" hidden="1" x14ac:dyDescent="0.2">
      <c r="A490" s="587"/>
      <c r="B490" s="587"/>
      <c r="C490" s="587"/>
      <c r="D490" s="587"/>
      <c r="E490" s="587"/>
      <c r="H490" s="587"/>
      <c r="I490" s="587"/>
      <c r="J490" s="587"/>
      <c r="K490" s="587"/>
      <c r="L490" s="587"/>
      <c r="M490" s="587"/>
      <c r="O490" s="587"/>
      <c r="P490" s="587"/>
    </row>
    <row r="491" spans="1:16" hidden="1" x14ac:dyDescent="0.2">
      <c r="A491" s="589" t="s">
        <v>940</v>
      </c>
      <c r="B491" s="589"/>
      <c r="C491" s="589"/>
      <c r="D491" s="589"/>
      <c r="E491" s="589"/>
      <c r="H491" s="587"/>
      <c r="I491" s="587"/>
      <c r="J491" s="587"/>
      <c r="K491" s="587"/>
      <c r="L491" s="587"/>
      <c r="M491" s="587"/>
      <c r="O491" s="587"/>
      <c r="P491" s="587"/>
    </row>
    <row r="492" spans="1:16" hidden="1" x14ac:dyDescent="0.2">
      <c r="A492" s="589" t="s">
        <v>941</v>
      </c>
      <c r="B492" s="589"/>
      <c r="C492" s="589"/>
      <c r="D492" s="589"/>
      <c r="E492" s="589"/>
      <c r="H492" s="587"/>
      <c r="I492" s="587"/>
      <c r="J492" s="587"/>
      <c r="K492" s="587"/>
      <c r="L492" s="587"/>
      <c r="M492" s="587"/>
      <c r="O492" s="587"/>
      <c r="P492" s="587"/>
    </row>
    <row r="493" spans="1:16" hidden="1" x14ac:dyDescent="0.2">
      <c r="A493" s="589" t="s">
        <v>942</v>
      </c>
      <c r="B493" s="589"/>
      <c r="C493" s="589"/>
      <c r="D493" s="589"/>
      <c r="E493" s="589"/>
      <c r="H493" s="587"/>
      <c r="I493" s="587"/>
      <c r="J493" s="587"/>
      <c r="K493" s="587"/>
      <c r="L493" s="587"/>
      <c r="M493" s="587"/>
      <c r="O493" s="587"/>
      <c r="P493" s="587"/>
    </row>
    <row r="494" spans="1:16" hidden="1" x14ac:dyDescent="0.2">
      <c r="A494" s="589" t="s">
        <v>943</v>
      </c>
      <c r="B494" s="589"/>
      <c r="C494" s="589"/>
      <c r="D494" s="589"/>
      <c r="E494" s="589"/>
      <c r="H494" s="587"/>
      <c r="I494" s="587"/>
      <c r="J494" s="587"/>
      <c r="K494" s="587"/>
      <c r="L494" s="587"/>
      <c r="M494" s="587"/>
      <c r="O494" s="587"/>
      <c r="P494" s="587"/>
    </row>
    <row r="495" spans="1:16" hidden="1" x14ac:dyDescent="0.2">
      <c r="A495" s="589" t="s">
        <v>944</v>
      </c>
      <c r="B495" s="589"/>
      <c r="C495" s="589"/>
      <c r="D495" s="589"/>
      <c r="E495" s="589"/>
      <c r="H495" s="587"/>
      <c r="I495" s="587"/>
      <c r="J495" s="587" t="s">
        <v>774</v>
      </c>
      <c r="K495" s="587"/>
      <c r="L495" s="590">
        <v>1005.89</v>
      </c>
      <c r="M495" s="587"/>
      <c r="O495" s="587">
        <f t="shared" ref="O495:O496" si="48">H495*L495</f>
        <v>0</v>
      </c>
      <c r="P495" s="587"/>
    </row>
    <row r="496" spans="1:16" hidden="1" x14ac:dyDescent="0.2">
      <c r="A496" s="589" t="s">
        <v>945</v>
      </c>
      <c r="B496" s="589"/>
      <c r="C496" s="589"/>
      <c r="D496" s="589"/>
      <c r="E496" s="589"/>
      <c r="H496" s="587"/>
      <c r="I496" s="587"/>
      <c r="J496" s="587" t="s">
        <v>774</v>
      </c>
      <c r="K496" s="587"/>
      <c r="L496" s="587">
        <v>879.53</v>
      </c>
      <c r="M496" s="587"/>
      <c r="O496" s="587">
        <f t="shared" si="48"/>
        <v>0</v>
      </c>
      <c r="P496" s="587"/>
    </row>
    <row r="497" spans="1:16" hidden="1" x14ac:dyDescent="0.2">
      <c r="A497" s="587"/>
      <c r="B497" s="587"/>
      <c r="C497" s="587"/>
      <c r="D497" s="587"/>
      <c r="E497" s="587"/>
      <c r="H497" s="587"/>
      <c r="I497" s="587"/>
      <c r="J497" s="587"/>
      <c r="K497" s="587"/>
      <c r="L497" s="587"/>
      <c r="M497" s="587"/>
      <c r="O497" s="587"/>
      <c r="P497" s="587"/>
    </row>
    <row r="498" spans="1:16" hidden="1" x14ac:dyDescent="0.2">
      <c r="A498" s="587"/>
      <c r="B498" s="587"/>
      <c r="C498" s="587"/>
      <c r="D498" s="587"/>
      <c r="E498" s="587"/>
      <c r="H498" s="587"/>
      <c r="I498" s="587"/>
      <c r="J498" s="587"/>
      <c r="K498" s="587"/>
      <c r="L498" s="587"/>
      <c r="M498" s="587"/>
      <c r="O498" s="587"/>
      <c r="P498" s="587"/>
    </row>
    <row r="499" spans="1:16" hidden="1" x14ac:dyDescent="0.2">
      <c r="A499" s="589" t="s">
        <v>946</v>
      </c>
      <c r="B499" s="589"/>
      <c r="C499" s="589"/>
      <c r="D499" s="589"/>
      <c r="E499" s="589"/>
      <c r="H499" s="587"/>
      <c r="I499" s="587"/>
      <c r="J499" s="587"/>
      <c r="K499" s="587"/>
      <c r="L499" s="587"/>
      <c r="M499" s="587"/>
      <c r="O499" s="587"/>
      <c r="P499" s="587"/>
    </row>
    <row r="500" spans="1:16" hidden="1" x14ac:dyDescent="0.2">
      <c r="A500" s="589" t="s">
        <v>947</v>
      </c>
      <c r="B500" s="589"/>
      <c r="C500" s="589"/>
      <c r="D500" s="589"/>
      <c r="E500" s="589"/>
      <c r="H500" s="587"/>
      <c r="I500" s="587"/>
      <c r="J500" s="587"/>
      <c r="K500" s="587"/>
      <c r="L500" s="587"/>
      <c r="M500" s="587"/>
      <c r="O500" s="587"/>
      <c r="P500" s="587"/>
    </row>
    <row r="501" spans="1:16" hidden="1" x14ac:dyDescent="0.2">
      <c r="A501" s="589" t="s">
        <v>948</v>
      </c>
      <c r="B501" s="589"/>
      <c r="C501" s="589"/>
      <c r="D501" s="589"/>
      <c r="E501" s="589"/>
      <c r="H501" s="587"/>
      <c r="I501" s="587"/>
      <c r="J501" s="587"/>
      <c r="K501" s="587"/>
      <c r="L501" s="587"/>
      <c r="M501" s="587"/>
      <c r="O501" s="587"/>
      <c r="P501" s="587"/>
    </row>
    <row r="502" spans="1:16" hidden="1" x14ac:dyDescent="0.2">
      <c r="A502" s="589" t="s">
        <v>949</v>
      </c>
      <c r="B502" s="589"/>
      <c r="C502" s="589"/>
      <c r="D502" s="589"/>
      <c r="E502" s="589"/>
      <c r="H502" s="587"/>
      <c r="I502" s="587"/>
      <c r="J502" s="587"/>
      <c r="K502" s="587"/>
      <c r="L502" s="587"/>
      <c r="M502" s="587"/>
      <c r="O502" s="587"/>
      <c r="P502" s="587"/>
    </row>
    <row r="503" spans="1:16" hidden="1" x14ac:dyDescent="0.2">
      <c r="A503" s="589" t="s">
        <v>950</v>
      </c>
      <c r="B503" s="589"/>
      <c r="C503" s="589"/>
      <c r="D503" s="589"/>
      <c r="E503" s="589"/>
      <c r="H503" s="587"/>
      <c r="I503" s="587"/>
      <c r="J503" s="587" t="s">
        <v>774</v>
      </c>
      <c r="K503" s="587"/>
      <c r="L503" s="590">
        <v>1884.31</v>
      </c>
      <c r="M503" s="587"/>
      <c r="O503" s="587">
        <f t="shared" ref="O503" si="49">H503*L503</f>
        <v>0</v>
      </c>
      <c r="P503" s="587"/>
    </row>
    <row r="504" spans="1:16" hidden="1" x14ac:dyDescent="0.2">
      <c r="A504" s="589" t="s">
        <v>951</v>
      </c>
      <c r="B504" s="589"/>
      <c r="C504" s="589"/>
      <c r="D504" s="589"/>
      <c r="E504" s="589"/>
      <c r="H504" s="587"/>
      <c r="I504" s="587"/>
      <c r="J504" s="587"/>
      <c r="K504" s="587"/>
      <c r="L504" s="587"/>
      <c r="M504" s="587"/>
      <c r="O504" s="587"/>
      <c r="P504" s="587"/>
    </row>
    <row r="505" spans="1:16" hidden="1" x14ac:dyDescent="0.2">
      <c r="A505" s="587"/>
      <c r="B505" s="587"/>
      <c r="C505" s="587"/>
      <c r="D505" s="587"/>
      <c r="E505" s="587"/>
      <c r="H505" s="587"/>
      <c r="I505" s="587"/>
      <c r="J505" s="587"/>
      <c r="K505" s="587"/>
      <c r="L505" s="587"/>
      <c r="M505" s="587"/>
      <c r="O505" s="587"/>
      <c r="P505" s="587"/>
    </row>
    <row r="506" spans="1:16" hidden="1" x14ac:dyDescent="0.2">
      <c r="A506" s="587"/>
      <c r="B506" s="587"/>
      <c r="C506" s="587"/>
      <c r="D506" s="587"/>
      <c r="E506" s="587"/>
      <c r="H506" s="587"/>
      <c r="I506" s="587"/>
      <c r="J506" s="587"/>
      <c r="K506" s="587"/>
      <c r="L506" s="587"/>
      <c r="M506" s="587"/>
      <c r="O506" s="587"/>
      <c r="P506" s="587"/>
    </row>
    <row r="507" spans="1:16" hidden="1" x14ac:dyDescent="0.2">
      <c r="A507" s="589" t="s">
        <v>952</v>
      </c>
      <c r="B507" s="589"/>
      <c r="C507" s="589"/>
      <c r="D507" s="589"/>
      <c r="E507" s="589"/>
      <c r="H507" s="587"/>
      <c r="I507" s="587"/>
      <c r="J507" s="587"/>
      <c r="K507" s="587"/>
      <c r="L507" s="587"/>
      <c r="M507" s="587"/>
      <c r="O507" s="587"/>
      <c r="P507" s="587"/>
    </row>
    <row r="508" spans="1:16" hidden="1" x14ac:dyDescent="0.2">
      <c r="A508" s="589" t="s">
        <v>953</v>
      </c>
      <c r="B508" s="589"/>
      <c r="C508" s="589"/>
      <c r="D508" s="589"/>
      <c r="E508" s="589"/>
      <c r="H508" s="587"/>
      <c r="I508" s="587"/>
      <c r="J508" s="587"/>
      <c r="K508" s="587"/>
      <c r="L508" s="587"/>
      <c r="M508" s="587"/>
      <c r="O508" s="587"/>
      <c r="P508" s="587"/>
    </row>
    <row r="509" spans="1:16" hidden="1" x14ac:dyDescent="0.2">
      <c r="A509" s="589" t="s">
        <v>954</v>
      </c>
      <c r="B509" s="589"/>
      <c r="C509" s="589"/>
      <c r="D509" s="589"/>
      <c r="E509" s="589"/>
      <c r="H509" s="587"/>
      <c r="I509" s="587"/>
      <c r="J509" s="587"/>
      <c r="K509" s="587"/>
      <c r="L509" s="587"/>
      <c r="M509" s="587"/>
      <c r="O509" s="587"/>
      <c r="P509" s="587"/>
    </row>
    <row r="510" spans="1:16" hidden="1" x14ac:dyDescent="0.2">
      <c r="A510" s="589" t="s">
        <v>955</v>
      </c>
      <c r="B510" s="589"/>
      <c r="C510" s="589"/>
      <c r="D510" s="589"/>
      <c r="E510" s="589"/>
      <c r="H510" s="587"/>
      <c r="I510" s="587"/>
      <c r="J510" s="587"/>
      <c r="K510" s="587"/>
      <c r="L510" s="587"/>
      <c r="M510" s="587"/>
      <c r="O510" s="587"/>
      <c r="P510" s="587"/>
    </row>
    <row r="511" spans="1:16" hidden="1" x14ac:dyDescent="0.2">
      <c r="A511" s="589" t="s">
        <v>956</v>
      </c>
      <c r="B511" s="589"/>
      <c r="C511" s="589"/>
      <c r="D511" s="589"/>
      <c r="E511" s="589"/>
      <c r="H511" s="587"/>
      <c r="I511" s="587"/>
      <c r="J511" s="587" t="s">
        <v>774</v>
      </c>
      <c r="K511" s="587"/>
      <c r="L511" s="587">
        <v>382.19</v>
      </c>
      <c r="M511" s="587"/>
      <c r="O511" s="587">
        <f>H511*L511</f>
        <v>0</v>
      </c>
      <c r="P511" s="587"/>
    </row>
    <row r="512" spans="1:16" hidden="1" x14ac:dyDescent="0.2">
      <c r="A512" s="589" t="s">
        <v>957</v>
      </c>
      <c r="B512" s="589"/>
      <c r="C512" s="589"/>
      <c r="D512" s="589"/>
      <c r="E512" s="589"/>
      <c r="H512" s="587"/>
      <c r="I512" s="587"/>
      <c r="J512" s="587"/>
      <c r="K512" s="587"/>
      <c r="L512" s="587"/>
      <c r="M512" s="587"/>
      <c r="O512" s="587"/>
      <c r="P512" s="587"/>
    </row>
    <row r="513" spans="1:16" hidden="1" x14ac:dyDescent="0.2">
      <c r="A513" s="589" t="s">
        <v>958</v>
      </c>
      <c r="B513" s="589"/>
      <c r="C513" s="589"/>
      <c r="D513" s="589"/>
      <c r="E513" s="589"/>
      <c r="H513" s="587"/>
      <c r="I513" s="587"/>
      <c r="J513" s="587" t="s">
        <v>774</v>
      </c>
      <c r="K513" s="587"/>
      <c r="L513" s="587">
        <v>329.88</v>
      </c>
      <c r="M513" s="587"/>
      <c r="O513" s="587">
        <f t="shared" ref="O513:O516" si="50">H513*L513</f>
        <v>0</v>
      </c>
      <c r="P513" s="587"/>
    </row>
    <row r="514" spans="1:16" hidden="1" x14ac:dyDescent="0.2">
      <c r="A514" s="589" t="s">
        <v>959</v>
      </c>
      <c r="B514" s="589"/>
      <c r="C514" s="589"/>
      <c r="D514" s="589"/>
      <c r="E514" s="589"/>
      <c r="H514" s="587"/>
      <c r="I514" s="587"/>
      <c r="J514" s="587" t="s">
        <v>774</v>
      </c>
      <c r="K514" s="587"/>
      <c r="L514" s="621">
        <v>568.47</v>
      </c>
      <c r="M514" s="621"/>
      <c r="O514" s="587">
        <f t="shared" si="50"/>
        <v>0</v>
      </c>
      <c r="P514" s="587"/>
    </row>
    <row r="515" spans="1:16" hidden="1" x14ac:dyDescent="0.2">
      <c r="A515" s="589" t="s">
        <v>960</v>
      </c>
      <c r="B515" s="589"/>
      <c r="C515" s="589"/>
      <c r="D515" s="589"/>
      <c r="E515" s="589"/>
      <c r="H515" s="587"/>
      <c r="I515" s="587"/>
      <c r="J515" s="587" t="s">
        <v>774</v>
      </c>
      <c r="K515" s="587"/>
      <c r="L515" s="621">
        <v>568.47</v>
      </c>
      <c r="M515" s="621"/>
      <c r="O515" s="587">
        <f t="shared" si="50"/>
        <v>0</v>
      </c>
      <c r="P515" s="587"/>
    </row>
    <row r="516" spans="1:16" hidden="1" x14ac:dyDescent="0.2">
      <c r="A516" s="589" t="s">
        <v>961</v>
      </c>
      <c r="B516" s="589"/>
      <c r="C516" s="589"/>
      <c r="D516" s="589"/>
      <c r="E516" s="589"/>
      <c r="H516" s="587"/>
      <c r="I516" s="587"/>
      <c r="J516" s="587" t="s">
        <v>774</v>
      </c>
      <c r="K516" s="587"/>
      <c r="L516" s="587">
        <v>329.88</v>
      </c>
      <c r="M516" s="587"/>
      <c r="O516" s="587">
        <f t="shared" si="50"/>
        <v>0</v>
      </c>
      <c r="P516" s="587"/>
    </row>
    <row r="517" spans="1:16" hidden="1" x14ac:dyDescent="0.2">
      <c r="A517" s="587"/>
      <c r="B517" s="587"/>
      <c r="C517" s="587"/>
      <c r="D517" s="587"/>
      <c r="E517" s="587"/>
      <c r="H517" s="587"/>
      <c r="I517" s="587"/>
      <c r="J517" s="587"/>
      <c r="K517" s="587"/>
      <c r="L517" s="587"/>
      <c r="M517" s="587"/>
      <c r="O517" s="587"/>
      <c r="P517" s="587"/>
    </row>
    <row r="518" spans="1:16" hidden="1" x14ac:dyDescent="0.2">
      <c r="A518" s="587"/>
      <c r="B518" s="587"/>
      <c r="C518" s="587"/>
      <c r="D518" s="587"/>
      <c r="E518" s="587"/>
      <c r="H518" s="587"/>
      <c r="I518" s="587"/>
      <c r="J518" s="587"/>
      <c r="K518" s="587"/>
      <c r="L518" s="587"/>
      <c r="M518" s="587"/>
      <c r="O518" s="587"/>
      <c r="P518" s="587"/>
    </row>
    <row r="519" spans="1:16" hidden="1" x14ac:dyDescent="0.2">
      <c r="A519" s="589" t="s">
        <v>962</v>
      </c>
      <c r="B519" s="589"/>
      <c r="C519" s="589"/>
      <c r="D519" s="589"/>
      <c r="E519" s="589"/>
      <c r="H519" s="587"/>
      <c r="I519" s="587"/>
      <c r="J519" s="587"/>
      <c r="K519" s="587"/>
      <c r="L519" s="587"/>
      <c r="M519" s="587"/>
      <c r="O519" s="587"/>
      <c r="P519" s="587"/>
    </row>
    <row r="520" spans="1:16" hidden="1" x14ac:dyDescent="0.2">
      <c r="A520" s="589" t="s">
        <v>963</v>
      </c>
      <c r="B520" s="589"/>
      <c r="C520" s="589"/>
      <c r="D520" s="589"/>
      <c r="E520" s="589"/>
      <c r="H520" s="587"/>
      <c r="I520" s="587"/>
      <c r="J520" s="587"/>
      <c r="K520" s="587"/>
      <c r="L520" s="587"/>
      <c r="M520" s="587"/>
      <c r="O520" s="587"/>
      <c r="P520" s="587"/>
    </row>
    <row r="521" spans="1:16" hidden="1" x14ac:dyDescent="0.2">
      <c r="A521" s="589" t="s">
        <v>964</v>
      </c>
      <c r="B521" s="589"/>
      <c r="C521" s="589"/>
      <c r="D521" s="589"/>
      <c r="E521" s="589"/>
      <c r="H521" s="587"/>
      <c r="I521" s="587"/>
      <c r="J521" s="587"/>
      <c r="K521" s="587"/>
      <c r="L521" s="587"/>
      <c r="M521" s="587"/>
      <c r="O521" s="587"/>
      <c r="P521" s="587"/>
    </row>
    <row r="522" spans="1:16" hidden="1" x14ac:dyDescent="0.2">
      <c r="A522" s="589" t="s">
        <v>965</v>
      </c>
      <c r="B522" s="589"/>
      <c r="C522" s="589"/>
      <c r="D522" s="589"/>
      <c r="E522" s="589"/>
      <c r="H522" s="587"/>
      <c r="I522" s="587"/>
      <c r="J522" s="587"/>
      <c r="K522" s="587"/>
      <c r="L522" s="587"/>
      <c r="M522" s="587"/>
      <c r="O522" s="587"/>
      <c r="P522" s="587"/>
    </row>
    <row r="523" spans="1:16" hidden="1" x14ac:dyDescent="0.2">
      <c r="A523" s="589" t="s">
        <v>966</v>
      </c>
      <c r="B523" s="589"/>
      <c r="C523" s="589"/>
      <c r="D523" s="589"/>
      <c r="E523" s="589"/>
      <c r="H523" s="587"/>
      <c r="I523" s="587"/>
      <c r="J523" s="587"/>
      <c r="K523" s="587"/>
      <c r="L523" s="587"/>
      <c r="M523" s="587"/>
      <c r="O523" s="587"/>
      <c r="P523" s="587"/>
    </row>
    <row r="524" spans="1:16" hidden="1" x14ac:dyDescent="0.2">
      <c r="A524" s="587"/>
      <c r="B524" s="587"/>
      <c r="C524" s="587"/>
      <c r="D524" s="587"/>
      <c r="E524" s="587"/>
      <c r="H524" s="587"/>
      <c r="I524" s="587"/>
      <c r="J524" s="587"/>
      <c r="K524" s="587"/>
      <c r="L524" s="587"/>
      <c r="M524" s="587"/>
      <c r="O524" s="587"/>
      <c r="P524" s="587"/>
    </row>
    <row r="525" spans="1:16" hidden="1" x14ac:dyDescent="0.2">
      <c r="A525" s="589" t="s">
        <v>967</v>
      </c>
      <c r="B525" s="589"/>
      <c r="C525" s="589"/>
      <c r="D525" s="589"/>
      <c r="E525" s="589"/>
      <c r="H525" s="587"/>
      <c r="I525" s="587"/>
      <c r="J525" s="587" t="s">
        <v>968</v>
      </c>
      <c r="K525" s="587"/>
      <c r="L525" s="587">
        <v>720.84</v>
      </c>
      <c r="M525" s="587"/>
      <c r="O525" s="587">
        <f t="shared" ref="O525:O527" si="51">H525*L525</f>
        <v>0</v>
      </c>
      <c r="P525" s="587"/>
    </row>
    <row r="526" spans="1:16" hidden="1" x14ac:dyDescent="0.2">
      <c r="A526" s="589" t="s">
        <v>969</v>
      </c>
      <c r="B526" s="589"/>
      <c r="C526" s="589"/>
      <c r="D526" s="589"/>
      <c r="E526" s="589"/>
      <c r="H526" s="587"/>
      <c r="I526" s="587"/>
      <c r="J526" s="587" t="s">
        <v>968</v>
      </c>
      <c r="K526" s="587"/>
      <c r="L526" s="587">
        <v>720.84</v>
      </c>
      <c r="M526" s="587"/>
      <c r="O526" s="587">
        <f t="shared" si="51"/>
        <v>0</v>
      </c>
      <c r="P526" s="587"/>
    </row>
    <row r="527" spans="1:16" hidden="1" x14ac:dyDescent="0.2">
      <c r="A527" s="589" t="s">
        <v>970</v>
      </c>
      <c r="B527" s="589"/>
      <c r="C527" s="589"/>
      <c r="D527" s="589"/>
      <c r="E527" s="589"/>
      <c r="H527" s="587"/>
      <c r="I527" s="587"/>
      <c r="J527" s="587" t="s">
        <v>968</v>
      </c>
      <c r="K527" s="587"/>
      <c r="L527" s="587">
        <v>121.64</v>
      </c>
      <c r="M527" s="587"/>
      <c r="O527" s="587">
        <f t="shared" si="51"/>
        <v>0</v>
      </c>
      <c r="P527" s="587"/>
    </row>
    <row r="528" spans="1:16" hidden="1" x14ac:dyDescent="0.2">
      <c r="A528" s="587"/>
      <c r="B528" s="587"/>
      <c r="C528" s="587"/>
      <c r="D528" s="587"/>
      <c r="E528" s="587"/>
      <c r="H528" s="587"/>
      <c r="I528" s="587"/>
      <c r="J528" s="587"/>
      <c r="K528" s="587"/>
      <c r="L528" s="587"/>
      <c r="M528" s="587"/>
      <c r="O528" s="587"/>
      <c r="P528" s="587"/>
    </row>
    <row r="529" spans="1:16" hidden="1" x14ac:dyDescent="0.2">
      <c r="A529" s="587"/>
      <c r="B529" s="587"/>
      <c r="C529" s="587"/>
      <c r="D529" s="587"/>
      <c r="E529" s="587"/>
      <c r="H529" s="587"/>
      <c r="I529" s="587"/>
      <c r="J529" s="587"/>
      <c r="K529" s="587"/>
      <c r="L529" s="587"/>
      <c r="M529" s="587"/>
      <c r="O529" s="587"/>
      <c r="P529" s="587"/>
    </row>
    <row r="530" spans="1:16" hidden="1" x14ac:dyDescent="0.2">
      <c r="A530" s="589" t="s">
        <v>971</v>
      </c>
      <c r="B530" s="589"/>
      <c r="C530" s="589"/>
      <c r="D530" s="589"/>
      <c r="E530" s="589"/>
      <c r="H530" s="587"/>
      <c r="I530" s="587"/>
      <c r="J530" s="587" t="s">
        <v>802</v>
      </c>
      <c r="K530" s="587"/>
      <c r="L530" s="587">
        <v>547.37</v>
      </c>
      <c r="M530" s="587"/>
      <c r="O530" s="587">
        <f t="shared" ref="O530" si="52">H530*L530</f>
        <v>0</v>
      </c>
      <c r="P530" s="587"/>
    </row>
    <row r="531" spans="1:16" hidden="1" x14ac:dyDescent="0.2">
      <c r="A531" s="589" t="s">
        <v>972</v>
      </c>
      <c r="B531" s="589"/>
      <c r="C531" s="589"/>
      <c r="D531" s="589"/>
      <c r="E531" s="589"/>
      <c r="H531" s="587"/>
      <c r="I531" s="587"/>
      <c r="J531" s="587"/>
      <c r="K531" s="587"/>
      <c r="L531" s="587"/>
      <c r="M531" s="587"/>
      <c r="O531" s="587"/>
      <c r="P531" s="587"/>
    </row>
    <row r="532" spans="1:16" hidden="1" x14ac:dyDescent="0.2">
      <c r="A532" s="589" t="s">
        <v>973</v>
      </c>
      <c r="B532" s="589"/>
      <c r="C532" s="589"/>
      <c r="D532" s="589"/>
      <c r="E532" s="589"/>
      <c r="H532" s="587"/>
      <c r="I532" s="587"/>
      <c r="J532" s="587"/>
      <c r="K532" s="587"/>
      <c r="L532" s="587"/>
      <c r="M532" s="587"/>
      <c r="O532" s="587"/>
      <c r="P532" s="587"/>
    </row>
    <row r="533" spans="1:16" hidden="1" x14ac:dyDescent="0.2">
      <c r="A533" s="587"/>
      <c r="B533" s="587"/>
      <c r="C533" s="587"/>
      <c r="D533" s="587"/>
      <c r="E533" s="587"/>
      <c r="H533" s="587"/>
      <c r="I533" s="587"/>
      <c r="J533" s="587"/>
      <c r="K533" s="587"/>
      <c r="L533" s="587"/>
      <c r="M533" s="587"/>
      <c r="O533" s="587"/>
      <c r="P533" s="587"/>
    </row>
    <row r="534" spans="1:16" hidden="1" x14ac:dyDescent="0.2">
      <c r="A534" s="587"/>
      <c r="B534" s="587"/>
      <c r="C534" s="587"/>
      <c r="D534" s="587"/>
      <c r="E534" s="587"/>
      <c r="H534" s="410"/>
      <c r="I534" s="410"/>
      <c r="J534" s="587"/>
      <c r="K534" s="587"/>
      <c r="L534" s="587"/>
      <c r="M534" s="587"/>
      <c r="O534" s="587"/>
      <c r="P534" s="587"/>
    </row>
    <row r="535" spans="1:16" hidden="1" x14ac:dyDescent="0.2">
      <c r="A535" s="589" t="s">
        <v>974</v>
      </c>
      <c r="B535" s="589"/>
      <c r="C535" s="589"/>
      <c r="D535" s="589"/>
      <c r="E535" s="589"/>
      <c r="H535" s="587"/>
      <c r="I535" s="587"/>
      <c r="J535" s="587" t="s">
        <v>968</v>
      </c>
      <c r="K535" s="587"/>
      <c r="L535" s="587"/>
      <c r="M535" s="587"/>
      <c r="O535" s="606"/>
      <c r="P535" s="587"/>
    </row>
    <row r="536" spans="1:16" hidden="1" x14ac:dyDescent="0.2">
      <c r="A536" s="589" t="s">
        <v>975</v>
      </c>
      <c r="B536" s="589"/>
      <c r="C536" s="589"/>
      <c r="D536" s="589"/>
      <c r="E536" s="589"/>
      <c r="H536" s="587"/>
      <c r="I536" s="587"/>
      <c r="J536" s="587"/>
      <c r="K536" s="587"/>
      <c r="L536" s="587"/>
      <c r="M536" s="587"/>
      <c r="O536" s="587"/>
      <c r="P536" s="587"/>
    </row>
    <row r="537" spans="1:16" hidden="1" x14ac:dyDescent="0.2">
      <c r="A537" s="589" t="s">
        <v>976</v>
      </c>
      <c r="B537" s="589"/>
      <c r="C537" s="589"/>
      <c r="D537" s="589"/>
      <c r="E537" s="589"/>
      <c r="H537" s="587"/>
      <c r="I537" s="587"/>
      <c r="J537" s="587"/>
      <c r="K537" s="587"/>
      <c r="L537" s="587"/>
      <c r="M537" s="587"/>
      <c r="O537" s="587"/>
      <c r="P537" s="587"/>
    </row>
    <row r="538" spans="1:16" hidden="1" x14ac:dyDescent="0.2">
      <c r="A538" s="589" t="s">
        <v>977</v>
      </c>
      <c r="B538" s="589"/>
      <c r="C538" s="589"/>
      <c r="D538" s="589"/>
      <c r="E538" s="589"/>
      <c r="H538" s="587"/>
      <c r="I538" s="587"/>
      <c r="J538" s="587"/>
      <c r="K538" s="587"/>
      <c r="L538" s="587"/>
      <c r="M538" s="587"/>
      <c r="O538" s="587"/>
      <c r="P538" s="587"/>
    </row>
    <row r="539" spans="1:16" x14ac:dyDescent="0.2">
      <c r="A539" s="463"/>
      <c r="B539" s="463"/>
      <c r="C539" s="463"/>
      <c r="D539" s="463"/>
      <c r="E539" s="463"/>
      <c r="H539" s="410"/>
      <c r="I539" s="410"/>
      <c r="J539" s="410"/>
      <c r="K539" s="410"/>
      <c r="L539" s="410"/>
      <c r="M539" s="410"/>
      <c r="O539" s="410"/>
      <c r="P539" s="410"/>
    </row>
    <row r="540" spans="1:16" x14ac:dyDescent="0.2">
      <c r="A540" s="463" t="s">
        <v>978</v>
      </c>
      <c r="B540" s="463"/>
      <c r="C540" s="463"/>
      <c r="D540" s="463"/>
      <c r="E540" s="463"/>
      <c r="H540" s="587"/>
      <c r="I540" s="587"/>
      <c r="J540" s="587" t="s">
        <v>968</v>
      </c>
      <c r="K540" s="587"/>
      <c r="L540" s="587">
        <v>22240.61</v>
      </c>
      <c r="M540" s="587"/>
      <c r="O540" s="587">
        <f t="shared" ref="O540" si="53">H540*L540</f>
        <v>0</v>
      </c>
      <c r="P540" s="587"/>
    </row>
    <row r="541" spans="1:16" x14ac:dyDescent="0.2">
      <c r="A541" s="463" t="s">
        <v>979</v>
      </c>
      <c r="B541" s="463"/>
      <c r="C541" s="463"/>
      <c r="D541" s="463"/>
      <c r="E541" s="463"/>
      <c r="H541" s="587"/>
      <c r="I541" s="587"/>
      <c r="J541" s="587" t="s">
        <v>968</v>
      </c>
      <c r="K541" s="587"/>
      <c r="L541" s="587">
        <v>7800</v>
      </c>
      <c r="M541" s="587"/>
      <c r="O541" s="587">
        <f t="shared" ref="O541" si="54">H541*L541</f>
        <v>0</v>
      </c>
      <c r="P541" s="587"/>
    </row>
    <row r="542" spans="1:16" x14ac:dyDescent="0.2">
      <c r="A542" s="463" t="s">
        <v>980</v>
      </c>
      <c r="B542" s="463"/>
      <c r="C542" s="463"/>
      <c r="D542" s="463"/>
      <c r="E542" s="463"/>
      <c r="H542" s="587"/>
      <c r="I542" s="587"/>
      <c r="J542" s="587" t="s">
        <v>968</v>
      </c>
      <c r="K542" s="587"/>
      <c r="L542" s="587">
        <v>3100</v>
      </c>
      <c r="M542" s="587"/>
      <c r="O542" s="587">
        <f t="shared" ref="O542" si="55">H542*L542</f>
        <v>0</v>
      </c>
      <c r="P542" s="587"/>
    </row>
    <row r="543" spans="1:16" x14ac:dyDescent="0.2">
      <c r="A543" s="587"/>
      <c r="B543" s="587"/>
      <c r="C543" s="587"/>
      <c r="D543" s="587"/>
      <c r="E543" s="587"/>
      <c r="H543" s="410"/>
      <c r="I543" s="410"/>
      <c r="J543" s="410"/>
      <c r="K543" s="410"/>
      <c r="L543" s="410"/>
      <c r="M543" s="410"/>
      <c r="O543" s="410"/>
      <c r="P543" s="410"/>
    </row>
    <row r="544" spans="1:16" x14ac:dyDescent="0.2">
      <c r="A544" s="589" t="s">
        <v>981</v>
      </c>
      <c r="B544" s="589"/>
      <c r="C544" s="589"/>
      <c r="D544" s="589"/>
      <c r="E544" s="589"/>
      <c r="F544" s="589"/>
      <c r="H544" s="587"/>
      <c r="I544" s="587"/>
      <c r="J544" s="587" t="s">
        <v>982</v>
      </c>
      <c r="K544" s="587"/>
      <c r="L544" s="587"/>
      <c r="M544" s="587"/>
      <c r="O544" s="587">
        <f t="shared" ref="O544:O545" si="56">H544*L544</f>
        <v>0</v>
      </c>
      <c r="P544" s="587"/>
    </row>
    <row r="545" spans="1:16" x14ac:dyDescent="0.2">
      <c r="A545" s="589" t="s">
        <v>983</v>
      </c>
      <c r="B545" s="589"/>
      <c r="C545" s="589"/>
      <c r="D545" s="589"/>
      <c r="E545" s="589"/>
      <c r="H545" s="587"/>
      <c r="I545" s="587"/>
      <c r="J545" s="587" t="s">
        <v>982</v>
      </c>
      <c r="K545" s="587"/>
      <c r="L545" s="587"/>
      <c r="M545" s="587"/>
      <c r="O545" s="587">
        <f t="shared" si="56"/>
        <v>0</v>
      </c>
      <c r="P545" s="587"/>
    </row>
    <row r="546" spans="1:16" x14ac:dyDescent="0.2">
      <c r="A546" s="589" t="s">
        <v>984</v>
      </c>
      <c r="B546" s="589"/>
      <c r="C546" s="589"/>
      <c r="D546" s="589"/>
      <c r="E546" s="589"/>
      <c r="H546" s="410"/>
      <c r="I546" s="410"/>
      <c r="J546" s="410"/>
      <c r="K546" s="410"/>
      <c r="L546" s="410"/>
      <c r="M546" s="410"/>
      <c r="O546" s="587"/>
      <c r="P546" s="587"/>
    </row>
    <row r="547" spans="1:16" x14ac:dyDescent="0.2">
      <c r="A547" s="589" t="s">
        <v>985</v>
      </c>
      <c r="B547" s="589"/>
      <c r="C547" s="589"/>
      <c r="D547" s="589"/>
      <c r="E547" s="589"/>
      <c r="H547" s="587"/>
      <c r="I547" s="587"/>
      <c r="J547" s="587" t="s">
        <v>982</v>
      </c>
      <c r="K547" s="587"/>
      <c r="L547" s="587"/>
      <c r="M547" s="587"/>
      <c r="O547" s="587">
        <f t="shared" ref="O547" si="57">H547*L547</f>
        <v>0</v>
      </c>
      <c r="P547" s="587"/>
    </row>
    <row r="548" spans="1:16" x14ac:dyDescent="0.2">
      <c r="A548" s="587"/>
      <c r="B548" s="587"/>
      <c r="C548" s="587"/>
      <c r="D548" s="587"/>
      <c r="E548" s="587"/>
      <c r="H548" s="587"/>
      <c r="I548" s="587"/>
      <c r="J548" s="587"/>
      <c r="K548" s="587"/>
      <c r="L548" s="587"/>
      <c r="M548" s="587"/>
      <c r="O548" s="587"/>
      <c r="P548" s="587"/>
    </row>
    <row r="549" spans="1:16" ht="13.5" thickBot="1" x14ac:dyDescent="0.25">
      <c r="A549" s="587"/>
      <c r="B549" s="587"/>
      <c r="C549" s="587"/>
      <c r="D549" s="587"/>
      <c r="E549" s="587"/>
      <c r="H549" s="587"/>
      <c r="I549" s="587"/>
      <c r="J549" s="587"/>
      <c r="K549" s="587"/>
      <c r="L549" s="587"/>
      <c r="M549" s="587"/>
      <c r="O549" s="631"/>
      <c r="P549" s="631"/>
    </row>
    <row r="550" spans="1:16" ht="16.5" thickTop="1" thickBot="1" x14ac:dyDescent="0.3">
      <c r="A550" s="599" t="s">
        <v>986</v>
      </c>
      <c r="B550" s="599"/>
      <c r="C550" s="599"/>
      <c r="D550" s="599"/>
      <c r="E550" s="599"/>
      <c r="H550" s="587"/>
      <c r="I550" s="587"/>
      <c r="J550" s="587"/>
      <c r="K550" s="587"/>
      <c r="L550" s="587"/>
      <c r="M550" s="587"/>
      <c r="O550" s="624">
        <f>SUM(O471:P549)</f>
        <v>0</v>
      </c>
      <c r="P550" s="631"/>
    </row>
    <row r="551" spans="1:16" ht="15.75" thickTop="1" x14ac:dyDescent="0.25">
      <c r="A551" s="599" t="s">
        <v>656</v>
      </c>
      <c r="B551" s="599"/>
      <c r="C551" s="599"/>
      <c r="D551" s="599"/>
      <c r="E551" s="599"/>
      <c r="H551" s="587"/>
      <c r="I551" s="587"/>
      <c r="J551" s="587"/>
      <c r="K551" s="587"/>
      <c r="L551" s="587"/>
      <c r="M551" s="587"/>
      <c r="O551" s="587"/>
      <c r="P551" s="587"/>
    </row>
    <row r="552" spans="1:16" x14ac:dyDescent="0.2">
      <c r="A552" s="587"/>
      <c r="B552" s="587"/>
      <c r="C552" s="587"/>
      <c r="D552" s="587"/>
      <c r="E552" s="587"/>
      <c r="H552" s="587"/>
      <c r="I552" s="587"/>
      <c r="J552" s="587"/>
      <c r="K552" s="587"/>
      <c r="L552" s="587"/>
      <c r="M552" s="587"/>
      <c r="O552" s="587"/>
      <c r="P552" s="587"/>
    </row>
    <row r="553" spans="1:16" x14ac:dyDescent="0.2">
      <c r="A553" s="587"/>
      <c r="B553" s="587"/>
      <c r="C553" s="587"/>
      <c r="D553" s="587"/>
      <c r="E553" s="587"/>
      <c r="H553" s="587"/>
      <c r="I553" s="587"/>
      <c r="J553" s="587"/>
      <c r="K553" s="587"/>
      <c r="L553" s="587"/>
      <c r="M553" s="587"/>
      <c r="O553" s="587"/>
      <c r="P553" s="587"/>
    </row>
    <row r="554" spans="1:16" ht="15" x14ac:dyDescent="0.25">
      <c r="A554" s="625" t="s">
        <v>987</v>
      </c>
      <c r="B554" s="625"/>
      <c r="C554" s="625"/>
      <c r="D554" s="625"/>
      <c r="E554" s="625"/>
      <c r="F554" s="471"/>
      <c r="G554" s="471"/>
      <c r="H554" s="619"/>
      <c r="I554" s="619"/>
      <c r="J554" s="619"/>
      <c r="K554" s="619"/>
      <c r="L554" s="619"/>
      <c r="M554" s="619"/>
      <c r="N554" s="471"/>
      <c r="O554" s="619"/>
      <c r="P554" s="619"/>
    </row>
    <row r="555" spans="1:16" x14ac:dyDescent="0.2">
      <c r="A555" s="587"/>
      <c r="B555" s="587"/>
      <c r="C555" s="587"/>
      <c r="D555" s="587"/>
      <c r="E555" s="587"/>
      <c r="H555" s="587"/>
      <c r="I555" s="587"/>
      <c r="J555" s="587"/>
      <c r="K555" s="587"/>
      <c r="L555" s="587"/>
      <c r="M555" s="587"/>
      <c r="O555" s="587"/>
      <c r="P555" s="587"/>
    </row>
    <row r="556" spans="1:16" x14ac:dyDescent="0.2">
      <c r="A556" s="589" t="s">
        <v>988</v>
      </c>
      <c r="B556" s="589"/>
      <c r="C556" s="589"/>
      <c r="D556" s="589"/>
      <c r="E556" s="589"/>
      <c r="H556" s="587"/>
      <c r="I556" s="587"/>
      <c r="J556" s="587"/>
      <c r="K556" s="587"/>
      <c r="L556" s="587"/>
      <c r="M556" s="587"/>
      <c r="O556" s="587"/>
      <c r="P556" s="587"/>
    </row>
    <row r="557" spans="1:16" x14ac:dyDescent="0.2">
      <c r="A557" s="589" t="s">
        <v>989</v>
      </c>
      <c r="B557" s="589"/>
      <c r="C557" s="589"/>
      <c r="D557" s="589"/>
      <c r="E557" s="589"/>
      <c r="H557" s="587"/>
      <c r="I557" s="587"/>
      <c r="J557" s="587"/>
      <c r="K557" s="587"/>
      <c r="L557" s="587"/>
      <c r="M557" s="587"/>
      <c r="O557" s="587"/>
      <c r="P557" s="587"/>
    </row>
    <row r="558" spans="1:16" x14ac:dyDescent="0.2">
      <c r="A558" s="589" t="s">
        <v>990</v>
      </c>
      <c r="B558" s="589"/>
      <c r="C558" s="589"/>
      <c r="D558" s="589"/>
      <c r="E558" s="589"/>
      <c r="H558" s="587"/>
      <c r="I558" s="587"/>
      <c r="J558" s="587"/>
      <c r="K558" s="587"/>
      <c r="L558" s="587"/>
      <c r="M558" s="587"/>
      <c r="O558" s="587"/>
      <c r="P558" s="587"/>
    </row>
    <row r="559" spans="1:16" x14ac:dyDescent="0.2">
      <c r="A559" s="589" t="s">
        <v>991</v>
      </c>
      <c r="B559" s="589"/>
      <c r="C559" s="589"/>
      <c r="D559" s="589"/>
      <c r="E559" s="589"/>
      <c r="H559" s="587"/>
      <c r="I559" s="587"/>
      <c r="J559" s="587"/>
      <c r="K559" s="587"/>
      <c r="L559" s="587"/>
      <c r="M559" s="587"/>
      <c r="O559" s="587"/>
      <c r="P559" s="587"/>
    </row>
    <row r="560" spans="1:16" x14ac:dyDescent="0.2">
      <c r="A560" s="589" t="s">
        <v>992</v>
      </c>
      <c r="B560" s="589"/>
      <c r="C560" s="589"/>
      <c r="D560" s="589"/>
      <c r="E560" s="589"/>
      <c r="H560" s="587"/>
      <c r="I560" s="587"/>
      <c r="J560" s="587"/>
      <c r="K560" s="587"/>
      <c r="L560" s="587"/>
      <c r="M560" s="587"/>
      <c r="O560" s="587"/>
      <c r="P560" s="587"/>
    </row>
    <row r="561" spans="1:16" x14ac:dyDescent="0.2">
      <c r="A561" s="589" t="s">
        <v>993</v>
      </c>
      <c r="B561" s="589"/>
      <c r="C561" s="589"/>
      <c r="D561" s="589"/>
      <c r="E561" s="589"/>
      <c r="H561" s="587"/>
      <c r="I561" s="587"/>
      <c r="J561" s="587"/>
      <c r="K561" s="587"/>
      <c r="L561" s="587"/>
      <c r="M561" s="587"/>
      <c r="O561" s="587"/>
      <c r="P561" s="587"/>
    </row>
    <row r="562" spans="1:16" x14ac:dyDescent="0.2">
      <c r="A562" s="589" t="s">
        <v>994</v>
      </c>
      <c r="B562" s="589"/>
      <c r="C562" s="589"/>
      <c r="D562" s="589"/>
      <c r="E562" s="589"/>
      <c r="H562" s="587"/>
      <c r="I562" s="587"/>
      <c r="J562" s="587"/>
      <c r="K562" s="587"/>
      <c r="L562" s="587"/>
      <c r="M562" s="587"/>
      <c r="O562" s="587"/>
      <c r="P562" s="587"/>
    </row>
    <row r="563" spans="1:16" x14ac:dyDescent="0.2">
      <c r="A563" s="587"/>
      <c r="B563" s="587"/>
      <c r="C563" s="587"/>
      <c r="D563" s="587"/>
      <c r="E563" s="587"/>
      <c r="H563" s="587"/>
      <c r="I563" s="587"/>
      <c r="J563" s="587"/>
      <c r="K563" s="587"/>
      <c r="L563" s="587"/>
      <c r="M563" s="587"/>
      <c r="O563" s="587"/>
      <c r="P563" s="587"/>
    </row>
    <row r="564" spans="1:16" x14ac:dyDescent="0.2">
      <c r="A564" s="589" t="s">
        <v>995</v>
      </c>
      <c r="B564" s="589"/>
      <c r="C564" s="589"/>
      <c r="D564" s="589"/>
      <c r="E564" s="589"/>
      <c r="H564" s="587"/>
      <c r="I564" s="587"/>
      <c r="J564" s="587" t="s">
        <v>745</v>
      </c>
      <c r="K564" s="587"/>
      <c r="L564" s="587">
        <v>135.08000000000001</v>
      </c>
      <c r="M564" s="587"/>
      <c r="O564" s="587">
        <f>H564*L564</f>
        <v>0</v>
      </c>
      <c r="P564" s="587"/>
    </row>
    <row r="565" spans="1:16" x14ac:dyDescent="0.2">
      <c r="A565" s="589" t="s">
        <v>996</v>
      </c>
      <c r="B565" s="589"/>
      <c r="C565" s="589"/>
      <c r="D565" s="589"/>
      <c r="E565" s="589"/>
      <c r="H565" s="587"/>
      <c r="I565" s="587"/>
      <c r="J565" s="587" t="s">
        <v>745</v>
      </c>
      <c r="K565" s="587"/>
      <c r="L565" s="587">
        <v>142.32</v>
      </c>
      <c r="M565" s="587"/>
      <c r="O565" s="587">
        <f t="shared" ref="O565:O567" si="58">H565*L565</f>
        <v>0</v>
      </c>
      <c r="P565" s="587"/>
    </row>
    <row r="566" spans="1:16" x14ac:dyDescent="0.2">
      <c r="A566" s="589" t="s">
        <v>997</v>
      </c>
      <c r="B566" s="589"/>
      <c r="C566" s="589"/>
      <c r="D566" s="589"/>
      <c r="E566" s="589"/>
      <c r="H566" s="587"/>
      <c r="I566" s="587"/>
      <c r="J566" s="587" t="s">
        <v>745</v>
      </c>
      <c r="K566" s="587"/>
      <c r="L566" s="587">
        <v>151.02000000000001</v>
      </c>
      <c r="M566" s="587"/>
      <c r="O566" s="587">
        <f t="shared" si="58"/>
        <v>0</v>
      </c>
      <c r="P566" s="587"/>
    </row>
    <row r="567" spans="1:16" x14ac:dyDescent="0.2">
      <c r="A567" s="589" t="s">
        <v>998</v>
      </c>
      <c r="B567" s="589"/>
      <c r="C567" s="589"/>
      <c r="D567" s="589"/>
      <c r="E567" s="589"/>
      <c r="H567" s="587"/>
      <c r="I567" s="587"/>
      <c r="J567" s="587" t="s">
        <v>745</v>
      </c>
      <c r="K567" s="587"/>
      <c r="L567" s="587">
        <v>174.92</v>
      </c>
      <c r="M567" s="587"/>
      <c r="O567" s="587">
        <f t="shared" si="58"/>
        <v>0</v>
      </c>
      <c r="P567" s="587"/>
    </row>
    <row r="568" spans="1:16" x14ac:dyDescent="0.2">
      <c r="A568" s="589" t="s">
        <v>999</v>
      </c>
      <c r="B568" s="589"/>
      <c r="C568" s="589"/>
      <c r="D568" s="589"/>
      <c r="E568" s="589"/>
      <c r="H568" s="587"/>
      <c r="I568" s="587"/>
      <c r="J568" s="587" t="s">
        <v>745</v>
      </c>
      <c r="K568" s="587"/>
      <c r="L568" s="587">
        <v>214.75</v>
      </c>
      <c r="M568" s="587"/>
      <c r="O568" s="587">
        <f t="shared" ref="O568:O570" si="59">H568*L568</f>
        <v>0</v>
      </c>
      <c r="P568" s="587"/>
    </row>
    <row r="569" spans="1:16" x14ac:dyDescent="0.2">
      <c r="A569" s="589" t="s">
        <v>1000</v>
      </c>
      <c r="B569" s="589"/>
      <c r="C569" s="589"/>
      <c r="D569" s="589"/>
      <c r="E569" s="589"/>
      <c r="H569" s="587"/>
      <c r="I569" s="587"/>
      <c r="J569" s="587" t="s">
        <v>745</v>
      </c>
      <c r="K569" s="587"/>
      <c r="L569" s="587"/>
      <c r="M569" s="587"/>
      <c r="O569" s="587">
        <f t="shared" si="59"/>
        <v>0</v>
      </c>
      <c r="P569" s="587"/>
    </row>
    <row r="570" spans="1:16" x14ac:dyDescent="0.2">
      <c r="A570" s="588" t="s">
        <v>1001</v>
      </c>
      <c r="B570" s="589"/>
      <c r="C570" s="589"/>
      <c r="D570" s="589"/>
      <c r="E570" s="589"/>
      <c r="H570" s="587"/>
      <c r="I570" s="587"/>
      <c r="J570" s="587" t="s">
        <v>745</v>
      </c>
      <c r="K570" s="587"/>
      <c r="L570" s="587">
        <v>132</v>
      </c>
      <c r="M570" s="587"/>
      <c r="O570" s="587">
        <f t="shared" si="59"/>
        <v>0</v>
      </c>
      <c r="P570" s="587"/>
    </row>
    <row r="571" spans="1:16" x14ac:dyDescent="0.2">
      <c r="A571" s="588" t="s">
        <v>1002</v>
      </c>
      <c r="B571" s="589"/>
      <c r="C571" s="589"/>
      <c r="D571" s="589"/>
      <c r="E571" s="589"/>
      <c r="H571" s="587"/>
      <c r="I571" s="587"/>
      <c r="J571" s="587" t="s">
        <v>745</v>
      </c>
      <c r="K571" s="587"/>
      <c r="L571" s="587">
        <v>190</v>
      </c>
      <c r="M571" s="587"/>
      <c r="O571" s="587">
        <f t="shared" ref="O571" si="60">H571*L571</f>
        <v>0</v>
      </c>
      <c r="P571" s="587"/>
    </row>
    <row r="572" spans="1:16" x14ac:dyDescent="0.2">
      <c r="A572" s="587"/>
      <c r="B572" s="587"/>
      <c r="C572" s="587"/>
      <c r="D572" s="587"/>
      <c r="E572" s="587"/>
      <c r="H572" s="587"/>
      <c r="I572" s="587"/>
      <c r="J572" s="587"/>
      <c r="K572" s="587"/>
      <c r="L572" s="587"/>
      <c r="M572" s="587"/>
      <c r="O572" s="587"/>
      <c r="P572" s="587"/>
    </row>
    <row r="573" spans="1:16" x14ac:dyDescent="0.2">
      <c r="A573" s="587"/>
      <c r="B573" s="587"/>
      <c r="C573" s="587"/>
      <c r="D573" s="587"/>
      <c r="E573" s="587"/>
      <c r="H573" s="587"/>
      <c r="I573" s="587"/>
      <c r="J573" s="587"/>
      <c r="K573" s="587"/>
      <c r="L573" s="587"/>
      <c r="M573" s="587"/>
      <c r="O573" s="587"/>
      <c r="P573" s="587"/>
    </row>
    <row r="574" spans="1:16" x14ac:dyDescent="0.2">
      <c r="A574" s="589" t="s">
        <v>1003</v>
      </c>
      <c r="B574" s="589"/>
      <c r="C574" s="589"/>
      <c r="D574" s="589"/>
      <c r="E574" s="589"/>
      <c r="H574" s="587"/>
      <c r="I574" s="587"/>
      <c r="J574" s="587"/>
      <c r="K574" s="587"/>
      <c r="L574" s="587"/>
      <c r="M574" s="587"/>
      <c r="O574" s="587"/>
      <c r="P574" s="587"/>
    </row>
    <row r="575" spans="1:16" x14ac:dyDescent="0.2">
      <c r="A575" s="589" t="s">
        <v>937</v>
      </c>
      <c r="B575" s="589"/>
      <c r="C575" s="589"/>
      <c r="D575" s="589"/>
      <c r="E575" s="589"/>
      <c r="H575" s="587"/>
      <c r="I575" s="587"/>
      <c r="J575" s="587"/>
      <c r="K575" s="587"/>
      <c r="L575" s="587"/>
      <c r="M575" s="587"/>
      <c r="O575" s="587"/>
      <c r="P575" s="587"/>
    </row>
    <row r="576" spans="1:16" x14ac:dyDescent="0.2">
      <c r="A576" s="589" t="s">
        <v>843</v>
      </c>
      <c r="B576" s="589"/>
      <c r="C576" s="589"/>
      <c r="D576" s="589"/>
      <c r="E576" s="589"/>
      <c r="H576" s="587"/>
      <c r="I576" s="587"/>
      <c r="J576" s="587" t="s">
        <v>844</v>
      </c>
      <c r="K576" s="587"/>
      <c r="L576" s="587">
        <v>25</v>
      </c>
      <c r="M576" s="587"/>
      <c r="O576" s="587">
        <f t="shared" ref="O576:O577" si="61">H576*L576</f>
        <v>0</v>
      </c>
      <c r="P576" s="587"/>
    </row>
    <row r="577" spans="1:16" x14ac:dyDescent="0.2">
      <c r="A577" s="589" t="s">
        <v>845</v>
      </c>
      <c r="B577" s="589"/>
      <c r="C577" s="589"/>
      <c r="D577" s="589"/>
      <c r="E577" s="589"/>
      <c r="H577" s="587"/>
      <c r="I577" s="587"/>
      <c r="J577" s="587" t="s">
        <v>844</v>
      </c>
      <c r="K577" s="587"/>
      <c r="L577" s="587">
        <v>180</v>
      </c>
      <c r="M577" s="587"/>
      <c r="O577" s="587">
        <f t="shared" si="61"/>
        <v>0</v>
      </c>
      <c r="P577" s="587"/>
    </row>
    <row r="578" spans="1:16" x14ac:dyDescent="0.2">
      <c r="A578" s="587"/>
      <c r="B578" s="587"/>
      <c r="C578" s="587"/>
      <c r="D578" s="587"/>
      <c r="E578" s="587"/>
      <c r="H578" s="587"/>
      <c r="I578" s="587"/>
      <c r="J578" s="587"/>
      <c r="K578" s="587"/>
      <c r="L578" s="587"/>
      <c r="M578" s="587"/>
      <c r="O578" s="587"/>
      <c r="P578" s="587"/>
    </row>
    <row r="579" spans="1:16" x14ac:dyDescent="0.2">
      <c r="A579" s="587"/>
      <c r="B579" s="587"/>
      <c r="C579" s="587"/>
      <c r="D579" s="587"/>
      <c r="E579" s="587"/>
      <c r="H579" s="587"/>
      <c r="I579" s="587"/>
      <c r="J579" s="587"/>
      <c r="K579" s="587"/>
      <c r="L579" s="587"/>
      <c r="M579" s="587"/>
      <c r="O579" s="587"/>
      <c r="P579" s="587"/>
    </row>
    <row r="580" spans="1:16" x14ac:dyDescent="0.2">
      <c r="A580" s="589" t="s">
        <v>1004</v>
      </c>
      <c r="B580" s="589"/>
      <c r="C580" s="589"/>
      <c r="D580" s="589"/>
      <c r="E580" s="589"/>
      <c r="H580" s="587"/>
      <c r="I580" s="587"/>
      <c r="J580" s="587"/>
      <c r="K580" s="587"/>
      <c r="L580" s="587"/>
      <c r="M580" s="587"/>
      <c r="O580" s="587"/>
      <c r="P580" s="587"/>
    </row>
    <row r="581" spans="1:16" x14ac:dyDescent="0.2">
      <c r="A581" s="589" t="s">
        <v>1005</v>
      </c>
      <c r="B581" s="589"/>
      <c r="C581" s="589"/>
      <c r="D581" s="589"/>
      <c r="E581" s="589"/>
      <c r="H581" s="587"/>
      <c r="I581" s="587"/>
      <c r="J581" s="587"/>
      <c r="K581" s="587"/>
      <c r="L581" s="587"/>
      <c r="M581" s="587"/>
      <c r="O581" s="587"/>
      <c r="P581" s="587"/>
    </row>
    <row r="582" spans="1:16" x14ac:dyDescent="0.2">
      <c r="A582" s="589" t="s">
        <v>1006</v>
      </c>
      <c r="B582" s="589"/>
      <c r="C582" s="589"/>
      <c r="D582" s="589"/>
      <c r="E582" s="589"/>
      <c r="H582" s="587"/>
      <c r="I582" s="587"/>
      <c r="J582" s="587"/>
      <c r="K582" s="587"/>
      <c r="L582" s="587"/>
      <c r="M582" s="587"/>
      <c r="O582" s="587"/>
      <c r="P582" s="587"/>
    </row>
    <row r="583" spans="1:16" x14ac:dyDescent="0.2">
      <c r="A583" s="589" t="s">
        <v>1007</v>
      </c>
      <c r="B583" s="589"/>
      <c r="C583" s="589"/>
      <c r="D583" s="589"/>
      <c r="E583" s="589"/>
      <c r="H583" s="587"/>
      <c r="I583" s="587"/>
      <c r="J583" s="587"/>
      <c r="K583" s="587"/>
      <c r="L583" s="587"/>
      <c r="M583" s="587"/>
      <c r="O583" s="587"/>
      <c r="P583" s="587"/>
    </row>
    <row r="584" spans="1:16" x14ac:dyDescent="0.2">
      <c r="A584" s="589" t="s">
        <v>1008</v>
      </c>
      <c r="B584" s="589"/>
      <c r="C584" s="589"/>
      <c r="D584" s="589"/>
      <c r="E584" s="589"/>
      <c r="H584" s="587"/>
      <c r="I584" s="587"/>
      <c r="J584" s="587"/>
      <c r="K584" s="587"/>
      <c r="L584" s="587"/>
      <c r="M584" s="587"/>
      <c r="O584" s="587"/>
      <c r="P584" s="587"/>
    </row>
    <row r="585" spans="1:16" x14ac:dyDescent="0.2">
      <c r="A585" s="589" t="s">
        <v>1009</v>
      </c>
      <c r="B585" s="589"/>
      <c r="C585" s="589"/>
      <c r="D585" s="589"/>
      <c r="E585" s="589"/>
      <c r="H585" s="587"/>
      <c r="I585" s="587"/>
      <c r="J585" s="587"/>
      <c r="K585" s="587"/>
      <c r="L585" s="587"/>
      <c r="M585" s="587"/>
      <c r="O585" s="587"/>
      <c r="P585" s="587"/>
    </row>
    <row r="586" spans="1:16" x14ac:dyDescent="0.2">
      <c r="A586" s="589" t="s">
        <v>1010</v>
      </c>
      <c r="B586" s="589"/>
      <c r="C586" s="589"/>
      <c r="D586" s="589"/>
      <c r="E586" s="589"/>
      <c r="H586" s="587"/>
      <c r="I586" s="587"/>
      <c r="J586" s="587" t="s">
        <v>968</v>
      </c>
      <c r="K586" s="587"/>
      <c r="L586" s="590">
        <v>6947.87</v>
      </c>
      <c r="M586" s="587"/>
      <c r="O586" s="587">
        <f t="shared" ref="O586:O590" si="62">H586*L586</f>
        <v>0</v>
      </c>
      <c r="P586" s="587"/>
    </row>
    <row r="587" spans="1:16" x14ac:dyDescent="0.2">
      <c r="A587" s="589" t="s">
        <v>996</v>
      </c>
      <c r="B587" s="589"/>
      <c r="C587" s="589"/>
      <c r="D587" s="589"/>
      <c r="E587" s="589"/>
      <c r="H587" s="587"/>
      <c r="I587" s="587"/>
      <c r="J587" s="587" t="s">
        <v>968</v>
      </c>
      <c r="K587" s="587"/>
      <c r="L587" s="590">
        <v>6208</v>
      </c>
      <c r="M587" s="587"/>
      <c r="O587" s="587">
        <f t="shared" si="62"/>
        <v>0</v>
      </c>
      <c r="P587" s="587"/>
    </row>
    <row r="588" spans="1:16" x14ac:dyDescent="0.2">
      <c r="A588" s="589" t="s">
        <v>1011</v>
      </c>
      <c r="B588" s="589"/>
      <c r="C588" s="589"/>
      <c r="D588" s="589"/>
      <c r="E588" s="589"/>
      <c r="H588" s="587"/>
      <c r="I588" s="587"/>
      <c r="J588" s="587" t="s">
        <v>968</v>
      </c>
      <c r="K588" s="587"/>
      <c r="L588" s="590">
        <v>8089.57</v>
      </c>
      <c r="M588" s="587"/>
      <c r="O588" s="587">
        <f t="shared" si="62"/>
        <v>0</v>
      </c>
      <c r="P588" s="587"/>
    </row>
    <row r="589" spans="1:16" x14ac:dyDescent="0.2">
      <c r="A589" s="589" t="s">
        <v>1012</v>
      </c>
      <c r="B589" s="589"/>
      <c r="C589" s="589"/>
      <c r="D589" s="589"/>
      <c r="E589" s="589"/>
      <c r="H589" s="587"/>
      <c r="I589" s="587"/>
      <c r="J589" s="587" t="s">
        <v>968</v>
      </c>
      <c r="K589" s="587"/>
      <c r="L589" s="590">
        <v>8696.91</v>
      </c>
      <c r="M589" s="587"/>
      <c r="O589" s="587">
        <f t="shared" si="62"/>
        <v>0</v>
      </c>
      <c r="P589" s="587"/>
    </row>
    <row r="590" spans="1:16" x14ac:dyDescent="0.2">
      <c r="A590" s="589" t="s">
        <v>1013</v>
      </c>
      <c r="B590" s="589"/>
      <c r="C590" s="589"/>
      <c r="D590" s="589"/>
      <c r="E590" s="589"/>
      <c r="H590" s="587"/>
      <c r="I590" s="587"/>
      <c r="J590" s="587" t="s">
        <v>968</v>
      </c>
      <c r="K590" s="587"/>
      <c r="L590" s="590">
        <v>10296.790000000001</v>
      </c>
      <c r="M590" s="587"/>
      <c r="O590" s="587">
        <f t="shared" si="62"/>
        <v>0</v>
      </c>
      <c r="P590" s="587"/>
    </row>
    <row r="591" spans="1:16" x14ac:dyDescent="0.2">
      <c r="A591" s="589" t="s">
        <v>1014</v>
      </c>
      <c r="B591" s="589"/>
      <c r="C591" s="589"/>
      <c r="D591" s="589"/>
      <c r="E591" s="589"/>
      <c r="H591" s="587"/>
      <c r="I591" s="587"/>
      <c r="J591" s="587"/>
      <c r="K591" s="587"/>
      <c r="L591" s="587"/>
      <c r="M591" s="587"/>
      <c r="O591" s="587"/>
      <c r="P591" s="587"/>
    </row>
    <row r="592" spans="1:16" x14ac:dyDescent="0.2">
      <c r="A592" s="587"/>
      <c r="B592" s="587"/>
      <c r="C592" s="587"/>
      <c r="D592" s="587"/>
      <c r="E592" s="587"/>
      <c r="H592" s="587"/>
      <c r="I592" s="587"/>
      <c r="J592" s="587"/>
      <c r="K592" s="587"/>
      <c r="L592" s="587"/>
      <c r="M592" s="587"/>
      <c r="O592" s="587"/>
      <c r="P592" s="587"/>
    </row>
    <row r="593" spans="1:16" x14ac:dyDescent="0.2">
      <c r="A593" s="587" t="s">
        <v>1015</v>
      </c>
      <c r="B593" s="587"/>
      <c r="C593" s="587"/>
      <c r="D593" s="587"/>
      <c r="E593" s="587"/>
      <c r="H593" s="587"/>
      <c r="I593" s="587"/>
      <c r="J593" s="587" t="s">
        <v>968</v>
      </c>
      <c r="K593" s="587"/>
      <c r="L593" s="590">
        <v>2250</v>
      </c>
      <c r="M593" s="587"/>
      <c r="O593" s="587">
        <f t="shared" ref="O593" si="63">H593*L593</f>
        <v>0</v>
      </c>
      <c r="P593" s="587"/>
    </row>
    <row r="594" spans="1:16" x14ac:dyDescent="0.2">
      <c r="A594" s="587"/>
      <c r="B594" s="587"/>
      <c r="C594" s="587"/>
      <c r="D594" s="587"/>
      <c r="E594" s="587"/>
      <c r="H594" s="587"/>
      <c r="I594" s="587"/>
      <c r="J594" s="587"/>
      <c r="K594" s="587"/>
      <c r="L594" s="587"/>
      <c r="M594" s="587"/>
      <c r="O594" s="587"/>
      <c r="P594" s="587"/>
    </row>
    <row r="595" spans="1:16" x14ac:dyDescent="0.2">
      <c r="A595" s="589" t="s">
        <v>1016</v>
      </c>
      <c r="B595" s="589"/>
      <c r="C595" s="589"/>
      <c r="D595" s="589"/>
      <c r="E595" s="589"/>
      <c r="H595" s="587"/>
      <c r="I595" s="587"/>
      <c r="J595" s="587"/>
      <c r="K595" s="587"/>
      <c r="L595" s="587"/>
      <c r="M595" s="587"/>
      <c r="O595" s="587"/>
      <c r="P595" s="587"/>
    </row>
    <row r="596" spans="1:16" x14ac:dyDescent="0.2">
      <c r="A596" s="589" t="s">
        <v>1017</v>
      </c>
      <c r="B596" s="589"/>
      <c r="C596" s="589"/>
      <c r="D596" s="589"/>
      <c r="E596" s="589"/>
      <c r="H596" s="587"/>
      <c r="I596" s="587"/>
      <c r="J596" s="587"/>
      <c r="K596" s="587"/>
      <c r="L596" s="587"/>
      <c r="M596" s="587"/>
      <c r="O596" s="587"/>
      <c r="P596" s="587"/>
    </row>
    <row r="597" spans="1:16" x14ac:dyDescent="0.2">
      <c r="A597" s="589" t="s">
        <v>1018</v>
      </c>
      <c r="B597" s="589"/>
      <c r="C597" s="589"/>
      <c r="D597" s="589"/>
      <c r="E597" s="589"/>
      <c r="H597" s="587"/>
      <c r="I597" s="587"/>
      <c r="J597" s="587"/>
      <c r="K597" s="587"/>
      <c r="L597" s="587"/>
      <c r="M597" s="587"/>
      <c r="O597" s="587"/>
      <c r="P597" s="587"/>
    </row>
    <row r="598" spans="1:16" x14ac:dyDescent="0.2">
      <c r="A598" s="589" t="s">
        <v>1019</v>
      </c>
      <c r="B598" s="589"/>
      <c r="C598" s="589"/>
      <c r="D598" s="589"/>
      <c r="E598" s="589"/>
      <c r="H598" s="587"/>
      <c r="I598" s="587"/>
      <c r="J598" s="587" t="s">
        <v>968</v>
      </c>
      <c r="K598" s="587"/>
      <c r="L598" s="587">
        <v>262.74</v>
      </c>
      <c r="M598" s="587"/>
      <c r="O598" s="587">
        <f t="shared" ref="O598:O599" si="64">H598*L598</f>
        <v>0</v>
      </c>
      <c r="P598" s="587"/>
    </row>
    <row r="599" spans="1:16" x14ac:dyDescent="0.2">
      <c r="A599" s="589" t="s">
        <v>1020</v>
      </c>
      <c r="B599" s="589"/>
      <c r="C599" s="589"/>
      <c r="D599" s="589"/>
      <c r="E599" s="589"/>
      <c r="H599" s="587"/>
      <c r="I599" s="587"/>
      <c r="J599" s="587" t="s">
        <v>968</v>
      </c>
      <c r="K599" s="587"/>
      <c r="L599" s="587">
        <v>742.9</v>
      </c>
      <c r="M599" s="587"/>
      <c r="O599" s="587">
        <f t="shared" si="64"/>
        <v>0</v>
      </c>
      <c r="P599" s="587"/>
    </row>
    <row r="600" spans="1:16" x14ac:dyDescent="0.2">
      <c r="A600" s="587"/>
      <c r="B600" s="587"/>
      <c r="C600" s="587"/>
      <c r="D600" s="587"/>
      <c r="E600" s="587"/>
      <c r="H600" s="587"/>
      <c r="I600" s="587"/>
      <c r="J600" s="587"/>
      <c r="K600" s="587"/>
      <c r="L600" s="587"/>
      <c r="M600" s="587"/>
      <c r="O600" s="587"/>
      <c r="P600" s="587"/>
    </row>
    <row r="601" spans="1:16" x14ac:dyDescent="0.2">
      <c r="A601" s="587"/>
      <c r="B601" s="587"/>
      <c r="C601" s="587"/>
      <c r="D601" s="587"/>
      <c r="E601" s="587"/>
      <c r="H601" s="587"/>
      <c r="I601" s="587"/>
      <c r="J601" s="587"/>
      <c r="K601" s="587"/>
      <c r="L601" s="587"/>
      <c r="M601" s="587"/>
      <c r="O601" s="587"/>
      <c r="P601" s="587"/>
    </row>
    <row r="602" spans="1:16" x14ac:dyDescent="0.2">
      <c r="A602" s="589" t="s">
        <v>1021</v>
      </c>
      <c r="B602" s="589"/>
      <c r="C602" s="589"/>
      <c r="D602" s="589"/>
      <c r="E602" s="589"/>
      <c r="H602" s="587"/>
      <c r="I602" s="587"/>
      <c r="J602" s="587"/>
      <c r="K602" s="587"/>
      <c r="L602" s="587"/>
      <c r="M602" s="587"/>
      <c r="O602" s="587"/>
      <c r="P602" s="587"/>
    </row>
    <row r="603" spans="1:16" x14ac:dyDescent="0.2">
      <c r="A603" s="589" t="s">
        <v>1022</v>
      </c>
      <c r="B603" s="589"/>
      <c r="C603" s="589"/>
      <c r="D603" s="589"/>
      <c r="E603" s="589"/>
      <c r="H603" s="587"/>
      <c r="I603" s="587"/>
      <c r="J603" s="587"/>
      <c r="K603" s="587"/>
      <c r="L603" s="587"/>
      <c r="M603" s="587"/>
      <c r="O603" s="587"/>
      <c r="P603" s="587"/>
    </row>
    <row r="604" spans="1:16" x14ac:dyDescent="0.2">
      <c r="A604" s="589" t="s">
        <v>1023</v>
      </c>
      <c r="B604" s="589"/>
      <c r="C604" s="589"/>
      <c r="D604" s="589"/>
      <c r="E604" s="589"/>
      <c r="H604" s="587"/>
      <c r="I604" s="587"/>
      <c r="J604" s="587"/>
      <c r="K604" s="587"/>
      <c r="L604" s="587"/>
      <c r="M604" s="587"/>
      <c r="O604" s="587"/>
      <c r="P604" s="587"/>
    </row>
    <row r="605" spans="1:16" x14ac:dyDescent="0.2">
      <c r="A605" s="589" t="s">
        <v>1024</v>
      </c>
      <c r="B605" s="589"/>
      <c r="C605" s="589"/>
      <c r="D605" s="589"/>
      <c r="E605" s="589"/>
      <c r="H605" s="587"/>
      <c r="I605" s="587"/>
      <c r="J605" s="587"/>
      <c r="K605" s="587"/>
      <c r="L605" s="587"/>
      <c r="M605" s="587"/>
      <c r="O605" s="587"/>
      <c r="P605" s="587"/>
    </row>
    <row r="606" spans="1:16" x14ac:dyDescent="0.2">
      <c r="A606" s="589" t="s">
        <v>1025</v>
      </c>
      <c r="B606" s="589"/>
      <c r="C606" s="589"/>
      <c r="D606" s="589"/>
      <c r="E606" s="589"/>
      <c r="H606" s="587"/>
      <c r="I606" s="587"/>
      <c r="J606" s="587"/>
      <c r="K606" s="587"/>
      <c r="L606" s="587"/>
      <c r="M606" s="587"/>
      <c r="O606" s="587"/>
      <c r="P606" s="587"/>
    </row>
    <row r="607" spans="1:16" x14ac:dyDescent="0.2">
      <c r="A607" s="589" t="s">
        <v>1026</v>
      </c>
      <c r="B607" s="589"/>
      <c r="C607" s="589"/>
      <c r="D607" s="589"/>
      <c r="E607" s="589"/>
      <c r="H607" s="587"/>
      <c r="I607" s="587"/>
      <c r="J607" s="587"/>
      <c r="K607" s="587"/>
      <c r="L607" s="587"/>
      <c r="M607" s="587"/>
      <c r="O607" s="587"/>
      <c r="P607" s="587"/>
    </row>
    <row r="608" spans="1:16" x14ac:dyDescent="0.2">
      <c r="A608" s="589" t="s">
        <v>1027</v>
      </c>
      <c r="B608" s="589"/>
      <c r="C608" s="589"/>
      <c r="D608" s="589"/>
      <c r="E608" s="589"/>
      <c r="H608" s="587"/>
      <c r="I608" s="587"/>
      <c r="J608" s="587" t="s">
        <v>968</v>
      </c>
      <c r="K608" s="587"/>
      <c r="L608" s="587">
        <v>791.48</v>
      </c>
      <c r="M608" s="587"/>
      <c r="O608" s="587">
        <f t="shared" ref="O608:O610" si="65">H608*L608</f>
        <v>0</v>
      </c>
      <c r="P608" s="587"/>
    </row>
    <row r="609" spans="1:16" x14ac:dyDescent="0.2">
      <c r="A609" s="589" t="s">
        <v>1028</v>
      </c>
      <c r="B609" s="589"/>
      <c r="C609" s="589"/>
      <c r="D609" s="589"/>
      <c r="E609" s="589"/>
      <c r="H609" s="587"/>
      <c r="I609" s="587"/>
      <c r="J609" s="587" t="s">
        <v>968</v>
      </c>
      <c r="K609" s="587"/>
      <c r="L609" s="590">
        <v>1047.42</v>
      </c>
      <c r="M609" s="587"/>
      <c r="O609" s="587">
        <f t="shared" si="65"/>
        <v>0</v>
      </c>
      <c r="P609" s="587"/>
    </row>
    <row r="610" spans="1:16" x14ac:dyDescent="0.2">
      <c r="A610" s="589" t="s">
        <v>1029</v>
      </c>
      <c r="B610" s="589"/>
      <c r="C610" s="589"/>
      <c r="D610" s="589"/>
      <c r="E610" s="589"/>
      <c r="H610" s="587"/>
      <c r="I610" s="587"/>
      <c r="J610" s="587" t="s">
        <v>968</v>
      </c>
      <c r="K610" s="587"/>
      <c r="L610" s="590">
        <v>1406.22</v>
      </c>
      <c r="M610" s="587"/>
      <c r="O610" s="587">
        <f t="shared" si="65"/>
        <v>0</v>
      </c>
      <c r="P610" s="587"/>
    </row>
    <row r="611" spans="1:16" x14ac:dyDescent="0.2">
      <c r="A611" s="588" t="s">
        <v>1030</v>
      </c>
      <c r="B611" s="589"/>
      <c r="C611" s="589"/>
      <c r="D611" s="589"/>
      <c r="E611" s="589"/>
      <c r="H611" s="587"/>
      <c r="I611" s="587"/>
      <c r="J611" s="587" t="s">
        <v>968</v>
      </c>
      <c r="K611" s="587"/>
      <c r="L611" s="634"/>
      <c r="M611" s="634"/>
      <c r="O611" s="587">
        <f t="shared" ref="O611" si="66">H611*L611</f>
        <v>0</v>
      </c>
      <c r="P611" s="587"/>
    </row>
    <row r="612" spans="1:16" x14ac:dyDescent="0.2">
      <c r="A612" s="587"/>
      <c r="B612" s="587"/>
      <c r="C612" s="587"/>
      <c r="D612" s="587"/>
      <c r="E612" s="587"/>
      <c r="H612" s="587"/>
      <c r="I612" s="587"/>
      <c r="J612" s="587"/>
      <c r="K612" s="587"/>
      <c r="L612" s="587"/>
      <c r="M612" s="587"/>
      <c r="O612" s="587"/>
      <c r="P612" s="587"/>
    </row>
    <row r="613" spans="1:16" x14ac:dyDescent="0.2">
      <c r="A613" s="589" t="s">
        <v>1031</v>
      </c>
      <c r="B613" s="589"/>
      <c r="C613" s="589"/>
      <c r="D613" s="589"/>
      <c r="E613" s="589"/>
      <c r="H613" s="587"/>
      <c r="I613" s="587"/>
      <c r="J613" s="587"/>
      <c r="K613" s="587"/>
      <c r="L613" s="587"/>
      <c r="M613" s="587"/>
      <c r="O613" s="587"/>
      <c r="P613" s="587"/>
    </row>
    <row r="614" spans="1:16" x14ac:dyDescent="0.2">
      <c r="A614" s="589" t="s">
        <v>1032</v>
      </c>
      <c r="B614" s="589"/>
      <c r="C614" s="589"/>
      <c r="D614" s="589"/>
      <c r="E614" s="589"/>
      <c r="H614" s="587"/>
      <c r="I614" s="587"/>
      <c r="J614" s="587"/>
      <c r="K614" s="587"/>
      <c r="L614" s="587"/>
      <c r="M614" s="587"/>
      <c r="O614" s="587"/>
      <c r="P614" s="587"/>
    </row>
    <row r="615" spans="1:16" x14ac:dyDescent="0.2">
      <c r="A615" s="589" t="s">
        <v>1033</v>
      </c>
      <c r="B615" s="589"/>
      <c r="C615" s="589"/>
      <c r="D615" s="589"/>
      <c r="E615" s="589"/>
      <c r="H615" s="587"/>
      <c r="I615" s="587"/>
      <c r="J615" s="587"/>
      <c r="K615" s="587"/>
      <c r="L615" s="587"/>
      <c r="M615" s="587"/>
      <c r="O615" s="587"/>
      <c r="P615" s="587"/>
    </row>
    <row r="616" spans="1:16" x14ac:dyDescent="0.2">
      <c r="A616" s="589" t="s">
        <v>1034</v>
      </c>
      <c r="B616" s="589"/>
      <c r="C616" s="589"/>
      <c r="D616" s="589"/>
      <c r="E616" s="589"/>
      <c r="H616" s="587"/>
      <c r="I616" s="587"/>
      <c r="J616" s="587" t="s">
        <v>774</v>
      </c>
      <c r="K616" s="587"/>
      <c r="L616" s="590">
        <v>2305.69</v>
      </c>
      <c r="M616" s="587"/>
      <c r="O616" s="587">
        <f>H616*L616</f>
        <v>0</v>
      </c>
      <c r="P616" s="587"/>
    </row>
    <row r="617" spans="1:16" x14ac:dyDescent="0.2">
      <c r="A617" s="589" t="s">
        <v>1035</v>
      </c>
      <c r="B617" s="589"/>
      <c r="C617" s="589"/>
      <c r="D617" s="589"/>
      <c r="E617" s="589"/>
      <c r="H617" s="587"/>
      <c r="I617" s="587"/>
      <c r="J617" s="587"/>
      <c r="K617" s="587"/>
      <c r="L617" s="587"/>
      <c r="M617" s="587"/>
      <c r="O617" s="587"/>
      <c r="P617" s="587"/>
    </row>
    <row r="618" spans="1:16" x14ac:dyDescent="0.2">
      <c r="A618" s="463"/>
      <c r="B618" s="463"/>
      <c r="C618" s="463"/>
      <c r="D618" s="463"/>
      <c r="E618" s="463"/>
      <c r="H618" s="410"/>
      <c r="I618" s="410"/>
      <c r="J618" s="410"/>
      <c r="K618" s="410"/>
      <c r="L618" s="410"/>
      <c r="M618" s="410"/>
      <c r="O618" s="410"/>
      <c r="P618" s="410"/>
    </row>
    <row r="619" spans="1:16" x14ac:dyDescent="0.2">
      <c r="A619" s="587" t="s">
        <v>1036</v>
      </c>
      <c r="B619" s="587"/>
      <c r="C619" s="587"/>
      <c r="D619" s="587"/>
      <c r="E619" s="587"/>
      <c r="H619" s="587"/>
      <c r="I619" s="587"/>
      <c r="J619" s="587" t="s">
        <v>774</v>
      </c>
      <c r="K619" s="587"/>
      <c r="L619" s="590">
        <v>320</v>
      </c>
      <c r="M619" s="587"/>
      <c r="O619" s="587">
        <f>H619*L619</f>
        <v>0</v>
      </c>
      <c r="P619" s="587"/>
    </row>
    <row r="620" spans="1:16" x14ac:dyDescent="0.2">
      <c r="A620" s="587"/>
      <c r="B620" s="587"/>
      <c r="C620" s="587"/>
      <c r="D620" s="587"/>
      <c r="E620" s="587"/>
      <c r="H620" s="587"/>
      <c r="I620" s="587"/>
      <c r="J620" s="587"/>
      <c r="K620" s="587"/>
      <c r="L620" s="587"/>
      <c r="M620" s="587"/>
      <c r="O620" s="587"/>
      <c r="P620" s="587"/>
    </row>
    <row r="621" spans="1:16" hidden="1" x14ac:dyDescent="0.2">
      <c r="A621" s="587"/>
      <c r="B621" s="587"/>
      <c r="C621" s="587"/>
      <c r="D621" s="587"/>
      <c r="E621" s="587"/>
      <c r="H621" s="587"/>
      <c r="I621" s="587"/>
      <c r="J621" s="587"/>
      <c r="K621" s="587"/>
      <c r="L621" s="587"/>
      <c r="M621" s="587"/>
      <c r="O621" s="587"/>
      <c r="P621" s="587"/>
    </row>
    <row r="622" spans="1:16" hidden="1" x14ac:dyDescent="0.2">
      <c r="A622" s="589" t="s">
        <v>1037</v>
      </c>
      <c r="B622" s="589"/>
      <c r="C622" s="589"/>
      <c r="D622" s="589"/>
      <c r="E622" s="589"/>
      <c r="H622" s="587"/>
      <c r="I622" s="587"/>
      <c r="J622" s="587"/>
      <c r="K622" s="587"/>
      <c r="L622" s="587"/>
      <c r="M622" s="587"/>
      <c r="O622" s="587"/>
      <c r="P622" s="587"/>
    </row>
    <row r="623" spans="1:16" hidden="1" x14ac:dyDescent="0.2">
      <c r="A623" s="589" t="s">
        <v>1038</v>
      </c>
      <c r="B623" s="589"/>
      <c r="C623" s="589"/>
      <c r="D623" s="589"/>
      <c r="E623" s="589"/>
      <c r="H623" s="587"/>
      <c r="I623" s="587"/>
      <c r="J623" s="587"/>
      <c r="K623" s="587"/>
      <c r="L623" s="587"/>
      <c r="M623" s="587"/>
      <c r="O623" s="587"/>
      <c r="P623" s="587"/>
    </row>
    <row r="624" spans="1:16" hidden="1" x14ac:dyDescent="0.2">
      <c r="A624" s="589" t="s">
        <v>1039</v>
      </c>
      <c r="B624" s="589"/>
      <c r="C624" s="589"/>
      <c r="D624" s="589"/>
      <c r="E624" s="589"/>
      <c r="H624" s="587"/>
      <c r="I624" s="587"/>
      <c r="J624" s="587"/>
      <c r="K624" s="587"/>
      <c r="L624" s="587"/>
      <c r="M624" s="587"/>
      <c r="O624" s="587"/>
      <c r="P624" s="587"/>
    </row>
    <row r="625" spans="1:16" hidden="1" x14ac:dyDescent="0.2">
      <c r="A625" s="589" t="s">
        <v>1040</v>
      </c>
      <c r="B625" s="589"/>
      <c r="C625" s="589"/>
      <c r="D625" s="589"/>
      <c r="E625" s="589"/>
      <c r="H625" s="587"/>
      <c r="I625" s="587"/>
      <c r="J625" s="587"/>
      <c r="K625" s="587"/>
      <c r="L625" s="587"/>
      <c r="M625" s="587"/>
      <c r="O625" s="587"/>
      <c r="P625" s="587"/>
    </row>
    <row r="626" spans="1:16" hidden="1" x14ac:dyDescent="0.2">
      <c r="A626" s="589" t="s">
        <v>1041</v>
      </c>
      <c r="B626" s="589"/>
      <c r="C626" s="589"/>
      <c r="D626" s="589"/>
      <c r="E626" s="589"/>
      <c r="H626" s="587"/>
      <c r="I626" s="587"/>
      <c r="J626" s="587" t="s">
        <v>968</v>
      </c>
      <c r="K626" s="587"/>
      <c r="L626" s="587">
        <v>177.26</v>
      </c>
      <c r="M626" s="587"/>
      <c r="O626" s="587">
        <f t="shared" ref="O626:O628" si="67">H626*L626</f>
        <v>0</v>
      </c>
      <c r="P626" s="587"/>
    </row>
    <row r="627" spans="1:16" hidden="1" x14ac:dyDescent="0.2">
      <c r="A627" s="589" t="s">
        <v>1042</v>
      </c>
      <c r="B627" s="589"/>
      <c r="C627" s="589"/>
      <c r="D627" s="589"/>
      <c r="E627" s="589"/>
      <c r="H627" s="587"/>
      <c r="I627" s="587"/>
      <c r="J627" s="587" t="s">
        <v>968</v>
      </c>
      <c r="K627" s="587"/>
      <c r="L627" s="590">
        <v>1148.1199999999999</v>
      </c>
      <c r="M627" s="587"/>
      <c r="O627" s="587">
        <f t="shared" si="67"/>
        <v>0</v>
      </c>
      <c r="P627" s="587"/>
    </row>
    <row r="628" spans="1:16" hidden="1" x14ac:dyDescent="0.2">
      <c r="A628" s="589" t="s">
        <v>1043</v>
      </c>
      <c r="B628" s="589"/>
      <c r="C628" s="589"/>
      <c r="D628" s="589"/>
      <c r="E628" s="589"/>
      <c r="H628" s="587"/>
      <c r="I628" s="587"/>
      <c r="J628" s="587" t="s">
        <v>968</v>
      </c>
      <c r="K628" s="587"/>
      <c r="L628" s="587">
        <v>542.70000000000005</v>
      </c>
      <c r="M628" s="587"/>
      <c r="O628" s="587">
        <f t="shared" si="67"/>
        <v>0</v>
      </c>
      <c r="P628" s="587"/>
    </row>
    <row r="629" spans="1:16" hidden="1" x14ac:dyDescent="0.2">
      <c r="A629" s="587"/>
      <c r="B629" s="587"/>
      <c r="C629" s="587"/>
      <c r="D629" s="587"/>
      <c r="E629" s="587"/>
      <c r="H629" s="587"/>
      <c r="I629" s="587"/>
      <c r="J629" s="587"/>
      <c r="K629" s="587"/>
      <c r="L629" s="587"/>
      <c r="M629" s="587"/>
      <c r="O629" s="587"/>
      <c r="P629" s="587"/>
    </row>
    <row r="630" spans="1:16" hidden="1" x14ac:dyDescent="0.2">
      <c r="A630" s="587"/>
      <c r="B630" s="587"/>
      <c r="C630" s="587"/>
      <c r="D630" s="587"/>
      <c r="E630" s="587"/>
      <c r="H630" s="587"/>
      <c r="I630" s="587"/>
      <c r="J630" s="587"/>
      <c r="K630" s="587"/>
      <c r="L630" s="587"/>
      <c r="M630" s="587"/>
      <c r="O630" s="587"/>
      <c r="P630" s="587"/>
    </row>
    <row r="631" spans="1:16" hidden="1" x14ac:dyDescent="0.2">
      <c r="A631" s="589" t="s">
        <v>1044</v>
      </c>
      <c r="B631" s="589"/>
      <c r="C631" s="589"/>
      <c r="D631" s="589"/>
      <c r="E631" s="589"/>
      <c r="H631" s="587"/>
      <c r="I631" s="587"/>
      <c r="J631" s="587" t="s">
        <v>968</v>
      </c>
      <c r="K631" s="587"/>
      <c r="L631" s="587">
        <v>182.46</v>
      </c>
      <c r="M631" s="587"/>
      <c r="O631" s="587">
        <f>H631*L631</f>
        <v>0</v>
      </c>
      <c r="P631" s="587"/>
    </row>
    <row r="632" spans="1:16" hidden="1" x14ac:dyDescent="0.2">
      <c r="A632" s="589" t="s">
        <v>1045</v>
      </c>
      <c r="B632" s="589"/>
      <c r="C632" s="589"/>
      <c r="D632" s="589"/>
      <c r="E632" s="589"/>
      <c r="H632" s="587"/>
      <c r="I632" s="587"/>
      <c r="J632" s="587"/>
      <c r="K632" s="587"/>
      <c r="L632" s="587"/>
      <c r="M632" s="587"/>
      <c r="O632" s="587"/>
      <c r="P632" s="587"/>
    </row>
    <row r="633" spans="1:16" hidden="1" x14ac:dyDescent="0.2">
      <c r="A633" s="589" t="s">
        <v>1046</v>
      </c>
      <c r="B633" s="589"/>
      <c r="C633" s="589"/>
      <c r="D633" s="589"/>
      <c r="E633" s="589"/>
      <c r="H633" s="587"/>
      <c r="I633" s="587"/>
      <c r="J633" s="587"/>
      <c r="K633" s="587"/>
      <c r="L633" s="587"/>
      <c r="M633" s="587"/>
      <c r="O633" s="587"/>
      <c r="P633" s="587"/>
    </row>
    <row r="634" spans="1:16" hidden="1" x14ac:dyDescent="0.2">
      <c r="A634" s="587"/>
      <c r="B634" s="587"/>
      <c r="C634" s="587"/>
      <c r="D634" s="587"/>
      <c r="E634" s="587"/>
      <c r="H634" s="587"/>
      <c r="I634" s="587"/>
      <c r="J634" s="587"/>
      <c r="K634" s="587"/>
      <c r="L634" s="587"/>
      <c r="M634" s="587"/>
      <c r="O634" s="587"/>
      <c r="P634" s="587"/>
    </row>
    <row r="635" spans="1:16" hidden="1" x14ac:dyDescent="0.2">
      <c r="A635" s="587"/>
      <c r="B635" s="587"/>
      <c r="C635" s="587"/>
      <c r="D635" s="587"/>
      <c r="E635" s="587"/>
      <c r="H635" s="587"/>
      <c r="I635" s="587"/>
      <c r="J635" s="587"/>
      <c r="K635" s="587"/>
      <c r="L635" s="587"/>
      <c r="M635" s="587"/>
      <c r="O635" s="587"/>
      <c r="P635" s="587"/>
    </row>
    <row r="636" spans="1:16" hidden="1" x14ac:dyDescent="0.2">
      <c r="A636" s="635" t="s">
        <v>1047</v>
      </c>
      <c r="B636" s="635"/>
      <c r="C636" s="635"/>
      <c r="D636" s="635"/>
      <c r="E636" s="635"/>
      <c r="H636" s="587"/>
      <c r="I636" s="587"/>
      <c r="J636" s="587" t="s">
        <v>802</v>
      </c>
      <c r="K636" s="587"/>
      <c r="L636" s="590">
        <v>6081.91</v>
      </c>
      <c r="M636" s="587"/>
      <c r="O636" s="587">
        <f t="shared" ref="O636" si="68">H636*L636</f>
        <v>0</v>
      </c>
      <c r="P636" s="587"/>
    </row>
    <row r="637" spans="1:16" hidden="1" x14ac:dyDescent="0.2">
      <c r="A637" s="635" t="s">
        <v>1048</v>
      </c>
      <c r="B637" s="635"/>
      <c r="C637" s="635"/>
      <c r="D637" s="635"/>
      <c r="E637" s="635"/>
      <c r="H637" s="587"/>
      <c r="I637" s="587"/>
      <c r="J637" s="587"/>
      <c r="K637" s="587"/>
      <c r="L637" s="587"/>
      <c r="M637" s="587"/>
      <c r="O637" s="587"/>
      <c r="P637" s="587"/>
    </row>
    <row r="638" spans="1:16" hidden="1" x14ac:dyDescent="0.2">
      <c r="A638" s="635" t="s">
        <v>1049</v>
      </c>
      <c r="B638" s="635"/>
      <c r="C638" s="635"/>
      <c r="D638" s="635"/>
      <c r="E638" s="635"/>
      <c r="H638" s="587"/>
      <c r="I638" s="587"/>
      <c r="J638" s="587"/>
      <c r="K638" s="587"/>
      <c r="L638" s="587"/>
      <c r="M638" s="587"/>
      <c r="O638" s="587"/>
      <c r="P638" s="587"/>
    </row>
    <row r="639" spans="1:16" hidden="1" x14ac:dyDescent="0.2">
      <c r="A639" s="635" t="s">
        <v>1050</v>
      </c>
      <c r="B639" s="635"/>
      <c r="C639" s="635"/>
      <c r="D639" s="635"/>
      <c r="E639" s="635"/>
      <c r="H639" s="587"/>
      <c r="I639" s="587"/>
      <c r="J639" s="587"/>
      <c r="K639" s="587"/>
      <c r="L639" s="587"/>
      <c r="M639" s="587"/>
      <c r="O639" s="587"/>
      <c r="P639" s="587"/>
    </row>
    <row r="640" spans="1:16" hidden="1" x14ac:dyDescent="0.2">
      <c r="A640" s="635" t="s">
        <v>1051</v>
      </c>
      <c r="B640" s="635"/>
      <c r="C640" s="635"/>
      <c r="D640" s="635"/>
      <c r="E640" s="635"/>
      <c r="H640" s="587"/>
      <c r="I640" s="587"/>
      <c r="J640" s="587"/>
      <c r="K640" s="587"/>
      <c r="L640" s="587"/>
      <c r="M640" s="587"/>
      <c r="O640" s="587"/>
      <c r="P640" s="587"/>
    </row>
    <row r="641" spans="1:16" hidden="1" x14ac:dyDescent="0.2">
      <c r="A641" s="587"/>
      <c r="B641" s="587"/>
      <c r="C641" s="587"/>
      <c r="D641" s="587"/>
      <c r="E641" s="587"/>
      <c r="H641" s="587"/>
      <c r="I641" s="587"/>
      <c r="J641" s="587"/>
      <c r="K641" s="587"/>
      <c r="L641" s="587"/>
      <c r="M641" s="587"/>
      <c r="O641" s="587"/>
      <c r="P641" s="587"/>
    </row>
    <row r="642" spans="1:16" hidden="1" x14ac:dyDescent="0.2">
      <c r="A642" s="587"/>
      <c r="B642" s="587"/>
      <c r="C642" s="587"/>
      <c r="D642" s="587"/>
      <c r="E642" s="587"/>
      <c r="H642" s="587"/>
      <c r="I642" s="587"/>
      <c r="J642" s="587"/>
      <c r="K642" s="587"/>
      <c r="L642" s="587"/>
      <c r="M642" s="587"/>
      <c r="O642" s="587"/>
      <c r="P642" s="587"/>
    </row>
    <row r="643" spans="1:16" hidden="1" x14ac:dyDescent="0.2">
      <c r="A643" s="589" t="s">
        <v>1052</v>
      </c>
      <c r="B643" s="589"/>
      <c r="C643" s="589"/>
      <c r="D643" s="589"/>
      <c r="E643" s="589"/>
      <c r="H643" s="587"/>
      <c r="I643" s="587"/>
      <c r="J643" s="587" t="s">
        <v>774</v>
      </c>
      <c r="K643" s="587"/>
      <c r="L643" s="587">
        <v>729.83</v>
      </c>
      <c r="M643" s="587"/>
      <c r="O643" s="587">
        <f t="shared" ref="O643" si="69">H643*L643</f>
        <v>0</v>
      </c>
      <c r="P643" s="587"/>
    </row>
    <row r="644" spans="1:16" hidden="1" x14ac:dyDescent="0.2">
      <c r="A644" s="589" t="s">
        <v>1053</v>
      </c>
      <c r="B644" s="589"/>
      <c r="C644" s="589"/>
      <c r="D644" s="589"/>
      <c r="E644" s="589"/>
      <c r="H644" s="587"/>
      <c r="I644" s="587"/>
      <c r="J644" s="587"/>
      <c r="K644" s="587"/>
      <c r="L644" s="587"/>
      <c r="M644" s="587"/>
      <c r="O644" s="587"/>
      <c r="P644" s="587"/>
    </row>
    <row r="645" spans="1:16" hidden="1" x14ac:dyDescent="0.2">
      <c r="A645" s="589" t="s">
        <v>1054</v>
      </c>
      <c r="B645" s="589"/>
      <c r="C645" s="589"/>
      <c r="D645" s="589"/>
      <c r="E645" s="589"/>
      <c r="H645" s="587"/>
      <c r="I645" s="587"/>
      <c r="J645" s="587"/>
      <c r="K645" s="587"/>
      <c r="L645" s="587"/>
      <c r="M645" s="587"/>
      <c r="O645" s="587"/>
      <c r="P645" s="587"/>
    </row>
    <row r="646" spans="1:16" hidden="1" x14ac:dyDescent="0.2">
      <c r="A646" s="589" t="s">
        <v>1055</v>
      </c>
      <c r="B646" s="589"/>
      <c r="C646" s="589"/>
      <c r="D646" s="589"/>
      <c r="E646" s="589"/>
      <c r="H646" s="587"/>
      <c r="I646" s="587"/>
      <c r="J646" s="587"/>
      <c r="K646" s="587"/>
      <c r="L646" s="587"/>
      <c r="M646" s="587"/>
      <c r="O646" s="587"/>
      <c r="P646" s="587"/>
    </row>
    <row r="647" spans="1:16" hidden="1" x14ac:dyDescent="0.2">
      <c r="A647" s="587"/>
      <c r="B647" s="587"/>
      <c r="C647" s="587"/>
      <c r="D647" s="587"/>
      <c r="E647" s="587"/>
      <c r="H647" s="587"/>
      <c r="I647" s="587"/>
      <c r="J647" s="587"/>
      <c r="K647" s="587"/>
      <c r="L647" s="587"/>
      <c r="M647" s="587"/>
      <c r="O647" s="587"/>
      <c r="P647" s="587"/>
    </row>
    <row r="648" spans="1:16" x14ac:dyDescent="0.2">
      <c r="A648" s="587"/>
      <c r="B648" s="587"/>
      <c r="C648" s="587"/>
      <c r="D648" s="587"/>
      <c r="E648" s="587"/>
      <c r="H648" s="587"/>
      <c r="I648" s="587"/>
      <c r="J648" s="587"/>
      <c r="K648" s="587"/>
      <c r="L648" s="587"/>
      <c r="M648" s="587"/>
      <c r="O648" s="587"/>
      <c r="P648" s="587"/>
    </row>
    <row r="649" spans="1:16" x14ac:dyDescent="0.2">
      <c r="A649" s="589" t="s">
        <v>1056</v>
      </c>
      <c r="B649" s="589"/>
      <c r="C649" s="589"/>
      <c r="D649" s="589"/>
      <c r="E649" s="589"/>
      <c r="H649" s="587"/>
      <c r="I649" s="587"/>
      <c r="J649" s="587"/>
      <c r="K649" s="587"/>
      <c r="L649" s="587"/>
      <c r="M649" s="587"/>
      <c r="O649" s="587"/>
      <c r="P649" s="587"/>
    </row>
    <row r="650" spans="1:16" x14ac:dyDescent="0.2">
      <c r="A650" s="589" t="s">
        <v>1057</v>
      </c>
      <c r="B650" s="589"/>
      <c r="C650" s="589"/>
      <c r="D650" s="589"/>
      <c r="E650" s="589"/>
      <c r="H650" s="587"/>
      <c r="I650" s="587"/>
      <c r="J650" s="587"/>
      <c r="K650" s="587"/>
      <c r="L650" s="587"/>
      <c r="M650" s="587"/>
      <c r="O650" s="587"/>
      <c r="P650" s="587"/>
    </row>
    <row r="651" spans="1:16" x14ac:dyDescent="0.2">
      <c r="A651" s="589" t="s">
        <v>1058</v>
      </c>
      <c r="B651" s="589"/>
      <c r="C651" s="589"/>
      <c r="D651" s="589"/>
      <c r="E651" s="589"/>
      <c r="H651" s="587"/>
      <c r="I651" s="587"/>
      <c r="J651" s="587"/>
      <c r="K651" s="587"/>
      <c r="L651" s="587"/>
      <c r="M651" s="587"/>
      <c r="O651" s="587"/>
      <c r="P651" s="587"/>
    </row>
    <row r="652" spans="1:16" x14ac:dyDescent="0.2">
      <c r="A652" s="589" t="s">
        <v>1059</v>
      </c>
      <c r="B652" s="589"/>
      <c r="C652" s="589"/>
      <c r="D652" s="589"/>
      <c r="E652" s="589"/>
      <c r="H652" s="587"/>
      <c r="I652" s="587"/>
      <c r="J652" s="587"/>
      <c r="K652" s="587"/>
      <c r="L652" s="587"/>
      <c r="M652" s="587"/>
      <c r="O652" s="587"/>
      <c r="P652" s="587"/>
    </row>
    <row r="653" spans="1:16" x14ac:dyDescent="0.2">
      <c r="A653" s="589" t="s">
        <v>1060</v>
      </c>
      <c r="B653" s="589"/>
      <c r="C653" s="589"/>
      <c r="D653" s="589"/>
      <c r="E653" s="589"/>
      <c r="H653" s="587"/>
      <c r="I653" s="587"/>
      <c r="J653" s="587"/>
      <c r="K653" s="587"/>
      <c r="L653" s="587"/>
      <c r="M653" s="587"/>
      <c r="O653" s="587"/>
      <c r="P653" s="587"/>
    </row>
    <row r="654" spans="1:16" x14ac:dyDescent="0.2">
      <c r="A654" s="614" t="s">
        <v>1061</v>
      </c>
      <c r="B654" s="589"/>
      <c r="C654" s="589"/>
      <c r="D654" s="589"/>
      <c r="E654" s="589"/>
      <c r="H654" s="587"/>
      <c r="I654" s="587"/>
      <c r="J654" s="587" t="s">
        <v>679</v>
      </c>
      <c r="K654" s="587"/>
      <c r="L654" s="590">
        <v>1507.95</v>
      </c>
      <c r="M654" s="587"/>
      <c r="O654" s="587">
        <f t="shared" ref="O654:O655" si="70">H654*L654</f>
        <v>0</v>
      </c>
      <c r="P654" s="587"/>
    </row>
    <row r="655" spans="1:16" x14ac:dyDescent="0.2">
      <c r="A655" s="589" t="s">
        <v>1062</v>
      </c>
      <c r="B655" s="589"/>
      <c r="C655" s="589"/>
      <c r="D655" s="589"/>
      <c r="E655" s="589"/>
      <c r="H655" s="587"/>
      <c r="I655" s="587"/>
      <c r="J655" s="587" t="s">
        <v>679</v>
      </c>
      <c r="K655" s="587"/>
      <c r="L655" s="590">
        <v>1507.95</v>
      </c>
      <c r="M655" s="587"/>
      <c r="O655" s="587">
        <f t="shared" si="70"/>
        <v>0</v>
      </c>
      <c r="P655" s="587"/>
    </row>
    <row r="656" spans="1:16" x14ac:dyDescent="0.2">
      <c r="A656" s="587"/>
      <c r="B656" s="587"/>
      <c r="C656" s="587"/>
      <c r="D656" s="587"/>
      <c r="E656" s="587"/>
      <c r="H656" s="587"/>
      <c r="I656" s="587"/>
      <c r="J656" s="587"/>
      <c r="K656" s="587"/>
      <c r="L656" s="587"/>
      <c r="M656" s="587"/>
      <c r="O656" s="587"/>
      <c r="P656" s="587"/>
    </row>
    <row r="657" spans="1:16" x14ac:dyDescent="0.2">
      <c r="A657" s="587" t="s">
        <v>1063</v>
      </c>
      <c r="B657" s="587"/>
      <c r="C657" s="587"/>
      <c r="D657" s="587"/>
      <c r="E657" s="587"/>
      <c r="H657" s="587"/>
      <c r="I657" s="587"/>
      <c r="J657" s="587" t="s">
        <v>679</v>
      </c>
      <c r="K657" s="587"/>
      <c r="L657" s="590">
        <v>1180</v>
      </c>
      <c r="M657" s="587"/>
      <c r="O657" s="587">
        <f t="shared" ref="O657" si="71">H657*L657</f>
        <v>0</v>
      </c>
      <c r="P657" s="587"/>
    </row>
    <row r="658" spans="1:16" x14ac:dyDescent="0.2">
      <c r="A658" s="587" t="s">
        <v>1064</v>
      </c>
      <c r="B658" s="587"/>
      <c r="C658" s="587"/>
      <c r="D658" s="587"/>
      <c r="E658" s="587"/>
      <c r="H658" s="587"/>
      <c r="I658" s="587"/>
      <c r="J658" s="587" t="s">
        <v>679</v>
      </c>
      <c r="K658" s="587"/>
      <c r="L658" s="590">
        <v>850</v>
      </c>
      <c r="M658" s="587"/>
      <c r="O658" s="587">
        <f t="shared" ref="O658:O659" si="72">H658*L658</f>
        <v>0</v>
      </c>
      <c r="P658" s="587"/>
    </row>
    <row r="659" spans="1:16" x14ac:dyDescent="0.2">
      <c r="A659" s="587" t="s">
        <v>1065</v>
      </c>
      <c r="B659" s="587"/>
      <c r="C659" s="587"/>
      <c r="D659" s="587"/>
      <c r="E659" s="587"/>
      <c r="H659" s="587"/>
      <c r="I659" s="587"/>
      <c r="J659" s="587" t="s">
        <v>679</v>
      </c>
      <c r="K659" s="587"/>
      <c r="L659" s="590">
        <v>1200</v>
      </c>
      <c r="M659" s="587"/>
      <c r="O659" s="587">
        <f t="shared" si="72"/>
        <v>0</v>
      </c>
      <c r="P659" s="587"/>
    </row>
    <row r="660" spans="1:16" x14ac:dyDescent="0.2">
      <c r="A660" s="587" t="s">
        <v>1066</v>
      </c>
      <c r="B660" s="587"/>
      <c r="C660" s="587"/>
      <c r="D660" s="587"/>
      <c r="E660" s="587"/>
      <c r="H660" s="587"/>
      <c r="I660" s="587"/>
      <c r="J660" s="587" t="s">
        <v>679</v>
      </c>
      <c r="K660" s="587"/>
      <c r="L660" s="590">
        <v>680</v>
      </c>
      <c r="M660" s="587"/>
      <c r="O660" s="587">
        <f t="shared" ref="O660" si="73">H660*L660</f>
        <v>0</v>
      </c>
      <c r="P660" s="587"/>
    </row>
    <row r="661" spans="1:16" x14ac:dyDescent="0.2">
      <c r="A661" s="587"/>
      <c r="B661" s="587"/>
      <c r="C661" s="587"/>
      <c r="D661" s="587"/>
      <c r="E661" s="587"/>
      <c r="H661" s="587"/>
      <c r="I661" s="587"/>
      <c r="J661" s="587"/>
      <c r="K661" s="587"/>
      <c r="L661" s="587"/>
      <c r="M661" s="587"/>
      <c r="O661" s="587"/>
      <c r="P661" s="587"/>
    </row>
    <row r="662" spans="1:16" hidden="1" x14ac:dyDescent="0.2">
      <c r="A662" s="589" t="s">
        <v>1067</v>
      </c>
      <c r="B662" s="589"/>
      <c r="C662" s="589"/>
      <c r="D662" s="589"/>
      <c r="E662" s="589"/>
      <c r="H662" s="587"/>
      <c r="I662" s="587"/>
      <c r="J662" s="587"/>
      <c r="K662" s="587"/>
      <c r="L662" s="587"/>
      <c r="M662" s="587"/>
      <c r="O662" s="587"/>
      <c r="P662" s="587"/>
    </row>
    <row r="663" spans="1:16" hidden="1" x14ac:dyDescent="0.2">
      <c r="A663" s="589" t="s">
        <v>1068</v>
      </c>
      <c r="B663" s="589"/>
      <c r="C663" s="589"/>
      <c r="D663" s="589"/>
      <c r="E663" s="589"/>
      <c r="H663" s="587"/>
      <c r="I663" s="587"/>
      <c r="J663" s="587" t="s">
        <v>348</v>
      </c>
      <c r="K663" s="587"/>
      <c r="L663" s="587">
        <v>250</v>
      </c>
      <c r="M663" s="587"/>
      <c r="O663" s="587">
        <f t="shared" ref="O663" si="74">H663*L663</f>
        <v>0</v>
      </c>
      <c r="P663" s="587"/>
    </row>
    <row r="664" spans="1:16" hidden="1" x14ac:dyDescent="0.2">
      <c r="A664" s="589" t="s">
        <v>1069</v>
      </c>
      <c r="B664" s="589"/>
      <c r="C664" s="589"/>
      <c r="D664" s="589"/>
      <c r="E664" s="589"/>
      <c r="H664" s="587" t="s">
        <v>734</v>
      </c>
      <c r="I664" s="587"/>
      <c r="J664" s="587" t="s">
        <v>348</v>
      </c>
      <c r="K664" s="587"/>
      <c r="L664" s="587">
        <v>150</v>
      </c>
      <c r="M664" s="587"/>
      <c r="O664" s="587"/>
      <c r="P664" s="587"/>
    </row>
    <row r="665" spans="1:16" hidden="1" x14ac:dyDescent="0.2">
      <c r="A665" s="589" t="s">
        <v>1070</v>
      </c>
      <c r="B665" s="589"/>
      <c r="C665" s="589"/>
      <c r="D665" s="589"/>
      <c r="E665" s="589"/>
      <c r="H665" s="587"/>
      <c r="I665" s="587"/>
      <c r="J665" s="587"/>
      <c r="K665" s="587"/>
      <c r="L665" s="587"/>
      <c r="M665" s="587"/>
      <c r="O665" s="587"/>
      <c r="P665" s="587"/>
    </row>
    <row r="666" spans="1:16" hidden="1" x14ac:dyDescent="0.2">
      <c r="A666" s="589" t="s">
        <v>1071</v>
      </c>
      <c r="B666" s="589"/>
      <c r="C666" s="589"/>
      <c r="D666" s="589"/>
      <c r="E666" s="589"/>
      <c r="H666" s="587"/>
      <c r="I666" s="587"/>
      <c r="J666" s="587"/>
      <c r="K666" s="587"/>
      <c r="L666" s="587"/>
      <c r="M666" s="587"/>
      <c r="O666" s="587"/>
      <c r="P666" s="587"/>
    </row>
    <row r="667" spans="1:16" hidden="1" x14ac:dyDescent="0.2">
      <c r="A667" s="587"/>
      <c r="B667" s="587"/>
      <c r="C667" s="587"/>
      <c r="D667" s="587"/>
      <c r="E667" s="587"/>
      <c r="H667" s="587"/>
      <c r="I667" s="587"/>
      <c r="J667" s="587"/>
      <c r="K667" s="587"/>
      <c r="L667" s="587"/>
      <c r="M667" s="587"/>
      <c r="O667" s="587"/>
      <c r="P667" s="587"/>
    </row>
    <row r="668" spans="1:16" hidden="1" x14ac:dyDescent="0.2">
      <c r="A668" s="587"/>
      <c r="B668" s="587"/>
      <c r="C668" s="587"/>
      <c r="D668" s="587"/>
      <c r="E668" s="587"/>
      <c r="H668" s="587"/>
      <c r="I668" s="587"/>
      <c r="J668" s="587"/>
      <c r="K668" s="587"/>
      <c r="L668" s="587"/>
      <c r="M668" s="587"/>
      <c r="O668" s="587"/>
      <c r="P668" s="587"/>
    </row>
    <row r="669" spans="1:16" hidden="1" x14ac:dyDescent="0.2">
      <c r="A669" s="589" t="s">
        <v>1072</v>
      </c>
      <c r="B669" s="589"/>
      <c r="C669" s="589"/>
      <c r="D669" s="589"/>
      <c r="E669" s="589"/>
      <c r="H669" s="587"/>
      <c r="I669" s="587"/>
      <c r="J669" s="587"/>
      <c r="K669" s="587"/>
      <c r="L669" s="587"/>
      <c r="M669" s="587"/>
      <c r="O669" s="587"/>
      <c r="P669" s="587"/>
    </row>
    <row r="670" spans="1:16" hidden="1" x14ac:dyDescent="0.2">
      <c r="A670" s="589" t="s">
        <v>1073</v>
      </c>
      <c r="B670" s="589"/>
      <c r="C670" s="589"/>
      <c r="D670" s="589"/>
      <c r="E670" s="589"/>
      <c r="H670" s="587" t="s">
        <v>1074</v>
      </c>
      <c r="I670" s="587"/>
      <c r="J670" s="587" t="s">
        <v>113</v>
      </c>
      <c r="K670" s="587"/>
      <c r="L670" s="587">
        <v>6.16</v>
      </c>
      <c r="M670" s="587"/>
      <c r="O670" s="587"/>
      <c r="P670" s="587"/>
    </row>
    <row r="671" spans="1:16" hidden="1" x14ac:dyDescent="0.2">
      <c r="A671" s="587"/>
      <c r="B671" s="587"/>
      <c r="C671" s="587"/>
      <c r="D671" s="587"/>
      <c r="E671" s="587"/>
      <c r="H671" s="587"/>
      <c r="I671" s="587"/>
      <c r="J671" s="587"/>
      <c r="K671" s="587"/>
      <c r="L671" s="587"/>
      <c r="M671" s="587"/>
      <c r="O671" s="587"/>
      <c r="P671" s="587"/>
    </row>
    <row r="672" spans="1:16" hidden="1" x14ac:dyDescent="0.2">
      <c r="A672" s="587"/>
      <c r="B672" s="587"/>
      <c r="C672" s="587"/>
      <c r="D672" s="587"/>
      <c r="E672" s="587"/>
      <c r="H672" s="587"/>
      <c r="I672" s="587"/>
      <c r="J672" s="587"/>
      <c r="K672" s="587"/>
      <c r="L672" s="587"/>
      <c r="M672" s="587"/>
      <c r="O672" s="587"/>
      <c r="P672" s="587"/>
    </row>
    <row r="673" spans="1:16" hidden="1" x14ac:dyDescent="0.2">
      <c r="A673" s="589" t="s">
        <v>1075</v>
      </c>
      <c r="B673" s="589"/>
      <c r="C673" s="589"/>
      <c r="D673" s="589"/>
      <c r="E673" s="589"/>
      <c r="H673" s="587"/>
      <c r="I673" s="587"/>
      <c r="J673" s="587"/>
      <c r="K673" s="587"/>
      <c r="L673" s="587"/>
      <c r="M673" s="587"/>
      <c r="O673" s="587"/>
      <c r="P673" s="587"/>
    </row>
    <row r="674" spans="1:16" hidden="1" x14ac:dyDescent="0.2">
      <c r="A674" s="589" t="s">
        <v>1076</v>
      </c>
      <c r="B674" s="589"/>
      <c r="C674" s="589"/>
      <c r="D674" s="589"/>
      <c r="E674" s="589"/>
      <c r="H674" s="587"/>
      <c r="I674" s="587"/>
      <c r="J674" s="587" t="s">
        <v>679</v>
      </c>
      <c r="K674" s="587"/>
      <c r="L674" s="590">
        <v>3955.54</v>
      </c>
      <c r="M674" s="587"/>
      <c r="O674" s="587">
        <f>H674*L674</f>
        <v>0</v>
      </c>
      <c r="P674" s="587"/>
    </row>
    <row r="675" spans="1:16" hidden="1" x14ac:dyDescent="0.2">
      <c r="A675" s="589" t="s">
        <v>1077</v>
      </c>
      <c r="B675" s="589"/>
      <c r="C675" s="589"/>
      <c r="D675" s="589"/>
      <c r="E675" s="589"/>
      <c r="H675" s="587"/>
      <c r="I675" s="587"/>
      <c r="J675" s="587"/>
      <c r="K675" s="587"/>
      <c r="L675" s="587"/>
      <c r="M675" s="587"/>
      <c r="O675" s="587"/>
      <c r="P675" s="587"/>
    </row>
    <row r="676" spans="1:16" hidden="1" x14ac:dyDescent="0.2">
      <c r="A676" s="589" t="s">
        <v>1078</v>
      </c>
      <c r="B676" s="589"/>
      <c r="C676" s="589"/>
      <c r="D676" s="589"/>
      <c r="E676" s="589"/>
      <c r="H676" s="587"/>
      <c r="I676" s="587"/>
      <c r="J676" s="587"/>
      <c r="K676" s="587"/>
      <c r="L676" s="587"/>
      <c r="M676" s="587"/>
      <c r="O676" s="587"/>
      <c r="P676" s="587"/>
    </row>
    <row r="677" spans="1:16" x14ac:dyDescent="0.2">
      <c r="A677" s="587"/>
      <c r="B677" s="587"/>
      <c r="C677" s="587"/>
      <c r="D677" s="587"/>
      <c r="E677" s="587"/>
      <c r="H677" s="587"/>
      <c r="I677" s="587"/>
      <c r="J677" s="587"/>
      <c r="K677" s="587"/>
      <c r="L677" s="587"/>
      <c r="M677" s="587"/>
      <c r="O677" s="587"/>
      <c r="P677" s="587"/>
    </row>
    <row r="678" spans="1:16" x14ac:dyDescent="0.2">
      <c r="A678" s="587"/>
      <c r="B678" s="587"/>
      <c r="C678" s="587"/>
      <c r="D678" s="587"/>
      <c r="E678" s="587"/>
      <c r="H678" s="587"/>
      <c r="I678" s="587"/>
      <c r="J678" s="587"/>
      <c r="K678" s="587"/>
      <c r="L678" s="587"/>
      <c r="M678" s="587"/>
      <c r="O678" s="587"/>
      <c r="P678" s="587"/>
    </row>
    <row r="679" spans="1:16" ht="15.75" thickBot="1" x14ac:dyDescent="0.3">
      <c r="A679" s="599" t="s">
        <v>1079</v>
      </c>
      <c r="B679" s="599"/>
      <c r="C679" s="599"/>
      <c r="D679" s="599"/>
      <c r="E679" s="599"/>
      <c r="H679" s="587"/>
      <c r="I679" s="587"/>
      <c r="J679" s="587"/>
      <c r="K679" s="587"/>
      <c r="L679" s="587"/>
      <c r="M679" s="587"/>
      <c r="O679" s="631">
        <f>SUM(O556:P678)</f>
        <v>0</v>
      </c>
      <c r="P679" s="631"/>
    </row>
    <row r="680" spans="1:16" ht="15.75" thickTop="1" x14ac:dyDescent="0.25">
      <c r="A680" s="599" t="s">
        <v>656</v>
      </c>
      <c r="B680" s="599"/>
      <c r="C680" s="599"/>
      <c r="D680" s="599"/>
      <c r="E680" s="599"/>
      <c r="H680" s="587"/>
      <c r="I680" s="587"/>
      <c r="J680" s="587"/>
      <c r="K680" s="587"/>
      <c r="L680" s="587"/>
      <c r="M680" s="587"/>
      <c r="O680" s="587"/>
      <c r="P680" s="587"/>
    </row>
    <row r="681" spans="1:16" x14ac:dyDescent="0.2">
      <c r="A681" s="587"/>
      <c r="B681" s="587"/>
      <c r="C681" s="587"/>
      <c r="D681" s="587"/>
      <c r="E681" s="587"/>
      <c r="H681" s="587"/>
      <c r="I681" s="587"/>
      <c r="J681" s="587"/>
      <c r="K681" s="587"/>
      <c r="L681" s="587"/>
      <c r="M681" s="587"/>
      <c r="O681" s="587"/>
      <c r="P681" s="587"/>
    </row>
    <row r="682" spans="1:16" x14ac:dyDescent="0.2">
      <c r="A682" s="587"/>
      <c r="B682" s="587"/>
      <c r="C682" s="587"/>
      <c r="D682" s="587"/>
      <c r="E682" s="587"/>
      <c r="H682" s="587"/>
      <c r="I682" s="587"/>
      <c r="J682" s="587"/>
      <c r="K682" s="587"/>
      <c r="L682" s="587"/>
      <c r="M682" s="587"/>
      <c r="O682" s="587"/>
      <c r="P682" s="587"/>
    </row>
    <row r="683" spans="1:16" ht="15" x14ac:dyDescent="0.25">
      <c r="A683" s="608" t="s">
        <v>1080</v>
      </c>
      <c r="B683" s="608"/>
      <c r="C683" s="608"/>
      <c r="D683" s="608"/>
      <c r="E683" s="608"/>
      <c r="F683" s="471"/>
      <c r="G683" s="471"/>
      <c r="H683" s="619"/>
      <c r="I683" s="619"/>
      <c r="J683" s="619"/>
      <c r="K683" s="619"/>
      <c r="L683" s="619"/>
      <c r="M683" s="619"/>
      <c r="N683" s="471"/>
      <c r="O683" s="619"/>
      <c r="P683" s="619"/>
    </row>
    <row r="684" spans="1:16" x14ac:dyDescent="0.2">
      <c r="A684" s="587"/>
      <c r="B684" s="587"/>
      <c r="C684" s="587"/>
      <c r="D684" s="587"/>
      <c r="E684" s="587"/>
      <c r="H684" s="587"/>
      <c r="I684" s="587"/>
      <c r="J684" s="587"/>
      <c r="K684" s="587"/>
      <c r="L684" s="587"/>
      <c r="M684" s="587"/>
      <c r="O684" s="587"/>
      <c r="P684" s="587"/>
    </row>
    <row r="685" spans="1:16" ht="15" hidden="1" x14ac:dyDescent="0.25">
      <c r="A685" s="599" t="s">
        <v>1081</v>
      </c>
      <c r="B685" s="599"/>
      <c r="C685" s="599"/>
      <c r="D685" s="599"/>
      <c r="E685" s="599"/>
      <c r="H685" s="587"/>
      <c r="I685" s="587"/>
      <c r="J685" s="587"/>
      <c r="K685" s="587"/>
      <c r="L685" s="587"/>
      <c r="M685" s="587"/>
      <c r="N685" s="587" t="s">
        <v>1082</v>
      </c>
      <c r="O685" s="587"/>
      <c r="P685" s="587"/>
    </row>
    <row r="686" spans="1:16" hidden="1" x14ac:dyDescent="0.2">
      <c r="A686" s="589" t="s">
        <v>1083</v>
      </c>
      <c r="B686" s="589"/>
      <c r="C686" s="589"/>
      <c r="D686" s="589"/>
      <c r="E686" s="589"/>
      <c r="H686" s="587"/>
      <c r="I686" s="587"/>
      <c r="J686" s="587"/>
      <c r="K686" s="587"/>
      <c r="L686" s="587"/>
      <c r="M686" s="587"/>
      <c r="O686" s="587"/>
      <c r="P686" s="587"/>
    </row>
    <row r="687" spans="1:16" hidden="1" x14ac:dyDescent="0.2">
      <c r="A687" s="589" t="s">
        <v>1084</v>
      </c>
      <c r="B687" s="589"/>
      <c r="C687" s="589"/>
      <c r="D687" s="589"/>
      <c r="E687" s="589"/>
      <c r="H687" s="587"/>
      <c r="I687" s="587"/>
      <c r="J687" s="587"/>
      <c r="K687" s="587"/>
      <c r="L687" s="587"/>
      <c r="M687" s="587"/>
      <c r="O687" s="587"/>
      <c r="P687" s="587"/>
    </row>
    <row r="688" spans="1:16" hidden="1" x14ac:dyDescent="0.2">
      <c r="A688" s="589" t="s">
        <v>1085</v>
      </c>
      <c r="B688" s="589"/>
      <c r="C688" s="589"/>
      <c r="D688" s="589"/>
      <c r="E688" s="589"/>
      <c r="H688" s="587"/>
      <c r="I688" s="587"/>
      <c r="J688" s="587"/>
      <c r="K688" s="587"/>
      <c r="L688" s="587"/>
      <c r="M688" s="587"/>
      <c r="O688" s="587"/>
      <c r="P688" s="587"/>
    </row>
    <row r="689" spans="1:16" hidden="1" x14ac:dyDescent="0.2">
      <c r="A689" s="589" t="s">
        <v>1086</v>
      </c>
      <c r="B689" s="589"/>
      <c r="C689" s="589"/>
      <c r="D689" s="589"/>
      <c r="E689" s="589"/>
      <c r="H689" s="587"/>
      <c r="I689" s="587"/>
      <c r="J689" s="587"/>
      <c r="K689" s="587"/>
      <c r="L689" s="587"/>
      <c r="M689" s="587"/>
      <c r="O689" s="587"/>
      <c r="P689" s="587"/>
    </row>
    <row r="690" spans="1:16" hidden="1" x14ac:dyDescent="0.2">
      <c r="A690" s="587"/>
      <c r="B690" s="587"/>
      <c r="C690" s="587"/>
      <c r="D690" s="587"/>
      <c r="E690" s="587"/>
      <c r="H690" s="587"/>
      <c r="I690" s="587"/>
      <c r="J690" s="587"/>
      <c r="K690" s="587"/>
      <c r="L690" s="587"/>
      <c r="M690" s="587"/>
      <c r="O690" s="587"/>
      <c r="P690" s="587"/>
    </row>
    <row r="691" spans="1:16" hidden="1" x14ac:dyDescent="0.2">
      <c r="A691" s="587"/>
      <c r="B691" s="587"/>
      <c r="C691" s="587"/>
      <c r="D691" s="587"/>
      <c r="E691" s="587"/>
      <c r="H691" s="587"/>
      <c r="I691" s="587"/>
      <c r="J691" s="587"/>
      <c r="K691" s="587"/>
      <c r="L691" s="587"/>
      <c r="M691" s="587"/>
      <c r="O691" s="587"/>
      <c r="P691" s="587"/>
    </row>
    <row r="692" spans="1:16" hidden="1" x14ac:dyDescent="0.2">
      <c r="A692" s="589" t="s">
        <v>1087</v>
      </c>
      <c r="B692" s="589"/>
      <c r="C692" s="589"/>
      <c r="D692" s="589"/>
      <c r="E692" s="589"/>
      <c r="H692" s="587"/>
      <c r="I692" s="587"/>
      <c r="J692" s="587"/>
      <c r="K692" s="587"/>
      <c r="L692" s="587"/>
      <c r="M692" s="587"/>
      <c r="N692" s="587" t="s">
        <v>1082</v>
      </c>
      <c r="O692" s="587"/>
      <c r="P692" s="587"/>
    </row>
    <row r="693" spans="1:16" hidden="1" x14ac:dyDescent="0.2">
      <c r="A693" s="589" t="s">
        <v>1088</v>
      </c>
      <c r="B693" s="589"/>
      <c r="C693" s="589"/>
      <c r="D693" s="589"/>
      <c r="E693" s="589"/>
      <c r="H693" s="587"/>
      <c r="I693" s="587"/>
      <c r="J693" s="587"/>
      <c r="K693" s="587"/>
      <c r="L693" s="587"/>
      <c r="M693" s="587"/>
      <c r="O693" s="587"/>
      <c r="P693" s="587"/>
    </row>
    <row r="694" spans="1:16" hidden="1" x14ac:dyDescent="0.2">
      <c r="A694" s="589" t="s">
        <v>1089</v>
      </c>
      <c r="B694" s="589"/>
      <c r="C694" s="589"/>
      <c r="D694" s="589"/>
      <c r="E694" s="589"/>
      <c r="H694" s="587"/>
      <c r="I694" s="587"/>
      <c r="J694" s="587"/>
      <c r="K694" s="587"/>
      <c r="L694" s="587"/>
      <c r="M694" s="587"/>
      <c r="O694" s="587"/>
      <c r="P694" s="587"/>
    </row>
    <row r="695" spans="1:16" hidden="1" x14ac:dyDescent="0.2">
      <c r="A695" s="587"/>
      <c r="B695" s="587"/>
      <c r="C695" s="587"/>
      <c r="D695" s="587"/>
      <c r="E695" s="587"/>
      <c r="H695" s="587"/>
      <c r="I695" s="587"/>
      <c r="J695" s="587"/>
      <c r="K695" s="587"/>
      <c r="L695" s="587"/>
      <c r="M695" s="587"/>
      <c r="O695" s="587"/>
      <c r="P695" s="587"/>
    </row>
    <row r="696" spans="1:16" hidden="1" x14ac:dyDescent="0.2">
      <c r="A696" s="587"/>
      <c r="B696" s="587"/>
      <c r="C696" s="587"/>
      <c r="D696" s="587"/>
      <c r="E696" s="587"/>
      <c r="H696" s="587"/>
      <c r="I696" s="587"/>
      <c r="L696" s="587"/>
      <c r="M696" s="587"/>
    </row>
    <row r="697" spans="1:16" hidden="1" x14ac:dyDescent="0.2">
      <c r="A697" s="589" t="s">
        <v>1090</v>
      </c>
      <c r="B697" s="589"/>
      <c r="C697" s="589"/>
      <c r="D697" s="589"/>
      <c r="E697" s="589"/>
      <c r="H697" s="587"/>
      <c r="I697" s="587"/>
      <c r="L697" s="587"/>
      <c r="M697" s="587"/>
      <c r="N697" s="587" t="s">
        <v>1082</v>
      </c>
      <c r="O697" s="587"/>
      <c r="P697" s="587"/>
    </row>
    <row r="698" spans="1:16" hidden="1" x14ac:dyDescent="0.2">
      <c r="A698" s="589" t="s">
        <v>1091</v>
      </c>
      <c r="B698" s="589"/>
      <c r="C698" s="589"/>
      <c r="D698" s="589"/>
      <c r="E698" s="589"/>
      <c r="H698" s="587"/>
      <c r="I698" s="587"/>
      <c r="L698" s="587"/>
      <c r="M698" s="587"/>
      <c r="O698" s="587"/>
      <c r="P698" s="587"/>
    </row>
    <row r="699" spans="1:16" hidden="1" x14ac:dyDescent="0.2">
      <c r="A699" s="589" t="s">
        <v>1092</v>
      </c>
      <c r="B699" s="589"/>
      <c r="C699" s="589"/>
      <c r="D699" s="589"/>
      <c r="E699" s="589"/>
      <c r="H699" s="587"/>
      <c r="I699" s="587"/>
      <c r="L699" s="587"/>
      <c r="M699" s="587"/>
      <c r="O699" s="587"/>
      <c r="P699" s="587"/>
    </row>
    <row r="700" spans="1:16" hidden="1" x14ac:dyDescent="0.2">
      <c r="A700" s="587"/>
      <c r="B700" s="587"/>
      <c r="C700" s="587"/>
      <c r="D700" s="587"/>
      <c r="E700" s="587"/>
      <c r="H700" s="587"/>
      <c r="I700" s="587"/>
      <c r="L700" s="587"/>
      <c r="M700" s="587"/>
      <c r="O700" s="587"/>
      <c r="P700" s="587"/>
    </row>
    <row r="701" spans="1:16" ht="15" hidden="1" x14ac:dyDescent="0.25">
      <c r="A701" s="599"/>
      <c r="B701" s="599"/>
      <c r="C701" s="599"/>
      <c r="D701" s="599"/>
      <c r="E701" s="599"/>
      <c r="H701" s="587"/>
      <c r="I701" s="587"/>
      <c r="L701" s="587"/>
      <c r="M701" s="587"/>
      <c r="O701" s="587"/>
      <c r="P701" s="587"/>
    </row>
    <row r="702" spans="1:16" ht="15" hidden="1" x14ac:dyDescent="0.25">
      <c r="A702" s="599" t="s">
        <v>1093</v>
      </c>
      <c r="B702" s="599"/>
      <c r="C702" s="599"/>
      <c r="D702" s="599"/>
      <c r="E702" s="599"/>
      <c r="H702" s="587"/>
      <c r="I702" s="587"/>
      <c r="L702" s="587"/>
      <c r="M702" s="587"/>
      <c r="O702" s="587"/>
      <c r="P702" s="587"/>
    </row>
    <row r="703" spans="1:16" hidden="1" x14ac:dyDescent="0.2">
      <c r="A703" s="589" t="s">
        <v>1094</v>
      </c>
      <c r="B703" s="589"/>
      <c r="C703" s="589"/>
      <c r="D703" s="589"/>
      <c r="E703" s="589"/>
      <c r="H703" s="587"/>
      <c r="I703" s="587"/>
      <c r="L703" s="587"/>
      <c r="M703" s="587"/>
      <c r="N703" s="587" t="s">
        <v>1082</v>
      </c>
      <c r="O703" s="587"/>
      <c r="P703" s="587"/>
    </row>
    <row r="704" spans="1:16" hidden="1" x14ac:dyDescent="0.2">
      <c r="A704" s="589" t="s">
        <v>1095</v>
      </c>
      <c r="B704" s="589"/>
      <c r="C704" s="589"/>
      <c r="D704" s="589"/>
      <c r="E704" s="589"/>
      <c r="H704" s="587"/>
      <c r="I704" s="587"/>
      <c r="L704" s="587"/>
      <c r="M704" s="587"/>
      <c r="O704" s="587"/>
      <c r="P704" s="587"/>
    </row>
    <row r="705" spans="1:16" hidden="1" x14ac:dyDescent="0.2">
      <c r="A705" s="589" t="s">
        <v>1096</v>
      </c>
      <c r="B705" s="589"/>
      <c r="C705" s="589"/>
      <c r="D705" s="589"/>
      <c r="E705" s="589"/>
      <c r="H705" s="587"/>
      <c r="I705" s="587"/>
      <c r="L705" s="587"/>
      <c r="M705" s="587"/>
      <c r="O705" s="587"/>
      <c r="P705" s="587"/>
    </row>
    <row r="706" spans="1:16" hidden="1" x14ac:dyDescent="0.2">
      <c r="A706" s="589" t="s">
        <v>1097</v>
      </c>
      <c r="B706" s="589"/>
      <c r="C706" s="589"/>
      <c r="D706" s="589"/>
      <c r="E706" s="589"/>
      <c r="H706" s="587"/>
      <c r="I706" s="587"/>
      <c r="L706" s="587"/>
      <c r="M706" s="587"/>
      <c r="O706" s="587"/>
      <c r="P706" s="587"/>
    </row>
    <row r="707" spans="1:16" hidden="1" x14ac:dyDescent="0.2">
      <c r="A707" s="587"/>
      <c r="B707" s="587"/>
      <c r="C707" s="587"/>
      <c r="D707" s="587"/>
      <c r="E707" s="587"/>
      <c r="H707" s="587"/>
      <c r="I707" s="587"/>
      <c r="L707" s="587"/>
      <c r="M707" s="587"/>
      <c r="O707" s="587"/>
      <c r="P707" s="587"/>
    </row>
    <row r="708" spans="1:16" hidden="1" x14ac:dyDescent="0.2">
      <c r="A708" s="587"/>
      <c r="B708" s="587"/>
      <c r="C708" s="587"/>
      <c r="D708" s="587"/>
      <c r="E708" s="587"/>
      <c r="H708" s="587"/>
      <c r="I708" s="587"/>
      <c r="L708" s="587"/>
      <c r="M708" s="587"/>
      <c r="O708" s="587"/>
      <c r="P708" s="587"/>
    </row>
    <row r="709" spans="1:16" hidden="1" x14ac:dyDescent="0.2">
      <c r="A709" s="589" t="s">
        <v>846</v>
      </c>
      <c r="B709" s="589"/>
      <c r="C709" s="589"/>
      <c r="D709" s="589"/>
      <c r="E709" s="589"/>
      <c r="H709" s="587"/>
      <c r="I709" s="587"/>
      <c r="L709" s="587"/>
      <c r="M709" s="587"/>
      <c r="O709" s="587"/>
      <c r="P709" s="587"/>
    </row>
    <row r="710" spans="1:16" hidden="1" x14ac:dyDescent="0.2">
      <c r="A710" s="589" t="s">
        <v>1098</v>
      </c>
      <c r="B710" s="589"/>
      <c r="C710" s="589"/>
      <c r="D710" s="589"/>
      <c r="E710" s="589"/>
      <c r="H710" s="587"/>
      <c r="I710" s="587"/>
      <c r="L710" s="587"/>
      <c r="M710" s="587"/>
      <c r="O710" s="587"/>
      <c r="P710" s="587"/>
    </row>
    <row r="711" spans="1:16" hidden="1" x14ac:dyDescent="0.2">
      <c r="A711" s="589" t="s">
        <v>1099</v>
      </c>
      <c r="B711" s="589"/>
      <c r="C711" s="589"/>
      <c r="D711" s="589"/>
      <c r="E711" s="589"/>
      <c r="H711" s="587"/>
      <c r="I711" s="587"/>
      <c r="L711" s="587"/>
      <c r="M711" s="587"/>
      <c r="O711" s="587"/>
      <c r="P711" s="587"/>
    </row>
    <row r="712" spans="1:16" hidden="1" x14ac:dyDescent="0.2">
      <c r="A712" s="589" t="s">
        <v>1100</v>
      </c>
      <c r="B712" s="589"/>
      <c r="C712" s="589"/>
      <c r="D712" s="589"/>
      <c r="E712" s="589"/>
      <c r="H712" s="587"/>
      <c r="I712" s="587"/>
      <c r="J712" s="587" t="s">
        <v>802</v>
      </c>
      <c r="K712" s="587"/>
      <c r="L712" s="590">
        <v>2989.23</v>
      </c>
      <c r="M712" s="587"/>
      <c r="O712" s="587">
        <f>H712*L712</f>
        <v>0</v>
      </c>
      <c r="P712" s="587"/>
    </row>
    <row r="713" spans="1:16" hidden="1" x14ac:dyDescent="0.2">
      <c r="A713" s="589" t="s">
        <v>1101</v>
      </c>
      <c r="B713" s="589"/>
      <c r="C713" s="589"/>
      <c r="D713" s="589"/>
      <c r="E713" s="589"/>
      <c r="H713" s="587"/>
      <c r="I713" s="587"/>
      <c r="J713" s="587" t="s">
        <v>802</v>
      </c>
      <c r="K713" s="587"/>
      <c r="L713" s="590">
        <v>2989.23</v>
      </c>
      <c r="M713" s="587"/>
      <c r="O713" s="587">
        <f>H713*L713</f>
        <v>0</v>
      </c>
      <c r="P713" s="587"/>
    </row>
    <row r="714" spans="1:16" hidden="1" x14ac:dyDescent="0.2">
      <c r="A714" s="589" t="s">
        <v>1102</v>
      </c>
      <c r="B714" s="589"/>
      <c r="C714" s="589"/>
      <c r="D714" s="589"/>
      <c r="E714" s="589"/>
      <c r="H714" s="587"/>
      <c r="I714" s="587"/>
      <c r="J714" s="587"/>
      <c r="K714" s="587"/>
      <c r="L714" s="587"/>
      <c r="M714" s="587"/>
      <c r="O714" s="587"/>
      <c r="P714" s="587"/>
    </row>
    <row r="715" spans="1:16" hidden="1" x14ac:dyDescent="0.2">
      <c r="A715" s="587"/>
      <c r="B715" s="587"/>
      <c r="C715" s="587"/>
      <c r="D715" s="587"/>
      <c r="E715" s="587"/>
      <c r="H715" s="587"/>
      <c r="I715" s="587"/>
      <c r="J715" s="587"/>
      <c r="K715" s="587"/>
      <c r="L715" s="587"/>
      <c r="M715" s="587"/>
      <c r="O715" s="587"/>
      <c r="P715" s="587"/>
    </row>
    <row r="716" spans="1:16" hidden="1" x14ac:dyDescent="0.2">
      <c r="A716" s="587"/>
      <c r="B716" s="587"/>
      <c r="C716" s="587"/>
      <c r="D716" s="587"/>
      <c r="E716" s="587"/>
      <c r="H716" s="587"/>
      <c r="I716" s="587"/>
      <c r="J716" s="587"/>
      <c r="K716" s="587"/>
      <c r="L716" s="587"/>
      <c r="M716" s="587"/>
      <c r="O716" s="587"/>
      <c r="P716" s="587"/>
    </row>
    <row r="717" spans="1:16" hidden="1" x14ac:dyDescent="0.2">
      <c r="A717" s="589" t="s">
        <v>1103</v>
      </c>
      <c r="B717" s="589"/>
      <c r="C717" s="589"/>
      <c r="D717" s="589"/>
      <c r="E717" s="589"/>
      <c r="H717" s="587"/>
      <c r="I717" s="587"/>
      <c r="J717" s="587" t="s">
        <v>715</v>
      </c>
      <c r="K717" s="587"/>
      <c r="L717" s="587">
        <v>431.72</v>
      </c>
      <c r="M717" s="587"/>
      <c r="O717" s="587">
        <f t="shared" ref="O717" si="75">H717*L717</f>
        <v>0</v>
      </c>
      <c r="P717" s="587"/>
    </row>
    <row r="718" spans="1:16" hidden="1" x14ac:dyDescent="0.2">
      <c r="A718" s="589" t="s">
        <v>1104</v>
      </c>
      <c r="B718" s="589"/>
      <c r="C718" s="589"/>
      <c r="D718" s="589"/>
      <c r="E718" s="589"/>
      <c r="H718" s="587"/>
      <c r="I718" s="587"/>
      <c r="J718" s="587"/>
      <c r="K718" s="587"/>
      <c r="L718" s="587"/>
      <c r="M718" s="587"/>
      <c r="O718" s="587"/>
      <c r="P718" s="587"/>
    </row>
    <row r="719" spans="1:16" hidden="1" x14ac:dyDescent="0.2">
      <c r="A719" s="589" t="s">
        <v>1105</v>
      </c>
      <c r="B719" s="589"/>
      <c r="C719" s="589"/>
      <c r="D719" s="589"/>
      <c r="E719" s="589"/>
      <c r="H719" s="587"/>
      <c r="I719" s="587"/>
      <c r="J719" s="587"/>
      <c r="K719" s="587"/>
      <c r="L719" s="587"/>
      <c r="M719" s="587"/>
      <c r="O719" s="587"/>
      <c r="P719" s="587"/>
    </row>
    <row r="720" spans="1:16" hidden="1" x14ac:dyDescent="0.2">
      <c r="A720" s="589" t="s">
        <v>1106</v>
      </c>
      <c r="B720" s="589"/>
      <c r="C720" s="589"/>
      <c r="D720" s="589"/>
      <c r="E720" s="589"/>
      <c r="H720" s="587"/>
      <c r="I720" s="587"/>
      <c r="J720" s="587"/>
      <c r="K720" s="587"/>
      <c r="L720" s="587"/>
      <c r="M720" s="587"/>
      <c r="O720" s="587"/>
      <c r="P720" s="587"/>
    </row>
    <row r="721" spans="1:16" hidden="1" x14ac:dyDescent="0.2">
      <c r="A721" s="589" t="s">
        <v>1107</v>
      </c>
      <c r="B721" s="589"/>
      <c r="C721" s="589"/>
      <c r="D721" s="589"/>
      <c r="E721" s="589"/>
      <c r="H721" s="587"/>
      <c r="I721" s="587"/>
      <c r="J721" s="587"/>
      <c r="K721" s="587"/>
      <c r="L721" s="587"/>
      <c r="M721" s="587"/>
      <c r="O721" s="587"/>
      <c r="P721" s="587"/>
    </row>
    <row r="722" spans="1:16" hidden="1" x14ac:dyDescent="0.2">
      <c r="A722" s="587"/>
      <c r="B722" s="587"/>
      <c r="C722" s="587"/>
      <c r="D722" s="587"/>
      <c r="E722" s="587"/>
      <c r="H722" s="587"/>
      <c r="I722" s="587"/>
      <c r="J722" s="587"/>
      <c r="K722" s="587"/>
      <c r="L722" s="587"/>
      <c r="M722" s="587"/>
      <c r="O722" s="587"/>
      <c r="P722" s="587"/>
    </row>
    <row r="723" spans="1:16" hidden="1" x14ac:dyDescent="0.2">
      <c r="A723" s="587"/>
      <c r="B723" s="587"/>
      <c r="C723" s="587"/>
      <c r="D723" s="587"/>
      <c r="E723" s="587"/>
      <c r="H723" s="587"/>
      <c r="I723" s="587"/>
      <c r="J723" s="587"/>
      <c r="K723" s="587"/>
      <c r="L723" s="587"/>
      <c r="M723" s="587"/>
      <c r="O723" s="587"/>
      <c r="P723" s="587"/>
    </row>
    <row r="724" spans="1:16" hidden="1" x14ac:dyDescent="0.2">
      <c r="A724" s="589" t="s">
        <v>1108</v>
      </c>
      <c r="B724" s="589"/>
      <c r="C724" s="589"/>
      <c r="D724" s="589"/>
      <c r="E724" s="589"/>
      <c r="H724" s="587"/>
      <c r="I724" s="587"/>
      <c r="J724" s="587" t="s">
        <v>802</v>
      </c>
      <c r="K724" s="587"/>
      <c r="L724" s="587">
        <v>486.55</v>
      </c>
      <c r="M724" s="587"/>
      <c r="O724" s="587">
        <f t="shared" ref="O724:O728" si="76">H724*L724</f>
        <v>0</v>
      </c>
      <c r="P724" s="587"/>
    </row>
    <row r="725" spans="1:16" hidden="1" x14ac:dyDescent="0.2">
      <c r="A725" s="589" t="s">
        <v>1109</v>
      </c>
      <c r="B725" s="589"/>
      <c r="C725" s="589"/>
      <c r="D725" s="589"/>
      <c r="E725" s="589"/>
      <c r="H725" s="587"/>
      <c r="I725" s="587"/>
      <c r="J725" s="587"/>
      <c r="K725" s="587"/>
      <c r="L725" s="587"/>
      <c r="M725" s="587"/>
      <c r="O725" s="587"/>
      <c r="P725" s="587"/>
    </row>
    <row r="726" spans="1:16" hidden="1" x14ac:dyDescent="0.2">
      <c r="A726" s="587"/>
      <c r="B726" s="587"/>
      <c r="C726" s="587"/>
      <c r="D726" s="587"/>
      <c r="E726" s="587"/>
      <c r="H726" s="587"/>
      <c r="I726" s="587"/>
      <c r="J726" s="587"/>
      <c r="K726" s="587"/>
      <c r="L726" s="587"/>
      <c r="M726" s="587"/>
      <c r="O726" s="587"/>
      <c r="P726" s="587"/>
    </row>
    <row r="727" spans="1:16" hidden="1" x14ac:dyDescent="0.2">
      <c r="A727" s="587"/>
      <c r="B727" s="587"/>
      <c r="C727" s="587"/>
      <c r="D727" s="587"/>
      <c r="E727" s="587"/>
      <c r="H727" s="587"/>
      <c r="I727" s="587"/>
      <c r="J727" s="587"/>
      <c r="K727" s="587"/>
      <c r="L727" s="587"/>
      <c r="M727" s="587"/>
      <c r="O727" s="587"/>
      <c r="P727" s="587"/>
    </row>
    <row r="728" spans="1:16" hidden="1" x14ac:dyDescent="0.2">
      <c r="A728" s="589" t="s">
        <v>1110</v>
      </c>
      <c r="B728" s="589"/>
      <c r="C728" s="589"/>
      <c r="D728" s="589"/>
      <c r="E728" s="589"/>
      <c r="H728" s="587"/>
      <c r="I728" s="587"/>
      <c r="J728" s="587" t="s">
        <v>792</v>
      </c>
      <c r="K728" s="587"/>
      <c r="L728" s="587">
        <v>31.93</v>
      </c>
      <c r="M728" s="587"/>
      <c r="O728" s="587">
        <f t="shared" si="76"/>
        <v>0</v>
      </c>
      <c r="P728" s="587"/>
    </row>
    <row r="729" spans="1:16" hidden="1" x14ac:dyDescent="0.2">
      <c r="A729" s="589" t="s">
        <v>1111</v>
      </c>
      <c r="B729" s="589"/>
      <c r="C729" s="589"/>
      <c r="D729" s="589"/>
      <c r="E729" s="589"/>
      <c r="H729" s="587"/>
      <c r="I729" s="587"/>
      <c r="J729" s="587"/>
      <c r="K729" s="587"/>
      <c r="L729" s="587"/>
      <c r="M729" s="587"/>
      <c r="O729" s="587"/>
      <c r="P729" s="587"/>
    </row>
    <row r="730" spans="1:16" hidden="1" x14ac:dyDescent="0.2">
      <c r="A730" s="589" t="s">
        <v>1112</v>
      </c>
      <c r="B730" s="589"/>
      <c r="C730" s="589"/>
      <c r="D730" s="589"/>
      <c r="E730" s="589"/>
      <c r="H730" s="587"/>
      <c r="I730" s="587"/>
      <c r="J730" s="587"/>
      <c r="K730" s="587"/>
      <c r="L730" s="587"/>
      <c r="M730" s="587"/>
      <c r="O730" s="587"/>
      <c r="P730" s="587"/>
    </row>
    <row r="731" spans="1:16" hidden="1" x14ac:dyDescent="0.2">
      <c r="A731" s="587"/>
      <c r="B731" s="587"/>
      <c r="C731" s="587"/>
      <c r="D731" s="587"/>
      <c r="E731" s="587"/>
      <c r="H731" s="587"/>
      <c r="I731" s="587"/>
      <c r="J731" s="587"/>
      <c r="K731" s="587"/>
      <c r="L731" s="587"/>
      <c r="M731" s="587"/>
      <c r="O731" s="587"/>
      <c r="P731" s="587"/>
    </row>
    <row r="732" spans="1:16" hidden="1" x14ac:dyDescent="0.2">
      <c r="A732" s="587"/>
      <c r="B732" s="587"/>
      <c r="C732" s="587"/>
      <c r="D732" s="587"/>
      <c r="E732" s="587"/>
      <c r="H732" s="587"/>
      <c r="I732" s="587"/>
      <c r="J732" s="587"/>
      <c r="K732" s="587"/>
      <c r="L732" s="587"/>
      <c r="M732" s="587"/>
      <c r="O732" s="587"/>
      <c r="P732" s="587"/>
    </row>
    <row r="733" spans="1:16" hidden="1" x14ac:dyDescent="0.2">
      <c r="A733" s="589" t="s">
        <v>1113</v>
      </c>
      <c r="B733" s="589"/>
      <c r="C733" s="589"/>
      <c r="D733" s="589"/>
      <c r="E733" s="589"/>
      <c r="H733" s="587"/>
      <c r="I733" s="587"/>
      <c r="J733" s="587" t="s">
        <v>792</v>
      </c>
      <c r="K733" s="587"/>
      <c r="L733" s="587">
        <v>229.48</v>
      </c>
      <c r="M733" s="587"/>
      <c r="O733" s="587">
        <f t="shared" ref="O733" si="77">H733*L733</f>
        <v>0</v>
      </c>
      <c r="P733" s="587"/>
    </row>
    <row r="734" spans="1:16" hidden="1" x14ac:dyDescent="0.2">
      <c r="A734" s="589" t="s">
        <v>1114</v>
      </c>
      <c r="B734" s="589"/>
      <c r="C734" s="589"/>
      <c r="D734" s="589"/>
      <c r="E734" s="589"/>
      <c r="H734" s="587"/>
      <c r="I734" s="587"/>
      <c r="J734" s="587"/>
      <c r="K734" s="587"/>
      <c r="L734" s="587"/>
      <c r="M734" s="587"/>
      <c r="O734" s="587"/>
      <c r="P734" s="587"/>
    </row>
    <row r="735" spans="1:16" hidden="1" x14ac:dyDescent="0.2">
      <c r="A735" s="589" t="s">
        <v>1115</v>
      </c>
      <c r="B735" s="589"/>
      <c r="C735" s="589"/>
      <c r="D735" s="589"/>
      <c r="E735" s="589"/>
      <c r="H735" s="587"/>
      <c r="I735" s="587"/>
      <c r="J735" s="587"/>
      <c r="K735" s="587"/>
      <c r="L735" s="587"/>
      <c r="M735" s="587"/>
      <c r="O735" s="587"/>
      <c r="P735" s="587"/>
    </row>
    <row r="736" spans="1:16" hidden="1" x14ac:dyDescent="0.2">
      <c r="A736" s="587"/>
      <c r="B736" s="587"/>
      <c r="C736" s="587"/>
      <c r="D736" s="587"/>
      <c r="E736" s="587"/>
      <c r="H736" s="587"/>
      <c r="I736" s="587"/>
      <c r="J736" s="587"/>
      <c r="K736" s="587"/>
      <c r="L736" s="587"/>
      <c r="M736" s="587"/>
      <c r="O736" s="587"/>
      <c r="P736" s="587"/>
    </row>
    <row r="737" spans="1:16" hidden="1" x14ac:dyDescent="0.2">
      <c r="A737" s="587"/>
      <c r="B737" s="587"/>
      <c r="C737" s="587"/>
      <c r="D737" s="587"/>
      <c r="E737" s="587"/>
      <c r="H737" s="587"/>
      <c r="I737" s="587"/>
      <c r="J737" s="587"/>
      <c r="K737" s="587"/>
      <c r="L737" s="587"/>
      <c r="M737" s="587"/>
      <c r="O737" s="587"/>
      <c r="P737" s="587"/>
    </row>
    <row r="738" spans="1:16" hidden="1" x14ac:dyDescent="0.2">
      <c r="A738" s="589" t="s">
        <v>1116</v>
      </c>
      <c r="B738" s="589"/>
      <c r="C738" s="589"/>
      <c r="D738" s="589"/>
      <c r="E738" s="589"/>
      <c r="H738" s="587"/>
      <c r="I738" s="587"/>
      <c r="J738" s="587" t="s">
        <v>792</v>
      </c>
      <c r="K738" s="587"/>
      <c r="L738" s="587">
        <v>95.68</v>
      </c>
      <c r="M738" s="587"/>
      <c r="O738" s="587">
        <f t="shared" ref="O738" si="78">H738*L738</f>
        <v>0</v>
      </c>
      <c r="P738" s="587"/>
    </row>
    <row r="739" spans="1:16" hidden="1" x14ac:dyDescent="0.2">
      <c r="A739" s="589" t="s">
        <v>1117</v>
      </c>
      <c r="B739" s="589"/>
      <c r="C739" s="589"/>
      <c r="D739" s="589"/>
      <c r="E739" s="589"/>
      <c r="H739" s="587"/>
      <c r="I739" s="587"/>
      <c r="J739" s="587"/>
      <c r="K739" s="587"/>
      <c r="L739" s="587"/>
      <c r="M739" s="587"/>
      <c r="O739" s="587"/>
      <c r="P739" s="587"/>
    </row>
    <row r="740" spans="1:16" hidden="1" x14ac:dyDescent="0.2">
      <c r="A740" s="589" t="s">
        <v>1118</v>
      </c>
      <c r="B740" s="589"/>
      <c r="C740" s="589"/>
      <c r="D740" s="589"/>
      <c r="E740" s="589"/>
      <c r="H740" s="587"/>
      <c r="I740" s="587"/>
      <c r="J740" s="587"/>
      <c r="K740" s="587"/>
      <c r="L740" s="587"/>
      <c r="M740" s="587"/>
      <c r="O740" s="587"/>
      <c r="P740" s="587"/>
    </row>
    <row r="741" spans="1:16" hidden="1" x14ac:dyDescent="0.2">
      <c r="A741" s="587"/>
      <c r="B741" s="587"/>
      <c r="C741" s="587"/>
      <c r="D741" s="587"/>
      <c r="E741" s="587"/>
      <c r="H741" s="587"/>
      <c r="I741" s="587"/>
      <c r="J741" s="587"/>
      <c r="K741" s="587"/>
      <c r="L741" s="587"/>
      <c r="M741" s="587"/>
      <c r="O741" s="587"/>
      <c r="P741" s="587"/>
    </row>
    <row r="742" spans="1:16" hidden="1" x14ac:dyDescent="0.2">
      <c r="A742" s="587"/>
      <c r="B742" s="587"/>
      <c r="C742" s="587"/>
      <c r="D742" s="587"/>
      <c r="E742" s="587"/>
      <c r="H742" s="587"/>
      <c r="I742" s="587"/>
      <c r="J742" s="587"/>
      <c r="K742" s="587"/>
      <c r="L742" s="587"/>
      <c r="M742" s="587"/>
      <c r="O742" s="587"/>
      <c r="P742" s="587"/>
    </row>
    <row r="743" spans="1:16" hidden="1" x14ac:dyDescent="0.2">
      <c r="A743" s="589" t="s">
        <v>1119</v>
      </c>
      <c r="B743" s="589"/>
      <c r="C743" s="589"/>
      <c r="D743" s="589"/>
      <c r="E743" s="589"/>
      <c r="H743" s="587"/>
      <c r="I743" s="587"/>
      <c r="J743" s="587" t="s">
        <v>748</v>
      </c>
      <c r="K743" s="587"/>
      <c r="L743" s="587">
        <v>77.989999999999995</v>
      </c>
      <c r="M743" s="587"/>
      <c r="O743" s="587">
        <f t="shared" ref="O743" si="79">H743*L743</f>
        <v>0</v>
      </c>
      <c r="P743" s="587"/>
    </row>
    <row r="744" spans="1:16" hidden="1" x14ac:dyDescent="0.2">
      <c r="A744" s="589" t="s">
        <v>1120</v>
      </c>
      <c r="B744" s="589"/>
      <c r="C744" s="589"/>
      <c r="D744" s="589"/>
      <c r="E744" s="589"/>
      <c r="H744" s="587"/>
      <c r="I744" s="587"/>
      <c r="J744" s="587"/>
      <c r="K744" s="587"/>
      <c r="L744" s="587"/>
      <c r="M744" s="587"/>
      <c r="O744" s="587"/>
      <c r="P744" s="587"/>
    </row>
    <row r="745" spans="1:16" hidden="1" x14ac:dyDescent="0.2">
      <c r="A745" s="589" t="s">
        <v>1121</v>
      </c>
      <c r="B745" s="589"/>
      <c r="C745" s="589"/>
      <c r="D745" s="589"/>
      <c r="E745" s="589"/>
      <c r="H745" s="587"/>
      <c r="I745" s="587"/>
      <c r="J745" s="587"/>
      <c r="K745" s="587"/>
      <c r="L745" s="587"/>
      <c r="M745" s="587"/>
      <c r="O745" s="587"/>
      <c r="P745" s="587"/>
    </row>
    <row r="746" spans="1:16" hidden="1" x14ac:dyDescent="0.2">
      <c r="A746" s="587"/>
      <c r="B746" s="587"/>
      <c r="C746" s="587"/>
      <c r="D746" s="587"/>
      <c r="E746" s="587"/>
      <c r="H746" s="587"/>
      <c r="I746" s="587"/>
      <c r="J746" s="587"/>
      <c r="K746" s="587"/>
      <c r="L746" s="587"/>
      <c r="M746" s="587"/>
      <c r="O746" s="587"/>
      <c r="P746" s="587"/>
    </row>
    <row r="747" spans="1:16" hidden="1" x14ac:dyDescent="0.2">
      <c r="A747" s="587"/>
      <c r="B747" s="587"/>
      <c r="C747" s="587"/>
      <c r="D747" s="587"/>
      <c r="E747" s="587"/>
      <c r="H747" s="587"/>
      <c r="I747" s="587"/>
      <c r="J747" s="587"/>
      <c r="K747" s="587"/>
      <c r="L747" s="587"/>
      <c r="M747" s="587"/>
      <c r="O747" s="587"/>
      <c r="P747" s="587"/>
    </row>
    <row r="748" spans="1:16" hidden="1" x14ac:dyDescent="0.2">
      <c r="A748" s="589" t="s">
        <v>1122</v>
      </c>
      <c r="B748" s="589"/>
      <c r="C748" s="589"/>
      <c r="D748" s="589"/>
      <c r="E748" s="589"/>
      <c r="H748" s="587"/>
      <c r="I748" s="587"/>
      <c r="J748" s="587"/>
      <c r="K748" s="587"/>
      <c r="L748" s="587"/>
      <c r="M748" s="587"/>
      <c r="O748" s="587"/>
      <c r="P748" s="587"/>
    </row>
    <row r="749" spans="1:16" hidden="1" x14ac:dyDescent="0.2">
      <c r="A749" s="589" t="s">
        <v>1123</v>
      </c>
      <c r="B749" s="589"/>
      <c r="C749" s="589"/>
      <c r="D749" s="589"/>
      <c r="E749" s="589"/>
      <c r="H749" s="587"/>
      <c r="I749" s="587"/>
      <c r="J749" s="587"/>
      <c r="K749" s="587"/>
      <c r="L749" s="587"/>
      <c r="M749" s="587"/>
      <c r="O749" s="587"/>
      <c r="P749" s="587"/>
    </row>
    <row r="750" spans="1:16" hidden="1" x14ac:dyDescent="0.2">
      <c r="A750" s="589" t="s">
        <v>1124</v>
      </c>
      <c r="B750" s="589"/>
      <c r="C750" s="589"/>
      <c r="D750" s="589"/>
      <c r="E750" s="589"/>
      <c r="H750" s="587"/>
      <c r="I750" s="587"/>
      <c r="J750" s="587"/>
      <c r="K750" s="587"/>
      <c r="L750" s="587"/>
      <c r="M750" s="587"/>
      <c r="O750" s="587"/>
      <c r="P750" s="587"/>
    </row>
    <row r="751" spans="1:16" hidden="1" x14ac:dyDescent="0.2">
      <c r="A751" s="589" t="s">
        <v>1125</v>
      </c>
      <c r="B751" s="589"/>
      <c r="C751" s="589"/>
      <c r="D751" s="589"/>
      <c r="E751" s="589"/>
      <c r="H751" s="587"/>
      <c r="I751" s="587"/>
      <c r="J751" s="587" t="s">
        <v>774</v>
      </c>
      <c r="K751" s="587"/>
      <c r="L751" s="590">
        <v>2351.73</v>
      </c>
      <c r="M751" s="587"/>
      <c r="O751" s="587">
        <f t="shared" ref="O751:O752" si="80">H751*L751</f>
        <v>0</v>
      </c>
      <c r="P751" s="587"/>
    </row>
    <row r="752" spans="1:16" hidden="1" x14ac:dyDescent="0.2">
      <c r="A752" s="589" t="s">
        <v>1126</v>
      </c>
      <c r="B752" s="589"/>
      <c r="C752" s="589"/>
      <c r="D752" s="589"/>
      <c r="E752" s="589"/>
      <c r="H752" s="587"/>
      <c r="I752" s="587"/>
      <c r="J752" s="587" t="s">
        <v>968</v>
      </c>
      <c r="K752" s="587"/>
      <c r="L752" s="590">
        <v>2820.04</v>
      </c>
      <c r="M752" s="587"/>
      <c r="O752" s="587">
        <f t="shared" si="80"/>
        <v>0</v>
      </c>
      <c r="P752" s="587"/>
    </row>
    <row r="753" spans="1:16" hidden="1" x14ac:dyDescent="0.2">
      <c r="A753" s="589" t="s">
        <v>1127</v>
      </c>
      <c r="B753" s="589"/>
      <c r="C753" s="589"/>
      <c r="D753" s="589"/>
      <c r="E753" s="589"/>
      <c r="H753" s="587"/>
      <c r="I753" s="587"/>
      <c r="J753" s="587"/>
      <c r="K753" s="587"/>
      <c r="L753" s="587"/>
      <c r="M753" s="587"/>
      <c r="O753" s="587"/>
      <c r="P753" s="587"/>
    </row>
    <row r="754" spans="1:16" hidden="1" x14ac:dyDescent="0.2">
      <c r="A754" s="587"/>
      <c r="B754" s="587"/>
      <c r="C754" s="587"/>
      <c r="D754" s="587"/>
      <c r="E754" s="587"/>
      <c r="H754" s="587"/>
      <c r="I754" s="587"/>
      <c r="J754" s="587"/>
      <c r="K754" s="587"/>
      <c r="L754" s="587"/>
      <c r="M754" s="587"/>
      <c r="O754" s="587"/>
      <c r="P754" s="587"/>
    </row>
    <row r="755" spans="1:16" hidden="1" x14ac:dyDescent="0.2">
      <c r="A755" s="587"/>
      <c r="B755" s="587"/>
      <c r="C755" s="587"/>
      <c r="D755" s="587"/>
      <c r="E755" s="587"/>
      <c r="H755" s="587"/>
      <c r="I755" s="587"/>
      <c r="J755" s="587"/>
      <c r="K755" s="587"/>
      <c r="L755" s="587"/>
      <c r="M755" s="587"/>
      <c r="O755" s="587"/>
      <c r="P755" s="587"/>
    </row>
    <row r="756" spans="1:16" hidden="1" x14ac:dyDescent="0.2">
      <c r="A756" s="635" t="s">
        <v>1128</v>
      </c>
      <c r="B756" s="635"/>
      <c r="C756" s="635"/>
      <c r="D756" s="635"/>
      <c r="E756" s="635"/>
      <c r="H756" s="587"/>
      <c r="I756" s="587"/>
      <c r="J756" s="587"/>
      <c r="K756" s="587"/>
      <c r="L756" s="587"/>
      <c r="M756" s="587"/>
      <c r="O756" s="587"/>
      <c r="P756" s="587"/>
    </row>
    <row r="757" spans="1:16" hidden="1" x14ac:dyDescent="0.2">
      <c r="A757" s="635" t="s">
        <v>1129</v>
      </c>
      <c r="B757" s="635"/>
      <c r="C757" s="635"/>
      <c r="D757" s="635"/>
      <c r="E757" s="635"/>
      <c r="H757" s="587"/>
      <c r="I757" s="587"/>
      <c r="J757" s="587"/>
      <c r="K757" s="587"/>
      <c r="L757" s="587"/>
      <c r="M757" s="587"/>
      <c r="O757" s="587"/>
      <c r="P757" s="587"/>
    </row>
    <row r="758" spans="1:16" hidden="1" x14ac:dyDescent="0.2">
      <c r="A758" s="635" t="s">
        <v>1130</v>
      </c>
      <c r="B758" s="635"/>
      <c r="C758" s="635"/>
      <c r="D758" s="635"/>
      <c r="E758" s="635"/>
      <c r="H758" s="587"/>
      <c r="I758" s="587"/>
      <c r="J758" s="587"/>
      <c r="K758" s="587"/>
      <c r="L758" s="587"/>
      <c r="M758" s="587"/>
      <c r="O758" s="587"/>
      <c r="P758" s="587"/>
    </row>
    <row r="759" spans="1:16" hidden="1" x14ac:dyDescent="0.2">
      <c r="A759" s="635" t="s">
        <v>1131</v>
      </c>
      <c r="B759" s="635"/>
      <c r="C759" s="635"/>
      <c r="D759" s="635"/>
      <c r="E759" s="635"/>
      <c r="H759" s="587"/>
      <c r="I759" s="587"/>
      <c r="J759" s="587"/>
      <c r="K759" s="587"/>
      <c r="L759" s="587"/>
      <c r="M759" s="587"/>
      <c r="O759" s="587"/>
      <c r="P759" s="587"/>
    </row>
    <row r="760" spans="1:16" hidden="1" x14ac:dyDescent="0.2">
      <c r="A760" s="635" t="s">
        <v>1132</v>
      </c>
      <c r="B760" s="635"/>
      <c r="C760" s="635"/>
      <c r="D760" s="635"/>
      <c r="E760" s="635"/>
      <c r="H760" s="587"/>
      <c r="I760" s="587"/>
      <c r="J760" s="587"/>
      <c r="K760" s="587"/>
      <c r="L760" s="587"/>
      <c r="M760" s="587"/>
      <c r="O760" s="587"/>
      <c r="P760" s="587"/>
    </row>
    <row r="761" spans="1:16" hidden="1" x14ac:dyDescent="0.2">
      <c r="A761" s="635" t="s">
        <v>928</v>
      </c>
      <c r="B761" s="635"/>
      <c r="C761" s="635"/>
      <c r="D761" s="635"/>
      <c r="E761" s="635"/>
      <c r="H761" s="587"/>
      <c r="I761" s="587"/>
      <c r="J761" s="587"/>
      <c r="K761" s="587"/>
      <c r="L761" s="587"/>
      <c r="M761" s="587"/>
      <c r="O761" s="587"/>
      <c r="P761" s="587"/>
    </row>
    <row r="762" spans="1:16" hidden="1" x14ac:dyDescent="0.2">
      <c r="A762" s="589" t="s">
        <v>1133</v>
      </c>
      <c r="B762" s="589"/>
      <c r="C762" s="589"/>
      <c r="D762" s="589"/>
      <c r="E762" s="589"/>
      <c r="H762" s="587"/>
      <c r="I762" s="587"/>
      <c r="J762" s="587" t="s">
        <v>745</v>
      </c>
      <c r="K762" s="587"/>
      <c r="L762" s="587">
        <v>206.07</v>
      </c>
      <c r="M762" s="587"/>
      <c r="O762" s="595">
        <f t="shared" ref="O762" si="81">H762*L762</f>
        <v>0</v>
      </c>
      <c r="P762" s="595"/>
    </row>
    <row r="763" spans="1:16" hidden="1" x14ac:dyDescent="0.2">
      <c r="A763" s="587"/>
      <c r="B763" s="587"/>
      <c r="C763" s="587"/>
      <c r="D763" s="587"/>
      <c r="E763" s="587"/>
      <c r="H763" s="587"/>
      <c r="I763" s="587"/>
      <c r="J763" s="587"/>
      <c r="K763" s="587"/>
      <c r="L763" s="587"/>
      <c r="M763" s="587"/>
      <c r="O763" s="595"/>
      <c r="P763" s="595"/>
    </row>
    <row r="764" spans="1:16" hidden="1" x14ac:dyDescent="0.2">
      <c r="A764" s="587"/>
      <c r="B764" s="587"/>
      <c r="C764" s="587"/>
      <c r="D764" s="587"/>
      <c r="E764" s="587"/>
      <c r="H764" s="587"/>
      <c r="I764" s="587"/>
      <c r="J764" s="587"/>
      <c r="K764" s="587"/>
      <c r="L764" s="587"/>
      <c r="M764" s="587"/>
      <c r="O764" s="595"/>
      <c r="P764" s="595"/>
    </row>
    <row r="765" spans="1:16" hidden="1" x14ac:dyDescent="0.2">
      <c r="A765" s="589" t="s">
        <v>1134</v>
      </c>
      <c r="B765" s="589"/>
      <c r="C765" s="589"/>
      <c r="D765" s="589"/>
      <c r="E765" s="589"/>
      <c r="H765" s="587"/>
      <c r="I765" s="587"/>
      <c r="J765" s="587"/>
      <c r="K765" s="587"/>
      <c r="L765" s="587"/>
      <c r="M765" s="587"/>
      <c r="O765" s="595"/>
      <c r="P765" s="595"/>
    </row>
    <row r="766" spans="1:16" hidden="1" x14ac:dyDescent="0.2">
      <c r="A766" s="589" t="s">
        <v>1135</v>
      </c>
      <c r="B766" s="589"/>
      <c r="C766" s="589"/>
      <c r="D766" s="589"/>
      <c r="E766" s="589"/>
      <c r="H766" s="587"/>
      <c r="I766" s="587"/>
      <c r="J766" s="587"/>
      <c r="K766" s="587"/>
      <c r="L766" s="587"/>
      <c r="M766" s="587"/>
      <c r="O766" s="595"/>
      <c r="P766" s="595"/>
    </row>
    <row r="767" spans="1:16" hidden="1" x14ac:dyDescent="0.2">
      <c r="A767" s="589" t="s">
        <v>1136</v>
      </c>
      <c r="B767" s="589"/>
      <c r="C767" s="589"/>
      <c r="D767" s="589"/>
      <c r="E767" s="589"/>
      <c r="H767" s="587"/>
      <c r="I767" s="587"/>
      <c r="J767" s="587" t="s">
        <v>679</v>
      </c>
      <c r="K767" s="587"/>
      <c r="L767" s="587">
        <v>729.83</v>
      </c>
      <c r="M767" s="587"/>
      <c r="O767" s="595">
        <f t="shared" ref="O767" si="82">H767*L767</f>
        <v>0</v>
      </c>
      <c r="P767" s="595"/>
    </row>
    <row r="768" spans="1:16" hidden="1" x14ac:dyDescent="0.2">
      <c r="A768" s="587"/>
      <c r="B768" s="587"/>
      <c r="C768" s="587"/>
      <c r="D768" s="587"/>
      <c r="E768" s="587"/>
      <c r="H768" s="587"/>
      <c r="I768" s="587"/>
      <c r="J768" s="587"/>
      <c r="K768" s="587"/>
      <c r="L768" s="587"/>
      <c r="M768" s="587"/>
      <c r="O768" s="595"/>
      <c r="P768" s="595"/>
    </row>
    <row r="769" spans="1:16" hidden="1" x14ac:dyDescent="0.2">
      <c r="A769" s="587"/>
      <c r="B769" s="587"/>
      <c r="C769" s="587"/>
      <c r="D769" s="587"/>
      <c r="E769" s="587"/>
      <c r="H769" s="587"/>
      <c r="I769" s="587"/>
      <c r="J769" s="587"/>
      <c r="K769" s="587"/>
      <c r="L769" s="587"/>
      <c r="M769" s="587"/>
      <c r="O769" s="595"/>
      <c r="P769" s="595"/>
    </row>
    <row r="770" spans="1:16" hidden="1" x14ac:dyDescent="0.2">
      <c r="A770" s="589" t="s">
        <v>1137</v>
      </c>
      <c r="B770" s="589"/>
      <c r="C770" s="589"/>
      <c r="D770" s="589"/>
      <c r="E770" s="589"/>
      <c r="H770" s="587"/>
      <c r="I770" s="587"/>
      <c r="J770" s="587" t="s">
        <v>745</v>
      </c>
      <c r="K770" s="587"/>
      <c r="L770" s="587">
        <v>134.34</v>
      </c>
      <c r="M770" s="587"/>
      <c r="O770" s="595">
        <f t="shared" ref="O770" si="83">H770*L770</f>
        <v>0</v>
      </c>
      <c r="P770" s="595"/>
    </row>
    <row r="771" spans="1:16" hidden="1" x14ac:dyDescent="0.2">
      <c r="A771" s="589" t="s">
        <v>1138</v>
      </c>
      <c r="B771" s="589"/>
      <c r="C771" s="589"/>
      <c r="D771" s="589"/>
      <c r="E771" s="589"/>
      <c r="H771" s="587"/>
      <c r="I771" s="587"/>
      <c r="J771" s="587"/>
      <c r="K771" s="587"/>
      <c r="L771" s="587"/>
      <c r="M771" s="587"/>
      <c r="O771" s="595"/>
      <c r="P771" s="595"/>
    </row>
    <row r="772" spans="1:16" hidden="1" x14ac:dyDescent="0.2">
      <c r="A772" s="589" t="s">
        <v>1139</v>
      </c>
      <c r="B772" s="589"/>
      <c r="C772" s="589"/>
      <c r="D772" s="589"/>
      <c r="E772" s="589"/>
      <c r="H772" s="587"/>
      <c r="I772" s="587"/>
      <c r="J772" s="587"/>
      <c r="K772" s="587"/>
      <c r="L772" s="587"/>
      <c r="M772" s="587"/>
      <c r="O772" s="595"/>
      <c r="P772" s="595"/>
    </row>
    <row r="773" spans="1:16" hidden="1" x14ac:dyDescent="0.2">
      <c r="A773" s="587"/>
      <c r="B773" s="587"/>
      <c r="C773" s="587"/>
      <c r="D773" s="587"/>
      <c r="E773" s="587"/>
      <c r="H773" s="587"/>
      <c r="I773" s="587"/>
      <c r="J773" s="587"/>
      <c r="K773" s="587"/>
      <c r="L773" s="587"/>
      <c r="M773" s="587"/>
      <c r="O773" s="595"/>
      <c r="P773" s="595"/>
    </row>
    <row r="774" spans="1:16" hidden="1" x14ac:dyDescent="0.2">
      <c r="A774" s="587"/>
      <c r="B774" s="587"/>
      <c r="C774" s="587"/>
      <c r="D774" s="587"/>
      <c r="E774" s="587"/>
      <c r="H774" s="587"/>
      <c r="I774" s="587"/>
      <c r="J774" s="587"/>
      <c r="K774" s="587"/>
      <c r="L774" s="587"/>
      <c r="M774" s="587"/>
      <c r="O774" s="595"/>
      <c r="P774" s="595"/>
    </row>
    <row r="775" spans="1:16" hidden="1" x14ac:dyDescent="0.2">
      <c r="A775" s="589" t="s">
        <v>1140</v>
      </c>
      <c r="B775" s="589"/>
      <c r="C775" s="589"/>
      <c r="D775" s="589"/>
      <c r="E775" s="589"/>
      <c r="H775" s="587"/>
      <c r="I775" s="587"/>
      <c r="J775" s="587" t="s">
        <v>745</v>
      </c>
      <c r="K775" s="587"/>
      <c r="L775" s="587">
        <v>26.4</v>
      </c>
      <c r="M775" s="587"/>
      <c r="O775" s="595">
        <f t="shared" ref="O775" si="84">H775*L775</f>
        <v>0</v>
      </c>
      <c r="P775" s="595"/>
    </row>
    <row r="776" spans="1:16" hidden="1" x14ac:dyDescent="0.2">
      <c r="A776" s="589" t="s">
        <v>1141</v>
      </c>
      <c r="B776" s="589"/>
      <c r="C776" s="589"/>
      <c r="D776" s="589"/>
      <c r="E776" s="589"/>
      <c r="H776" s="587"/>
      <c r="I776" s="587"/>
      <c r="J776" s="587"/>
      <c r="K776" s="587"/>
      <c r="L776" s="587"/>
      <c r="M776" s="587"/>
      <c r="O776" s="595"/>
      <c r="P776" s="595"/>
    </row>
    <row r="777" spans="1:16" hidden="1" x14ac:dyDescent="0.2">
      <c r="A777" s="589" t="s">
        <v>1142</v>
      </c>
      <c r="B777" s="589"/>
      <c r="C777" s="589"/>
      <c r="D777" s="589"/>
      <c r="E777" s="589"/>
      <c r="H777" s="587"/>
      <c r="I777" s="587"/>
      <c r="J777" s="587"/>
      <c r="K777" s="587"/>
      <c r="L777" s="587"/>
      <c r="M777" s="587"/>
      <c r="O777" s="595"/>
      <c r="P777" s="595"/>
    </row>
    <row r="778" spans="1:16" hidden="1" x14ac:dyDescent="0.2">
      <c r="A778" s="589" t="s">
        <v>1143</v>
      </c>
      <c r="B778" s="589"/>
      <c r="C778" s="589"/>
      <c r="D778" s="589"/>
      <c r="E778" s="589"/>
      <c r="H778" s="587"/>
      <c r="I778" s="587"/>
      <c r="J778" s="587"/>
      <c r="K778" s="587"/>
      <c r="L778" s="587"/>
      <c r="M778" s="587"/>
      <c r="O778" s="595"/>
      <c r="P778" s="595"/>
    </row>
    <row r="779" spans="1:16" hidden="1" x14ac:dyDescent="0.2">
      <c r="A779" s="587"/>
      <c r="B779" s="587"/>
      <c r="C779" s="587"/>
      <c r="D779" s="587"/>
      <c r="E779" s="587"/>
      <c r="H779" s="587"/>
      <c r="I779" s="587"/>
      <c r="J779" s="587"/>
      <c r="K779" s="587"/>
      <c r="L779" s="587"/>
      <c r="M779" s="587"/>
      <c r="O779" s="595"/>
      <c r="P779" s="595"/>
    </row>
    <row r="780" spans="1:16" hidden="1" x14ac:dyDescent="0.2">
      <c r="A780" s="587"/>
      <c r="B780" s="587"/>
      <c r="C780" s="587"/>
      <c r="D780" s="587"/>
      <c r="E780" s="587"/>
      <c r="H780" s="587"/>
      <c r="I780" s="587"/>
      <c r="J780" s="587"/>
      <c r="K780" s="587"/>
      <c r="L780" s="587"/>
      <c r="M780" s="587"/>
      <c r="O780" s="595"/>
      <c r="P780" s="595"/>
    </row>
    <row r="781" spans="1:16" hidden="1" x14ac:dyDescent="0.2">
      <c r="A781" s="589" t="s">
        <v>1144</v>
      </c>
      <c r="B781" s="589"/>
      <c r="C781" s="589"/>
      <c r="D781" s="589"/>
      <c r="E781" s="589"/>
      <c r="H781" s="587"/>
      <c r="I781" s="587"/>
      <c r="J781" s="587" t="s">
        <v>1145</v>
      </c>
      <c r="K781" s="587"/>
      <c r="L781" s="587">
        <v>225.91</v>
      </c>
      <c r="M781" s="587"/>
      <c r="O781" s="595">
        <f t="shared" ref="O781" si="85">H781*L781</f>
        <v>0</v>
      </c>
      <c r="P781" s="595"/>
    </row>
    <row r="782" spans="1:16" hidden="1" x14ac:dyDescent="0.2">
      <c r="A782" s="589" t="s">
        <v>1146</v>
      </c>
      <c r="B782" s="589"/>
      <c r="C782" s="589"/>
      <c r="D782" s="589"/>
      <c r="E782" s="589"/>
      <c r="H782" s="587"/>
      <c r="I782" s="587"/>
      <c r="J782" s="587"/>
      <c r="K782" s="587"/>
      <c r="L782" s="587"/>
      <c r="M782" s="587"/>
      <c r="O782" s="595"/>
      <c r="P782" s="595"/>
    </row>
    <row r="783" spans="1:16" hidden="1" x14ac:dyDescent="0.2">
      <c r="A783" s="589" t="s">
        <v>1147</v>
      </c>
      <c r="B783" s="589"/>
      <c r="C783" s="589"/>
      <c r="D783" s="589"/>
      <c r="E783" s="589"/>
      <c r="H783" s="587"/>
      <c r="I783" s="587"/>
      <c r="J783" s="587"/>
      <c r="K783" s="587"/>
      <c r="L783" s="587"/>
      <c r="M783" s="587"/>
      <c r="O783" s="595"/>
      <c r="P783" s="595"/>
    </row>
    <row r="784" spans="1:16" hidden="1" x14ac:dyDescent="0.2">
      <c r="A784" s="587"/>
      <c r="B784" s="587"/>
      <c r="C784" s="587"/>
      <c r="D784" s="587"/>
      <c r="E784" s="587"/>
      <c r="H784" s="587"/>
      <c r="I784" s="587"/>
      <c r="J784" s="587"/>
      <c r="K784" s="587"/>
      <c r="L784" s="587"/>
      <c r="M784" s="587"/>
      <c r="O784" s="595"/>
      <c r="P784" s="595"/>
    </row>
    <row r="785" spans="1:16" hidden="1" x14ac:dyDescent="0.2">
      <c r="A785" s="587"/>
      <c r="B785" s="587"/>
      <c r="C785" s="587"/>
      <c r="D785" s="587"/>
      <c r="E785" s="587"/>
      <c r="H785" s="587"/>
      <c r="I785" s="587"/>
      <c r="J785" s="587"/>
      <c r="K785" s="587"/>
      <c r="L785" s="587"/>
      <c r="M785" s="587"/>
      <c r="O785" s="595"/>
      <c r="P785" s="595"/>
    </row>
    <row r="786" spans="1:16" hidden="1" x14ac:dyDescent="0.2">
      <c r="A786" s="589" t="s">
        <v>1148</v>
      </c>
      <c r="B786" s="589"/>
      <c r="C786" s="589"/>
      <c r="D786" s="589"/>
      <c r="E786" s="589"/>
      <c r="H786" s="587"/>
      <c r="I786" s="587"/>
      <c r="J786" s="587" t="s">
        <v>1149</v>
      </c>
      <c r="K786" s="587"/>
      <c r="L786" s="587">
        <v>231.03</v>
      </c>
      <c r="M786" s="587"/>
      <c r="O786" s="595">
        <f t="shared" ref="O786" si="86">H786*L786</f>
        <v>0</v>
      </c>
      <c r="P786" s="595"/>
    </row>
    <row r="787" spans="1:16" hidden="1" x14ac:dyDescent="0.2">
      <c r="A787" s="589" t="s">
        <v>1150</v>
      </c>
      <c r="B787" s="589"/>
      <c r="C787" s="589"/>
      <c r="D787" s="589"/>
      <c r="E787" s="589"/>
      <c r="H787" s="587"/>
      <c r="I787" s="587"/>
      <c r="J787" s="587"/>
      <c r="K787" s="587"/>
      <c r="L787" s="587"/>
      <c r="M787" s="587"/>
      <c r="O787" s="595"/>
      <c r="P787" s="595"/>
    </row>
    <row r="788" spans="1:16" hidden="1" x14ac:dyDescent="0.2">
      <c r="A788" s="587"/>
      <c r="B788" s="587"/>
      <c r="C788" s="587"/>
      <c r="D788" s="587"/>
      <c r="E788" s="587"/>
      <c r="H788" s="587"/>
      <c r="I788" s="587"/>
      <c r="J788" s="587"/>
      <c r="K788" s="587"/>
      <c r="L788" s="587"/>
      <c r="M788" s="587"/>
      <c r="O788" s="595"/>
      <c r="P788" s="595"/>
    </row>
    <row r="789" spans="1:16" hidden="1" x14ac:dyDescent="0.2">
      <c r="A789" s="587"/>
      <c r="B789" s="587"/>
      <c r="C789" s="587"/>
      <c r="D789" s="587"/>
      <c r="E789" s="587"/>
      <c r="H789" s="587"/>
      <c r="I789" s="587"/>
      <c r="J789" s="587"/>
      <c r="K789" s="587"/>
      <c r="L789" s="587"/>
      <c r="M789" s="587"/>
      <c r="O789" s="595"/>
      <c r="P789" s="595"/>
    </row>
    <row r="790" spans="1:16" hidden="1" x14ac:dyDescent="0.2">
      <c r="A790" s="589" t="s">
        <v>1151</v>
      </c>
      <c r="B790" s="589"/>
      <c r="C790" s="589"/>
      <c r="D790" s="589"/>
      <c r="E790" s="589"/>
      <c r="H790" s="587"/>
      <c r="I790" s="587"/>
      <c r="J790" s="587" t="s">
        <v>844</v>
      </c>
      <c r="K790" s="587"/>
      <c r="L790" s="587">
        <v>154.18</v>
      </c>
      <c r="M790" s="587"/>
      <c r="O790" s="595">
        <f t="shared" ref="O790" si="87">H790*L790</f>
        <v>0</v>
      </c>
      <c r="P790" s="595"/>
    </row>
    <row r="791" spans="1:16" hidden="1" x14ac:dyDescent="0.2">
      <c r="A791" s="589" t="s">
        <v>1152</v>
      </c>
      <c r="B791" s="589"/>
      <c r="C791" s="589"/>
      <c r="D791" s="589"/>
      <c r="E791" s="589"/>
      <c r="H791" s="587"/>
      <c r="I791" s="587"/>
      <c r="J791" s="587"/>
      <c r="K791" s="587"/>
      <c r="L791" s="587"/>
      <c r="M791" s="587"/>
      <c r="O791" s="595"/>
      <c r="P791" s="595"/>
    </row>
    <row r="792" spans="1:16" hidden="1" x14ac:dyDescent="0.2">
      <c r="A792" s="589" t="s">
        <v>1153</v>
      </c>
      <c r="B792" s="589"/>
      <c r="C792" s="589"/>
      <c r="D792" s="589"/>
      <c r="E792" s="589"/>
      <c r="H792" s="587"/>
      <c r="I792" s="587"/>
      <c r="J792" s="587"/>
      <c r="K792" s="587"/>
      <c r="L792" s="587"/>
      <c r="M792" s="587"/>
      <c r="O792" s="595"/>
      <c r="P792" s="595"/>
    </row>
    <row r="793" spans="1:16" hidden="1" x14ac:dyDescent="0.2">
      <c r="A793" s="587"/>
      <c r="B793" s="587"/>
      <c r="C793" s="587"/>
      <c r="D793" s="587"/>
      <c r="E793" s="587"/>
      <c r="H793" s="587"/>
      <c r="I793" s="587"/>
      <c r="J793" s="587"/>
      <c r="K793" s="587"/>
      <c r="L793" s="587"/>
      <c r="M793" s="587"/>
      <c r="O793" s="595"/>
      <c r="P793" s="595"/>
    </row>
    <row r="794" spans="1:16" hidden="1" x14ac:dyDescent="0.2">
      <c r="A794" s="587"/>
      <c r="B794" s="587"/>
      <c r="C794" s="587"/>
      <c r="D794" s="587"/>
      <c r="E794" s="587"/>
      <c r="H794" s="587"/>
      <c r="I794" s="587"/>
      <c r="J794" s="587"/>
      <c r="K794" s="587"/>
      <c r="L794" s="587"/>
      <c r="M794" s="587"/>
      <c r="O794" s="595"/>
      <c r="P794" s="595"/>
    </row>
    <row r="795" spans="1:16" hidden="1" x14ac:dyDescent="0.2">
      <c r="A795" s="589" t="s">
        <v>1154</v>
      </c>
      <c r="B795" s="589"/>
      <c r="C795" s="589"/>
      <c r="D795" s="589"/>
      <c r="E795" s="589"/>
      <c r="H795" s="587"/>
      <c r="I795" s="587"/>
      <c r="J795" s="587" t="s">
        <v>802</v>
      </c>
      <c r="K795" s="587"/>
      <c r="L795" s="587">
        <v>727.4</v>
      </c>
      <c r="M795" s="587"/>
      <c r="O795" s="595">
        <f>H795*L795</f>
        <v>0</v>
      </c>
      <c r="P795" s="595"/>
    </row>
    <row r="796" spans="1:16" hidden="1" x14ac:dyDescent="0.2">
      <c r="A796" s="589" t="s">
        <v>1155</v>
      </c>
      <c r="B796" s="589"/>
      <c r="C796" s="589"/>
      <c r="D796" s="589"/>
      <c r="E796" s="589"/>
      <c r="H796" s="587"/>
      <c r="I796" s="587"/>
      <c r="J796" s="587"/>
      <c r="K796" s="587"/>
      <c r="L796" s="587"/>
      <c r="M796" s="587"/>
      <c r="O796" s="595"/>
      <c r="P796" s="595"/>
    </row>
    <row r="797" spans="1:16" hidden="1" x14ac:dyDescent="0.2">
      <c r="A797" s="589" t="s">
        <v>1156</v>
      </c>
      <c r="B797" s="589"/>
      <c r="C797" s="589"/>
      <c r="D797" s="589"/>
      <c r="E797" s="589"/>
      <c r="H797" s="587"/>
      <c r="I797" s="587"/>
      <c r="J797" s="587"/>
      <c r="K797" s="587"/>
      <c r="L797" s="587"/>
      <c r="M797" s="587"/>
      <c r="O797" s="595"/>
      <c r="P797" s="595"/>
    </row>
    <row r="798" spans="1:16" hidden="1" x14ac:dyDescent="0.2">
      <c r="A798" s="587"/>
      <c r="B798" s="587"/>
      <c r="C798" s="587"/>
      <c r="D798" s="587"/>
      <c r="E798" s="587"/>
      <c r="H798" s="587"/>
      <c r="I798" s="587"/>
      <c r="J798" s="587"/>
      <c r="K798" s="587"/>
      <c r="L798" s="587"/>
      <c r="M798" s="587"/>
      <c r="O798" s="595"/>
      <c r="P798" s="595"/>
    </row>
    <row r="799" spans="1:16" hidden="1" x14ac:dyDescent="0.2">
      <c r="A799" s="587"/>
      <c r="B799" s="587"/>
      <c r="C799" s="587"/>
      <c r="D799" s="587"/>
      <c r="E799" s="587"/>
      <c r="H799" s="587"/>
      <c r="I799" s="587"/>
      <c r="J799" s="587"/>
      <c r="K799" s="587"/>
      <c r="L799" s="587"/>
      <c r="M799" s="587"/>
      <c r="O799" s="595"/>
      <c r="P799" s="595"/>
    </row>
    <row r="800" spans="1:16" hidden="1" x14ac:dyDescent="0.2">
      <c r="A800" s="635" t="s">
        <v>1157</v>
      </c>
      <c r="B800" s="635"/>
      <c r="C800" s="635"/>
      <c r="D800" s="635"/>
      <c r="E800" s="635"/>
      <c r="H800" s="587"/>
      <c r="I800" s="587"/>
      <c r="J800" s="587" t="s">
        <v>802</v>
      </c>
      <c r="K800" s="587"/>
      <c r="L800" s="590">
        <v>2188.88</v>
      </c>
      <c r="M800" s="587"/>
      <c r="O800" s="595">
        <f t="shared" ref="O800" si="88">H800*L800</f>
        <v>0</v>
      </c>
      <c r="P800" s="595"/>
    </row>
    <row r="801" spans="1:16" hidden="1" x14ac:dyDescent="0.2">
      <c r="A801" s="635" t="s">
        <v>1158</v>
      </c>
      <c r="B801" s="635"/>
      <c r="C801" s="635"/>
      <c r="D801" s="635"/>
      <c r="E801" s="635"/>
      <c r="H801" s="587"/>
      <c r="I801" s="587"/>
      <c r="J801" s="587"/>
      <c r="K801" s="587"/>
      <c r="L801" s="587"/>
      <c r="M801" s="587"/>
      <c r="O801" s="595"/>
      <c r="P801" s="595"/>
    </row>
    <row r="802" spans="1:16" hidden="1" x14ac:dyDescent="0.2">
      <c r="A802" s="587"/>
      <c r="B802" s="587"/>
      <c r="C802" s="587"/>
      <c r="D802" s="587"/>
      <c r="E802" s="587"/>
      <c r="H802" s="587"/>
      <c r="I802" s="587"/>
      <c r="J802" s="587"/>
      <c r="K802" s="587"/>
      <c r="L802" s="587"/>
      <c r="M802" s="587"/>
      <c r="O802" s="595"/>
      <c r="P802" s="595"/>
    </row>
    <row r="803" spans="1:16" hidden="1" x14ac:dyDescent="0.2">
      <c r="A803" s="587"/>
      <c r="B803" s="587"/>
      <c r="C803" s="587"/>
      <c r="D803" s="587"/>
      <c r="E803" s="587"/>
      <c r="H803" s="587"/>
      <c r="I803" s="587"/>
      <c r="J803" s="587"/>
      <c r="K803" s="587"/>
      <c r="L803" s="587"/>
      <c r="M803" s="587"/>
      <c r="O803" s="595"/>
      <c r="P803" s="595"/>
    </row>
    <row r="804" spans="1:16" hidden="1" x14ac:dyDescent="0.2">
      <c r="A804" s="589" t="s">
        <v>1159</v>
      </c>
      <c r="B804" s="589"/>
      <c r="C804" s="589"/>
      <c r="D804" s="589"/>
      <c r="E804" s="589"/>
      <c r="H804" s="587"/>
      <c r="I804" s="587"/>
      <c r="J804" s="587" t="s">
        <v>968</v>
      </c>
      <c r="K804" s="587"/>
      <c r="L804" s="590">
        <v>3040.95</v>
      </c>
      <c r="M804" s="587"/>
      <c r="O804" s="595">
        <f t="shared" ref="O804" si="89">H804*L804</f>
        <v>0</v>
      </c>
      <c r="P804" s="595"/>
    </row>
    <row r="805" spans="1:16" hidden="1" x14ac:dyDescent="0.2">
      <c r="A805" s="589" t="s">
        <v>1160</v>
      </c>
      <c r="B805" s="589"/>
      <c r="C805" s="589"/>
      <c r="D805" s="589"/>
      <c r="E805" s="589"/>
      <c r="H805" s="587"/>
      <c r="I805" s="587"/>
      <c r="J805" s="587"/>
      <c r="K805" s="587"/>
      <c r="L805" s="587"/>
      <c r="M805" s="587"/>
      <c r="O805" s="595"/>
      <c r="P805" s="595"/>
    </row>
    <row r="806" spans="1:16" hidden="1" x14ac:dyDescent="0.2">
      <c r="A806" s="587"/>
      <c r="B806" s="587"/>
      <c r="C806" s="587"/>
      <c r="D806" s="587"/>
      <c r="E806" s="587"/>
      <c r="H806" s="587"/>
      <c r="I806" s="587"/>
      <c r="J806" s="587"/>
      <c r="K806" s="587"/>
      <c r="L806" s="587"/>
      <c r="M806" s="587"/>
      <c r="O806" s="595"/>
      <c r="P806" s="595"/>
    </row>
    <row r="807" spans="1:16" hidden="1" x14ac:dyDescent="0.2">
      <c r="A807" s="587"/>
      <c r="B807" s="587"/>
      <c r="C807" s="587"/>
      <c r="D807" s="587"/>
      <c r="E807" s="587"/>
      <c r="H807" s="587"/>
      <c r="I807" s="587"/>
      <c r="J807" s="587"/>
      <c r="K807" s="587"/>
      <c r="L807" s="587"/>
      <c r="M807" s="587"/>
      <c r="O807" s="595"/>
      <c r="P807" s="595"/>
    </row>
    <row r="808" spans="1:16" hidden="1" x14ac:dyDescent="0.2">
      <c r="A808" s="589" t="s">
        <v>1161</v>
      </c>
      <c r="B808" s="589"/>
      <c r="C808" s="589"/>
      <c r="D808" s="589"/>
      <c r="E808" s="589"/>
      <c r="H808" s="587"/>
      <c r="I808" s="587"/>
      <c r="J808" s="587" t="s">
        <v>968</v>
      </c>
      <c r="K808" s="587"/>
      <c r="L808" s="587" t="s">
        <v>1162</v>
      </c>
      <c r="M808" s="587"/>
      <c r="O808" s="595"/>
      <c r="P808" s="595"/>
    </row>
    <row r="809" spans="1:16" hidden="1" x14ac:dyDescent="0.2">
      <c r="A809" s="591" t="s">
        <v>1163</v>
      </c>
      <c r="B809" s="592"/>
      <c r="C809" s="592"/>
      <c r="D809" s="592"/>
      <c r="E809" s="592"/>
      <c r="H809" s="587"/>
      <c r="I809" s="587"/>
      <c r="J809" s="587"/>
      <c r="K809" s="587"/>
      <c r="L809" s="587"/>
      <c r="M809" s="587"/>
      <c r="O809" s="595"/>
      <c r="P809" s="595"/>
    </row>
    <row r="810" spans="1:16" hidden="1" x14ac:dyDescent="0.2">
      <c r="A810" s="589" t="s">
        <v>1164</v>
      </c>
      <c r="B810" s="589"/>
      <c r="C810" s="589"/>
      <c r="D810" s="589"/>
      <c r="E810" s="589"/>
      <c r="H810" s="587"/>
      <c r="I810" s="587"/>
      <c r="J810" s="587"/>
      <c r="K810" s="587"/>
      <c r="L810" s="587"/>
      <c r="M810" s="587"/>
      <c r="O810" s="595"/>
      <c r="P810" s="595"/>
    </row>
    <row r="811" spans="1:16" hidden="1" x14ac:dyDescent="0.2">
      <c r="A811" s="587"/>
      <c r="B811" s="587"/>
      <c r="C811" s="587"/>
      <c r="D811" s="587"/>
      <c r="E811" s="587"/>
      <c r="H811" s="587"/>
      <c r="I811" s="587"/>
      <c r="J811" s="587"/>
      <c r="K811" s="587"/>
      <c r="L811" s="587"/>
      <c r="M811" s="587"/>
      <c r="O811" s="595"/>
      <c r="P811" s="595"/>
    </row>
    <row r="812" spans="1:16" hidden="1" x14ac:dyDescent="0.2">
      <c r="A812" s="587"/>
      <c r="B812" s="587"/>
      <c r="C812" s="587"/>
      <c r="D812" s="587"/>
      <c r="E812" s="587"/>
      <c r="H812" s="587"/>
      <c r="I812" s="587"/>
      <c r="J812" s="587"/>
      <c r="K812" s="587"/>
      <c r="L812" s="587"/>
      <c r="M812" s="587"/>
      <c r="O812" s="595"/>
      <c r="P812" s="595"/>
    </row>
    <row r="813" spans="1:16" ht="15" hidden="1" x14ac:dyDescent="0.25">
      <c r="A813" s="599" t="s">
        <v>1165</v>
      </c>
      <c r="B813" s="599"/>
      <c r="C813" s="599"/>
      <c r="D813" s="599"/>
      <c r="E813" s="599"/>
      <c r="H813" s="587"/>
      <c r="I813" s="587"/>
      <c r="J813" s="587"/>
      <c r="K813" s="587"/>
      <c r="L813" s="587"/>
      <c r="M813" s="587"/>
      <c r="O813" s="595"/>
      <c r="P813" s="595"/>
    </row>
    <row r="814" spans="1:16" ht="15" hidden="1" x14ac:dyDescent="0.25">
      <c r="A814" s="599" t="s">
        <v>1166</v>
      </c>
      <c r="B814" s="599"/>
      <c r="C814" s="599"/>
      <c r="D814" s="599"/>
      <c r="E814" s="599"/>
      <c r="H814" s="587"/>
      <c r="I814" s="587"/>
      <c r="J814" s="587"/>
      <c r="K814" s="587"/>
      <c r="L814" s="587"/>
      <c r="M814" s="587"/>
      <c r="O814" s="595"/>
      <c r="P814" s="595"/>
    </row>
    <row r="815" spans="1:16" hidden="1" x14ac:dyDescent="0.2">
      <c r="A815" s="587"/>
      <c r="B815" s="587"/>
      <c r="C815" s="587"/>
      <c r="D815" s="587"/>
      <c r="E815" s="587"/>
      <c r="H815" s="587"/>
      <c r="I815" s="587"/>
      <c r="J815" s="587"/>
      <c r="K815" s="587"/>
      <c r="L815" s="587"/>
      <c r="M815" s="587"/>
      <c r="O815" s="595"/>
      <c r="P815" s="595"/>
    </row>
    <row r="816" spans="1:16" hidden="1" x14ac:dyDescent="0.2">
      <c r="A816" s="589" t="s">
        <v>1167</v>
      </c>
      <c r="B816" s="589"/>
      <c r="C816" s="589"/>
      <c r="D816" s="589"/>
      <c r="E816" s="589"/>
      <c r="H816" s="587"/>
      <c r="I816" s="587"/>
      <c r="J816" s="587" t="s">
        <v>802</v>
      </c>
      <c r="K816" s="587"/>
      <c r="L816" s="590">
        <v>2298.96</v>
      </c>
      <c r="M816" s="587"/>
      <c r="O816" s="595">
        <f t="shared" ref="O816" si="90">H816*L816</f>
        <v>0</v>
      </c>
      <c r="P816" s="595"/>
    </row>
    <row r="817" spans="1:16" hidden="1" x14ac:dyDescent="0.2">
      <c r="A817" s="589" t="s">
        <v>1168</v>
      </c>
      <c r="B817" s="589"/>
      <c r="C817" s="589"/>
      <c r="D817" s="589"/>
      <c r="E817" s="589"/>
      <c r="H817" s="587"/>
      <c r="I817" s="587"/>
      <c r="J817" s="587"/>
      <c r="K817" s="587"/>
      <c r="L817" s="587"/>
      <c r="M817" s="587"/>
      <c r="O817" s="595"/>
      <c r="P817" s="595"/>
    </row>
    <row r="818" spans="1:16" hidden="1" x14ac:dyDescent="0.2">
      <c r="A818" s="587"/>
      <c r="B818" s="587"/>
      <c r="C818" s="587"/>
      <c r="D818" s="587"/>
      <c r="E818" s="587"/>
      <c r="H818" s="587"/>
      <c r="I818" s="587"/>
      <c r="J818" s="587"/>
      <c r="K818" s="587"/>
      <c r="L818" s="587"/>
      <c r="M818" s="587"/>
      <c r="O818" s="595"/>
      <c r="P818" s="595"/>
    </row>
    <row r="819" spans="1:16" hidden="1" x14ac:dyDescent="0.2">
      <c r="A819" s="587"/>
      <c r="B819" s="587"/>
      <c r="C819" s="587"/>
      <c r="D819" s="587"/>
      <c r="E819" s="587"/>
      <c r="H819" s="587"/>
      <c r="I819" s="587"/>
      <c r="J819" s="587"/>
      <c r="K819" s="587"/>
      <c r="L819" s="587"/>
      <c r="M819" s="587"/>
      <c r="O819" s="595"/>
      <c r="P819" s="595"/>
    </row>
    <row r="820" spans="1:16" hidden="1" x14ac:dyDescent="0.2">
      <c r="A820" s="589" t="s">
        <v>1169</v>
      </c>
      <c r="B820" s="589"/>
      <c r="C820" s="589"/>
      <c r="D820" s="589"/>
      <c r="E820" s="589"/>
      <c r="H820" s="587"/>
      <c r="I820" s="587"/>
      <c r="J820" s="587" t="s">
        <v>748</v>
      </c>
      <c r="K820" s="587"/>
      <c r="L820" s="587">
        <v>34.840000000000003</v>
      </c>
      <c r="M820" s="587"/>
      <c r="O820" s="595">
        <f t="shared" ref="O820" si="91">H820*L820</f>
        <v>0</v>
      </c>
      <c r="P820" s="595"/>
    </row>
    <row r="821" spans="1:16" hidden="1" x14ac:dyDescent="0.2">
      <c r="A821" s="589" t="s">
        <v>1170</v>
      </c>
      <c r="B821" s="589"/>
      <c r="C821" s="589"/>
      <c r="D821" s="589"/>
      <c r="E821" s="589"/>
      <c r="H821" s="587"/>
      <c r="I821" s="587"/>
      <c r="J821" s="587"/>
      <c r="K821" s="587"/>
      <c r="L821" s="587"/>
      <c r="M821" s="587"/>
      <c r="O821" s="587"/>
      <c r="P821" s="587"/>
    </row>
    <row r="822" spans="1:16" hidden="1" x14ac:dyDescent="0.2">
      <c r="A822" s="589" t="s">
        <v>1171</v>
      </c>
      <c r="B822" s="589"/>
      <c r="C822" s="589"/>
      <c r="D822" s="589"/>
      <c r="E822" s="589"/>
      <c r="H822" s="587"/>
      <c r="I822" s="587"/>
      <c r="J822" s="587"/>
      <c r="K822" s="587"/>
      <c r="L822" s="587"/>
      <c r="M822" s="587"/>
      <c r="O822" s="587"/>
      <c r="P822" s="587"/>
    </row>
    <row r="823" spans="1:16" hidden="1" x14ac:dyDescent="0.2">
      <c r="A823" s="587"/>
      <c r="B823" s="587"/>
      <c r="C823" s="587"/>
      <c r="D823" s="587"/>
      <c r="E823" s="587"/>
      <c r="H823" s="587"/>
      <c r="I823" s="587"/>
      <c r="J823" s="587"/>
      <c r="K823" s="587"/>
      <c r="L823" s="587"/>
      <c r="M823" s="587"/>
      <c r="O823" s="587"/>
      <c r="P823" s="587"/>
    </row>
    <row r="824" spans="1:16" hidden="1" x14ac:dyDescent="0.2">
      <c r="A824" s="587"/>
      <c r="B824" s="587"/>
      <c r="C824" s="587"/>
      <c r="D824" s="587"/>
      <c r="E824" s="587"/>
      <c r="H824" s="587"/>
      <c r="I824" s="587"/>
      <c r="J824" s="587"/>
      <c r="K824" s="587"/>
      <c r="L824" s="587"/>
      <c r="M824" s="587"/>
      <c r="O824" s="587"/>
      <c r="P824" s="587"/>
    </row>
    <row r="825" spans="1:16" hidden="1" x14ac:dyDescent="0.2">
      <c r="A825" s="589" t="s">
        <v>1172</v>
      </c>
      <c r="B825" s="589"/>
      <c r="C825" s="589"/>
      <c r="D825" s="589"/>
      <c r="E825" s="589"/>
      <c r="H825" s="587"/>
      <c r="I825" s="587"/>
      <c r="J825" s="587" t="s">
        <v>802</v>
      </c>
      <c r="K825" s="587"/>
      <c r="L825" s="587" t="s">
        <v>1162</v>
      </c>
      <c r="M825" s="587"/>
      <c r="O825" s="587"/>
      <c r="P825" s="587"/>
    </row>
    <row r="826" spans="1:16" hidden="1" x14ac:dyDescent="0.2">
      <c r="A826" s="589" t="s">
        <v>1173</v>
      </c>
      <c r="B826" s="589"/>
      <c r="C826" s="589"/>
      <c r="D826" s="589"/>
      <c r="E826" s="589"/>
      <c r="H826" s="587"/>
      <c r="I826" s="587"/>
      <c r="J826" s="587"/>
      <c r="K826" s="587"/>
      <c r="L826" s="587"/>
      <c r="M826" s="587"/>
      <c r="O826" s="587"/>
      <c r="P826" s="587"/>
    </row>
    <row r="827" spans="1:16" hidden="1" x14ac:dyDescent="0.2">
      <c r="A827" s="587"/>
      <c r="B827" s="587"/>
      <c r="C827" s="587"/>
      <c r="D827" s="587"/>
      <c r="E827" s="587"/>
      <c r="H827" s="587"/>
      <c r="I827" s="587"/>
      <c r="J827" s="587"/>
      <c r="K827" s="587"/>
      <c r="L827" s="587"/>
      <c r="M827" s="587"/>
      <c r="O827" s="587"/>
      <c r="P827" s="587"/>
    </row>
    <row r="828" spans="1:16" hidden="1" x14ac:dyDescent="0.2">
      <c r="A828" s="587"/>
      <c r="B828" s="587"/>
      <c r="C828" s="587"/>
      <c r="D828" s="587"/>
      <c r="E828" s="587"/>
      <c r="H828" s="587"/>
      <c r="I828" s="587"/>
      <c r="J828" s="587"/>
      <c r="K828" s="587"/>
      <c r="L828" s="587"/>
      <c r="M828" s="587"/>
      <c r="O828" s="587"/>
      <c r="P828" s="587"/>
    </row>
    <row r="829" spans="1:16" ht="15.75" hidden="1" thickBot="1" x14ac:dyDescent="0.3">
      <c r="A829" s="599" t="s">
        <v>1174</v>
      </c>
      <c r="B829" s="599"/>
      <c r="C829" s="599"/>
      <c r="D829" s="599"/>
      <c r="E829" s="599"/>
      <c r="H829" s="587"/>
      <c r="I829" s="587"/>
      <c r="J829" s="587"/>
      <c r="K829" s="587"/>
      <c r="L829" s="587"/>
      <c r="M829" s="587"/>
      <c r="O829" s="631">
        <f>SUM(O685:P828)</f>
        <v>0</v>
      </c>
      <c r="P829" s="631"/>
    </row>
    <row r="830" spans="1:16" ht="15.75" hidden="1" thickTop="1" x14ac:dyDescent="0.25">
      <c r="A830" s="599" t="s">
        <v>656</v>
      </c>
      <c r="B830" s="599"/>
      <c r="C830" s="599"/>
      <c r="D830" s="599"/>
      <c r="E830" s="599"/>
      <c r="H830" s="587"/>
      <c r="I830" s="587"/>
      <c r="J830" s="587"/>
      <c r="K830" s="587"/>
      <c r="L830" s="587"/>
      <c r="M830" s="587"/>
      <c r="O830" s="587"/>
      <c r="P830" s="587"/>
    </row>
    <row r="831" spans="1:16" x14ac:dyDescent="0.2">
      <c r="A831" s="587"/>
      <c r="B831" s="587"/>
      <c r="C831" s="587"/>
      <c r="D831" s="587"/>
      <c r="E831" s="587"/>
      <c r="H831" s="587"/>
      <c r="I831" s="587"/>
      <c r="J831" s="587"/>
      <c r="K831" s="587"/>
      <c r="L831" s="587"/>
      <c r="M831" s="587"/>
      <c r="O831" s="587"/>
      <c r="P831" s="587"/>
    </row>
    <row r="832" spans="1:16" ht="15" x14ac:dyDescent="0.25">
      <c r="A832" s="625" t="s">
        <v>1175</v>
      </c>
      <c r="B832" s="625"/>
      <c r="C832" s="625"/>
      <c r="D832" s="625"/>
      <c r="E832" s="625"/>
      <c r="F832" s="471"/>
      <c r="G832" s="471"/>
      <c r="H832" s="619"/>
      <c r="I832" s="619"/>
      <c r="J832" s="619"/>
      <c r="K832" s="619"/>
      <c r="L832" s="619"/>
      <c r="M832" s="619"/>
      <c r="N832" s="471"/>
      <c r="O832" s="619"/>
      <c r="P832" s="619"/>
    </row>
    <row r="833" spans="1:16" ht="15" hidden="1" x14ac:dyDescent="0.25">
      <c r="A833" s="604" t="s">
        <v>1176</v>
      </c>
      <c r="B833" s="604"/>
      <c r="C833" s="604"/>
      <c r="D833" s="604"/>
      <c r="E833" s="604"/>
      <c r="H833" s="587"/>
      <c r="I833" s="587"/>
      <c r="J833" s="587"/>
      <c r="K833" s="587"/>
      <c r="L833" s="587"/>
      <c r="M833" s="587"/>
      <c r="O833" s="587"/>
      <c r="P833" s="587"/>
    </row>
    <row r="834" spans="1:16" ht="15" hidden="1" x14ac:dyDescent="0.25">
      <c r="A834" s="604" t="s">
        <v>1177</v>
      </c>
      <c r="B834" s="604"/>
      <c r="C834" s="604"/>
      <c r="D834" s="604"/>
      <c r="E834" s="604"/>
      <c r="H834" s="587"/>
      <c r="I834" s="587"/>
      <c r="J834" s="587"/>
      <c r="K834" s="587"/>
      <c r="L834" s="587"/>
      <c r="M834" s="587"/>
      <c r="O834" s="587"/>
      <c r="P834" s="587"/>
    </row>
    <row r="835" spans="1:16" hidden="1" x14ac:dyDescent="0.2">
      <c r="A835" s="587"/>
      <c r="B835" s="587"/>
      <c r="C835" s="587"/>
      <c r="D835" s="587"/>
      <c r="E835" s="587"/>
      <c r="H835" s="587"/>
      <c r="I835" s="587"/>
      <c r="J835" s="587"/>
      <c r="K835" s="587"/>
      <c r="L835" s="587"/>
      <c r="M835" s="587"/>
      <c r="O835" s="587"/>
      <c r="P835" s="587"/>
    </row>
    <row r="836" spans="1:16" hidden="1" x14ac:dyDescent="0.2">
      <c r="A836" s="589" t="s">
        <v>1178</v>
      </c>
      <c r="B836" s="589"/>
      <c r="C836" s="589"/>
      <c r="D836" s="589"/>
      <c r="E836" s="589"/>
      <c r="H836" s="587"/>
      <c r="I836" s="587"/>
      <c r="J836" s="587"/>
      <c r="K836" s="587"/>
      <c r="L836" s="587"/>
      <c r="M836" s="587"/>
      <c r="O836" s="587"/>
      <c r="P836" s="587"/>
    </row>
    <row r="837" spans="1:16" hidden="1" x14ac:dyDescent="0.2">
      <c r="A837" s="589" t="s">
        <v>1179</v>
      </c>
      <c r="B837" s="589"/>
      <c r="C837" s="589"/>
      <c r="D837" s="589"/>
      <c r="E837" s="589"/>
      <c r="H837" s="587"/>
      <c r="I837" s="587"/>
      <c r="J837" s="587"/>
      <c r="K837" s="587"/>
      <c r="L837" s="587"/>
      <c r="M837" s="587"/>
      <c r="O837" s="587"/>
      <c r="P837" s="587"/>
    </row>
    <row r="838" spans="1:16" hidden="1" x14ac:dyDescent="0.2">
      <c r="A838" s="589" t="s">
        <v>1180</v>
      </c>
      <c r="B838" s="589"/>
      <c r="C838" s="589"/>
      <c r="D838" s="589"/>
      <c r="E838" s="589"/>
      <c r="H838" s="587"/>
      <c r="I838" s="587"/>
      <c r="J838" s="587"/>
      <c r="K838" s="587"/>
      <c r="L838" s="587"/>
      <c r="M838" s="587"/>
      <c r="O838" s="587"/>
      <c r="P838" s="587"/>
    </row>
    <row r="839" spans="1:16" hidden="1" x14ac:dyDescent="0.2">
      <c r="A839" s="589" t="s">
        <v>1181</v>
      </c>
      <c r="B839" s="589"/>
      <c r="C839" s="589"/>
      <c r="D839" s="589"/>
      <c r="E839" s="589"/>
      <c r="H839" s="587"/>
      <c r="I839" s="587"/>
      <c r="J839" s="587"/>
      <c r="K839" s="587"/>
      <c r="L839" s="587"/>
      <c r="M839" s="587"/>
      <c r="O839" s="587"/>
      <c r="P839" s="587"/>
    </row>
    <row r="840" spans="1:16" hidden="1" x14ac:dyDescent="0.2">
      <c r="A840" s="589" t="s">
        <v>1182</v>
      </c>
      <c r="B840" s="589"/>
      <c r="C840" s="589"/>
      <c r="D840" s="589"/>
      <c r="E840" s="589"/>
      <c r="H840" s="587"/>
      <c r="I840" s="587"/>
      <c r="J840" s="587" t="s">
        <v>1183</v>
      </c>
      <c r="K840" s="587"/>
      <c r="L840" s="587">
        <v>59.53</v>
      </c>
      <c r="M840" s="587"/>
      <c r="O840" s="587">
        <f>H840*L840</f>
        <v>0</v>
      </c>
      <c r="P840" s="587"/>
    </row>
    <row r="841" spans="1:16" hidden="1" x14ac:dyDescent="0.2">
      <c r="A841" s="589" t="s">
        <v>1184</v>
      </c>
      <c r="B841" s="589"/>
      <c r="C841" s="589"/>
      <c r="D841" s="589"/>
      <c r="E841" s="589"/>
      <c r="H841" s="587"/>
      <c r="I841" s="587"/>
      <c r="J841" s="587" t="s">
        <v>1183</v>
      </c>
      <c r="K841" s="587"/>
      <c r="L841" s="587">
        <v>38.74</v>
      </c>
      <c r="M841" s="587"/>
      <c r="O841" s="587">
        <f>H841*L841</f>
        <v>0</v>
      </c>
      <c r="P841" s="587"/>
    </row>
    <row r="842" spans="1:16" hidden="1" x14ac:dyDescent="0.2">
      <c r="A842" s="587"/>
      <c r="B842" s="587"/>
      <c r="C842" s="587"/>
      <c r="D842" s="587"/>
      <c r="E842" s="587"/>
      <c r="H842" s="587"/>
      <c r="I842" s="587"/>
      <c r="J842" s="587"/>
      <c r="K842" s="587"/>
      <c r="L842" s="587"/>
      <c r="M842" s="587"/>
      <c r="O842" s="587"/>
      <c r="P842" s="587"/>
    </row>
    <row r="843" spans="1:16" hidden="1" x14ac:dyDescent="0.2">
      <c r="A843" s="587"/>
      <c r="B843" s="587"/>
      <c r="C843" s="587"/>
      <c r="D843" s="587"/>
      <c r="E843" s="587"/>
      <c r="H843" s="587"/>
      <c r="I843" s="587"/>
      <c r="J843" s="587"/>
      <c r="K843" s="587"/>
      <c r="L843" s="587"/>
      <c r="M843" s="587"/>
      <c r="O843" s="587"/>
      <c r="P843" s="587"/>
    </row>
    <row r="844" spans="1:16" hidden="1" x14ac:dyDescent="0.2">
      <c r="A844" s="635" t="s">
        <v>1185</v>
      </c>
      <c r="B844" s="635"/>
      <c r="C844" s="635"/>
      <c r="D844" s="635"/>
      <c r="E844" s="635"/>
      <c r="H844" s="587"/>
      <c r="I844" s="587"/>
      <c r="J844" s="587"/>
      <c r="K844" s="587"/>
      <c r="L844" s="587"/>
      <c r="M844" s="587"/>
      <c r="O844" s="587"/>
      <c r="P844" s="587"/>
    </row>
    <row r="845" spans="1:16" hidden="1" x14ac:dyDescent="0.2">
      <c r="A845" s="635" t="s">
        <v>1186</v>
      </c>
      <c r="B845" s="635"/>
      <c r="C845" s="635"/>
      <c r="D845" s="635"/>
      <c r="E845" s="635"/>
      <c r="H845" s="587"/>
      <c r="I845" s="587"/>
      <c r="J845" s="587"/>
      <c r="K845" s="587"/>
      <c r="L845" s="587"/>
      <c r="M845" s="587"/>
      <c r="O845" s="587"/>
      <c r="P845" s="587"/>
    </row>
    <row r="846" spans="1:16" hidden="1" x14ac:dyDescent="0.2">
      <c r="A846" s="635" t="s">
        <v>1187</v>
      </c>
      <c r="B846" s="635"/>
      <c r="C846" s="635"/>
      <c r="D846" s="635"/>
      <c r="E846" s="635"/>
      <c r="H846" s="587"/>
      <c r="I846" s="587"/>
      <c r="J846" s="587"/>
      <c r="K846" s="587"/>
      <c r="L846" s="587"/>
      <c r="M846" s="587"/>
      <c r="O846" s="587"/>
      <c r="P846" s="587"/>
    </row>
    <row r="847" spans="1:16" hidden="1" x14ac:dyDescent="0.2">
      <c r="A847" s="587"/>
      <c r="B847" s="587"/>
      <c r="C847" s="587"/>
      <c r="D847" s="587"/>
      <c r="E847" s="587"/>
      <c r="H847" s="587"/>
      <c r="I847" s="587"/>
      <c r="J847" s="587"/>
      <c r="K847" s="587"/>
      <c r="L847" s="587"/>
      <c r="M847" s="587"/>
      <c r="O847" s="587"/>
      <c r="P847" s="587"/>
    </row>
    <row r="848" spans="1:16" hidden="1" x14ac:dyDescent="0.2">
      <c r="A848" s="589" t="s">
        <v>1188</v>
      </c>
      <c r="B848" s="589"/>
      <c r="C848" s="589"/>
      <c r="D848" s="589"/>
      <c r="E848" s="589"/>
      <c r="H848" s="587"/>
      <c r="I848" s="587"/>
      <c r="J848" s="587"/>
      <c r="K848" s="587"/>
      <c r="L848" s="587"/>
      <c r="M848" s="587"/>
      <c r="O848" s="587"/>
      <c r="P848" s="587"/>
    </row>
    <row r="849" spans="1:16" hidden="1" x14ac:dyDescent="0.2">
      <c r="A849" s="589" t="s">
        <v>1189</v>
      </c>
      <c r="B849" s="589"/>
      <c r="C849" s="589"/>
      <c r="D849" s="589"/>
      <c r="E849" s="589"/>
      <c r="H849" s="587"/>
      <c r="I849" s="587"/>
      <c r="J849" s="587" t="s">
        <v>1190</v>
      </c>
      <c r="K849" s="587"/>
      <c r="L849" s="587">
        <v>7.1</v>
      </c>
      <c r="M849" s="587"/>
      <c r="O849" s="587">
        <f>H849*L849</f>
        <v>0</v>
      </c>
      <c r="P849" s="587"/>
    </row>
    <row r="850" spans="1:16" hidden="1" x14ac:dyDescent="0.2">
      <c r="A850" s="589" t="s">
        <v>1191</v>
      </c>
      <c r="B850" s="589"/>
      <c r="C850" s="589"/>
      <c r="D850" s="589"/>
      <c r="E850" s="589"/>
      <c r="H850" s="587"/>
      <c r="I850" s="587"/>
      <c r="J850" s="587" t="s">
        <v>1190</v>
      </c>
      <c r="K850" s="587"/>
      <c r="L850" s="587">
        <v>14.64</v>
      </c>
      <c r="M850" s="587"/>
      <c r="O850" s="587">
        <f t="shared" ref="O850" si="92">H850*L850</f>
        <v>0</v>
      </c>
      <c r="P850" s="587"/>
    </row>
    <row r="851" spans="1:16" hidden="1" x14ac:dyDescent="0.2">
      <c r="A851" s="589" t="s">
        <v>1192</v>
      </c>
      <c r="B851" s="589"/>
      <c r="C851" s="589"/>
      <c r="D851" s="589"/>
      <c r="E851" s="589"/>
      <c r="H851" s="587"/>
      <c r="I851" s="587"/>
      <c r="J851" s="587" t="s">
        <v>1190</v>
      </c>
      <c r="K851" s="587"/>
      <c r="L851" s="587">
        <v>17.7</v>
      </c>
      <c r="M851" s="587"/>
      <c r="O851" s="587">
        <f>H851*L851</f>
        <v>0</v>
      </c>
      <c r="P851" s="587"/>
    </row>
    <row r="852" spans="1:16" hidden="1" x14ac:dyDescent="0.2">
      <c r="A852" s="587"/>
      <c r="B852" s="587"/>
      <c r="C852" s="587"/>
      <c r="D852" s="587"/>
      <c r="E852" s="587"/>
      <c r="H852" s="587"/>
      <c r="I852" s="587"/>
      <c r="J852" s="587"/>
      <c r="K852" s="587"/>
      <c r="L852" s="587"/>
      <c r="M852" s="587"/>
      <c r="O852" s="587"/>
      <c r="P852" s="587"/>
    </row>
    <row r="853" spans="1:16" hidden="1" x14ac:dyDescent="0.2">
      <c r="A853" s="587"/>
      <c r="B853" s="587"/>
      <c r="C853" s="587"/>
      <c r="D853" s="587"/>
      <c r="E853" s="587"/>
      <c r="H853" s="587"/>
      <c r="I853" s="587"/>
      <c r="J853" s="587"/>
      <c r="K853" s="587"/>
      <c r="L853" s="587"/>
      <c r="M853" s="587"/>
      <c r="O853" s="587"/>
      <c r="P853" s="587"/>
    </row>
    <row r="854" spans="1:16" hidden="1" x14ac:dyDescent="0.2">
      <c r="A854" s="589" t="s">
        <v>1193</v>
      </c>
      <c r="B854" s="589"/>
      <c r="C854" s="589"/>
      <c r="D854" s="589"/>
      <c r="E854" s="589"/>
      <c r="H854" s="587"/>
      <c r="I854" s="587"/>
      <c r="J854" s="587"/>
      <c r="K854" s="587"/>
      <c r="L854" s="587"/>
      <c r="M854" s="587"/>
      <c r="O854" s="587"/>
      <c r="P854" s="587"/>
    </row>
    <row r="855" spans="1:16" hidden="1" x14ac:dyDescent="0.2">
      <c r="A855" s="589" t="s">
        <v>1194</v>
      </c>
      <c r="B855" s="589"/>
      <c r="C855" s="589"/>
      <c r="D855" s="589"/>
      <c r="E855" s="589"/>
      <c r="H855" s="587"/>
      <c r="I855" s="587"/>
      <c r="J855" s="587"/>
      <c r="K855" s="587"/>
      <c r="L855" s="587"/>
      <c r="M855" s="587"/>
      <c r="O855" s="587"/>
      <c r="P855" s="587"/>
    </row>
    <row r="856" spans="1:16" hidden="1" x14ac:dyDescent="0.2">
      <c r="A856" s="589" t="s">
        <v>1195</v>
      </c>
      <c r="B856" s="589"/>
      <c r="C856" s="589"/>
      <c r="D856" s="589"/>
      <c r="E856" s="589"/>
      <c r="H856" s="587"/>
      <c r="I856" s="587"/>
      <c r="J856" s="587" t="s">
        <v>1183</v>
      </c>
      <c r="K856" s="587"/>
      <c r="L856" s="587">
        <v>14.64</v>
      </c>
      <c r="M856" s="587"/>
      <c r="O856" s="587">
        <f t="shared" ref="O856:O861" si="93">H856*L856</f>
        <v>0</v>
      </c>
      <c r="P856" s="587"/>
    </row>
    <row r="857" spans="1:16" hidden="1" x14ac:dyDescent="0.2">
      <c r="A857" s="587"/>
      <c r="B857" s="587"/>
      <c r="C857" s="587"/>
      <c r="D857" s="587"/>
      <c r="E857" s="587"/>
      <c r="H857" s="587"/>
      <c r="I857" s="587"/>
      <c r="J857" s="587"/>
      <c r="K857" s="587"/>
      <c r="L857" s="587"/>
      <c r="M857" s="587"/>
      <c r="O857" s="587"/>
      <c r="P857" s="587"/>
    </row>
    <row r="858" spans="1:16" hidden="1" x14ac:dyDescent="0.2">
      <c r="A858" s="587"/>
      <c r="B858" s="587"/>
      <c r="C858" s="587"/>
      <c r="D858" s="587"/>
      <c r="E858" s="587"/>
      <c r="H858" s="587"/>
      <c r="I858" s="587"/>
      <c r="J858" s="587"/>
      <c r="K858" s="587"/>
      <c r="L858" s="587"/>
      <c r="M858" s="587"/>
      <c r="O858" s="587"/>
      <c r="P858" s="587"/>
    </row>
    <row r="859" spans="1:16" hidden="1" x14ac:dyDescent="0.2">
      <c r="A859" s="589" t="s">
        <v>1196</v>
      </c>
      <c r="B859" s="589"/>
      <c r="C859" s="589"/>
      <c r="D859" s="589"/>
      <c r="E859" s="589"/>
      <c r="H859" s="587"/>
      <c r="I859" s="587"/>
      <c r="J859" s="587"/>
      <c r="K859" s="587"/>
      <c r="L859" s="587"/>
      <c r="M859" s="587"/>
      <c r="O859" s="587"/>
      <c r="P859" s="587"/>
    </row>
    <row r="860" spans="1:16" hidden="1" x14ac:dyDescent="0.2">
      <c r="A860" s="589" t="s">
        <v>1197</v>
      </c>
      <c r="B860" s="589"/>
      <c r="C860" s="589"/>
      <c r="D860" s="589"/>
      <c r="E860" s="589"/>
      <c r="H860" s="587"/>
      <c r="I860" s="587"/>
      <c r="J860" s="587" t="s">
        <v>1183</v>
      </c>
      <c r="K860" s="587"/>
      <c r="L860" s="587">
        <v>8.31</v>
      </c>
      <c r="M860" s="587"/>
      <c r="O860" s="587">
        <f t="shared" si="93"/>
        <v>0</v>
      </c>
      <c r="P860" s="587"/>
    </row>
    <row r="861" spans="1:16" hidden="1" x14ac:dyDescent="0.2">
      <c r="A861" s="589" t="s">
        <v>1198</v>
      </c>
      <c r="B861" s="589"/>
      <c r="C861" s="589"/>
      <c r="D861" s="589"/>
      <c r="E861" s="589"/>
      <c r="H861" s="587"/>
      <c r="I861" s="587"/>
      <c r="J861" s="587" t="s">
        <v>1183</v>
      </c>
      <c r="K861" s="587"/>
      <c r="L861" s="587">
        <v>13.01</v>
      </c>
      <c r="M861" s="587"/>
      <c r="O861" s="587">
        <f t="shared" si="93"/>
        <v>0</v>
      </c>
      <c r="P861" s="587"/>
    </row>
    <row r="862" spans="1:16" hidden="1" x14ac:dyDescent="0.2">
      <c r="A862" s="587"/>
      <c r="B862" s="587"/>
      <c r="C862" s="587"/>
      <c r="D862" s="587"/>
      <c r="E862" s="587"/>
      <c r="H862" s="587"/>
      <c r="I862" s="587"/>
      <c r="J862" s="587"/>
      <c r="K862" s="587"/>
      <c r="L862" s="587"/>
      <c r="M862" s="587"/>
      <c r="O862" s="587"/>
      <c r="P862" s="587"/>
    </row>
    <row r="863" spans="1:16" hidden="1" x14ac:dyDescent="0.2">
      <c r="A863" s="587"/>
      <c r="B863" s="587"/>
      <c r="C863" s="587"/>
      <c r="D863" s="587"/>
      <c r="E863" s="587"/>
      <c r="H863" s="587"/>
      <c r="I863" s="587"/>
      <c r="J863" s="587"/>
      <c r="K863" s="587"/>
      <c r="L863" s="587"/>
      <c r="M863" s="587"/>
      <c r="O863" s="587"/>
      <c r="P863" s="587"/>
    </row>
    <row r="864" spans="1:16" hidden="1" x14ac:dyDescent="0.2">
      <c r="A864" s="589" t="s">
        <v>1199</v>
      </c>
      <c r="B864" s="589"/>
      <c r="C864" s="589"/>
      <c r="D864" s="589"/>
      <c r="E864" s="589"/>
      <c r="H864" s="587"/>
      <c r="I864" s="587"/>
      <c r="J864" s="587"/>
      <c r="K864" s="587"/>
      <c r="L864" s="587"/>
      <c r="M864" s="587"/>
      <c r="O864" s="587"/>
      <c r="P864" s="587"/>
    </row>
    <row r="865" spans="1:16" hidden="1" x14ac:dyDescent="0.2">
      <c r="A865" s="589" t="s">
        <v>1194</v>
      </c>
      <c r="B865" s="589"/>
      <c r="C865" s="589"/>
      <c r="D865" s="589"/>
      <c r="E865" s="589"/>
      <c r="H865" s="587"/>
      <c r="I865" s="587"/>
      <c r="J865" s="587"/>
      <c r="K865" s="587"/>
      <c r="L865" s="587"/>
      <c r="M865" s="587"/>
      <c r="O865" s="587"/>
      <c r="P865" s="587"/>
    </row>
    <row r="866" spans="1:16" hidden="1" x14ac:dyDescent="0.2">
      <c r="A866" s="589" t="s">
        <v>1200</v>
      </c>
      <c r="B866" s="589"/>
      <c r="C866" s="589"/>
      <c r="D866" s="589"/>
      <c r="E866" s="589"/>
      <c r="H866" s="587"/>
      <c r="I866" s="587"/>
      <c r="J866" s="587" t="s">
        <v>1183</v>
      </c>
      <c r="K866" s="587"/>
      <c r="L866" s="587">
        <v>13.01</v>
      </c>
      <c r="M866" s="587"/>
      <c r="O866" s="587">
        <f t="shared" ref="O866" si="94">H866*L866</f>
        <v>0</v>
      </c>
      <c r="P866" s="587"/>
    </row>
    <row r="867" spans="1:16" hidden="1" x14ac:dyDescent="0.2">
      <c r="A867" s="587"/>
      <c r="B867" s="587"/>
      <c r="C867" s="587"/>
      <c r="D867" s="587"/>
      <c r="E867" s="587"/>
      <c r="H867" s="587"/>
      <c r="I867" s="587"/>
      <c r="J867" s="587"/>
      <c r="K867" s="587"/>
      <c r="L867" s="587"/>
      <c r="M867" s="587"/>
      <c r="O867" s="587"/>
      <c r="P867" s="587"/>
    </row>
    <row r="868" spans="1:16" hidden="1" x14ac:dyDescent="0.2">
      <c r="A868" s="587"/>
      <c r="B868" s="587"/>
      <c r="C868" s="587"/>
      <c r="D868" s="587"/>
      <c r="E868" s="587"/>
      <c r="H868" s="587"/>
      <c r="I868" s="587"/>
      <c r="J868" s="587"/>
      <c r="K868" s="587"/>
      <c r="L868" s="587"/>
      <c r="M868" s="587"/>
      <c r="O868" s="587"/>
      <c r="P868" s="587"/>
    </row>
    <row r="869" spans="1:16" ht="15" hidden="1" x14ac:dyDescent="0.25">
      <c r="A869" s="599" t="s">
        <v>1201</v>
      </c>
      <c r="B869" s="599"/>
      <c r="C869" s="599"/>
      <c r="D869" s="599"/>
      <c r="E869" s="599"/>
      <c r="H869" s="587"/>
      <c r="I869" s="587"/>
      <c r="J869" s="587"/>
      <c r="K869" s="587"/>
      <c r="L869" s="587"/>
      <c r="M869" s="587"/>
      <c r="O869" s="587">
        <f>SUM(O835:P868)</f>
        <v>0</v>
      </c>
      <c r="P869" s="587"/>
    </row>
    <row r="870" spans="1:16" ht="15" hidden="1" x14ac:dyDescent="0.25">
      <c r="A870" s="599" t="s">
        <v>656</v>
      </c>
      <c r="B870" s="599"/>
      <c r="C870" s="599"/>
      <c r="D870" s="599"/>
      <c r="E870" s="599"/>
      <c r="H870" s="587"/>
      <c r="I870" s="587"/>
      <c r="J870" s="587"/>
      <c r="K870" s="587"/>
      <c r="L870" s="587"/>
      <c r="M870" s="587"/>
      <c r="O870" s="587">
        <f>SUM(O835:P869)</f>
        <v>0</v>
      </c>
      <c r="P870" s="587"/>
    </row>
    <row r="871" spans="1:16" x14ac:dyDescent="0.2">
      <c r="A871" s="587"/>
      <c r="B871" s="587"/>
      <c r="C871" s="587"/>
      <c r="D871" s="587"/>
      <c r="E871" s="587"/>
      <c r="H871" s="587"/>
      <c r="I871" s="587"/>
      <c r="J871" s="587"/>
      <c r="K871" s="587"/>
      <c r="L871" s="587"/>
      <c r="M871" s="587"/>
      <c r="O871" s="587"/>
      <c r="P871" s="587"/>
    </row>
    <row r="872" spans="1:16" ht="15" x14ac:dyDescent="0.25">
      <c r="A872" s="625" t="s">
        <v>1202</v>
      </c>
      <c r="B872" s="625"/>
      <c r="C872" s="625"/>
      <c r="D872" s="625"/>
      <c r="E872" s="625"/>
      <c r="F872" s="471"/>
      <c r="G872" s="471"/>
      <c r="H872" s="619"/>
      <c r="I872" s="619"/>
      <c r="J872" s="619"/>
      <c r="K872" s="619"/>
      <c r="L872" s="619"/>
      <c r="M872" s="619"/>
      <c r="N872" s="471"/>
      <c r="O872" s="619"/>
      <c r="P872" s="619"/>
    </row>
    <row r="873" spans="1:16" x14ac:dyDescent="0.2">
      <c r="A873" s="587"/>
      <c r="B873" s="587"/>
      <c r="C873" s="587"/>
      <c r="D873" s="587"/>
      <c r="E873" s="587"/>
      <c r="H873" s="587"/>
      <c r="I873" s="587"/>
      <c r="J873" s="587"/>
      <c r="K873" s="587"/>
      <c r="L873" s="587"/>
      <c r="M873" s="587"/>
      <c r="O873" s="587"/>
      <c r="P873" s="587"/>
    </row>
    <row r="874" spans="1:16" hidden="1" x14ac:dyDescent="0.2">
      <c r="A874" s="589" t="s">
        <v>923</v>
      </c>
      <c r="B874" s="589"/>
      <c r="C874" s="589"/>
      <c r="D874" s="589"/>
      <c r="E874" s="589"/>
      <c r="H874" s="587"/>
      <c r="I874" s="587"/>
      <c r="J874" s="587"/>
      <c r="K874" s="587"/>
      <c r="L874" s="587"/>
      <c r="M874" s="587"/>
      <c r="O874" s="587"/>
      <c r="P874" s="587"/>
    </row>
    <row r="875" spans="1:16" hidden="1" x14ac:dyDescent="0.2">
      <c r="A875" s="589" t="s">
        <v>924</v>
      </c>
      <c r="B875" s="589"/>
      <c r="C875" s="589"/>
      <c r="D875" s="589"/>
      <c r="E875" s="589"/>
      <c r="H875" s="587"/>
      <c r="I875" s="587"/>
      <c r="J875" s="587"/>
      <c r="K875" s="587"/>
      <c r="L875" s="587"/>
      <c r="M875" s="587"/>
      <c r="O875" s="587"/>
      <c r="P875" s="587"/>
    </row>
    <row r="876" spans="1:16" hidden="1" x14ac:dyDescent="0.2">
      <c r="A876" s="589" t="s">
        <v>925</v>
      </c>
      <c r="B876" s="589"/>
      <c r="C876" s="589"/>
      <c r="D876" s="589"/>
      <c r="E876" s="589"/>
      <c r="H876" s="587"/>
      <c r="I876" s="587"/>
      <c r="J876" s="587"/>
      <c r="K876" s="587"/>
      <c r="L876" s="587"/>
      <c r="M876" s="587"/>
      <c r="O876" s="587"/>
      <c r="P876" s="587"/>
    </row>
    <row r="877" spans="1:16" hidden="1" x14ac:dyDescent="0.2">
      <c r="A877" s="589" t="s">
        <v>926</v>
      </c>
      <c r="B877" s="589"/>
      <c r="C877" s="589"/>
      <c r="D877" s="589"/>
      <c r="E877" s="589"/>
      <c r="H877" s="587"/>
      <c r="I877" s="587"/>
      <c r="J877" s="587"/>
      <c r="K877" s="587"/>
      <c r="L877" s="587"/>
      <c r="M877" s="587"/>
      <c r="O877" s="587"/>
      <c r="P877" s="587"/>
    </row>
    <row r="878" spans="1:16" hidden="1" x14ac:dyDescent="0.2">
      <c r="A878" s="589" t="s">
        <v>927</v>
      </c>
      <c r="B878" s="589"/>
      <c r="C878" s="589"/>
      <c r="D878" s="589"/>
      <c r="E878" s="589"/>
      <c r="H878" s="587"/>
      <c r="I878" s="587"/>
      <c r="J878" s="587"/>
      <c r="K878" s="587"/>
      <c r="L878" s="587"/>
      <c r="M878" s="587"/>
      <c r="O878" s="587"/>
      <c r="P878" s="587"/>
    </row>
    <row r="879" spans="1:16" hidden="1" x14ac:dyDescent="0.2">
      <c r="A879" s="589" t="s">
        <v>928</v>
      </c>
      <c r="B879" s="589"/>
      <c r="C879" s="589"/>
      <c r="D879" s="589"/>
      <c r="E879" s="589"/>
      <c r="H879" s="587"/>
      <c r="I879" s="587"/>
      <c r="J879" s="587"/>
      <c r="K879" s="587"/>
      <c r="L879" s="587"/>
      <c r="M879" s="587"/>
      <c r="O879" s="587"/>
      <c r="P879" s="587"/>
    </row>
    <row r="880" spans="1:16" x14ac:dyDescent="0.2">
      <c r="A880" s="589" t="s">
        <v>929</v>
      </c>
      <c r="B880" s="589"/>
      <c r="C880" s="589"/>
      <c r="D880" s="589"/>
      <c r="E880" s="589"/>
      <c r="H880" s="587"/>
      <c r="I880" s="587"/>
      <c r="J880" s="587" t="s">
        <v>785</v>
      </c>
      <c r="K880" s="587"/>
      <c r="L880" s="587">
        <v>130.11000000000001</v>
      </c>
      <c r="M880" s="587"/>
      <c r="O880" s="587">
        <f>H880*L880</f>
        <v>0</v>
      </c>
      <c r="P880" s="587"/>
    </row>
    <row r="881" spans="1:16" hidden="1" x14ac:dyDescent="0.2">
      <c r="A881" s="589" t="s">
        <v>930</v>
      </c>
      <c r="B881" s="589"/>
      <c r="C881" s="589"/>
      <c r="D881" s="589"/>
      <c r="E881" s="589"/>
      <c r="H881" s="587"/>
      <c r="I881" s="587"/>
      <c r="J881" s="587" t="s">
        <v>785</v>
      </c>
      <c r="K881" s="587"/>
      <c r="L881" s="587">
        <v>209.15</v>
      </c>
      <c r="M881" s="587"/>
      <c r="O881" s="587">
        <f t="shared" ref="O881:O883" si="95">H881*L881</f>
        <v>0</v>
      </c>
      <c r="P881" s="587"/>
    </row>
    <row r="882" spans="1:16" hidden="1" x14ac:dyDescent="0.2">
      <c r="A882" s="589" t="s">
        <v>931</v>
      </c>
      <c r="B882" s="589"/>
      <c r="C882" s="589"/>
      <c r="D882" s="589"/>
      <c r="E882" s="589"/>
      <c r="H882" s="587"/>
      <c r="I882" s="587"/>
      <c r="J882" s="587" t="s">
        <v>679</v>
      </c>
      <c r="K882" s="587"/>
      <c r="L882" s="590">
        <v>10515.48</v>
      </c>
      <c r="M882" s="587"/>
      <c r="O882" s="587">
        <f t="shared" si="95"/>
        <v>0</v>
      </c>
      <c r="P882" s="587"/>
    </row>
    <row r="883" spans="1:16" hidden="1" x14ac:dyDescent="0.2">
      <c r="A883" s="588" t="s">
        <v>932</v>
      </c>
      <c r="B883" s="589"/>
      <c r="C883" s="589"/>
      <c r="D883" s="589"/>
      <c r="E883" s="589"/>
      <c r="H883" s="587"/>
      <c r="I883" s="587"/>
      <c r="J883" s="587" t="s">
        <v>785</v>
      </c>
      <c r="K883" s="587"/>
      <c r="L883" s="590"/>
      <c r="M883" s="590"/>
      <c r="O883" s="587">
        <f t="shared" si="95"/>
        <v>0</v>
      </c>
      <c r="P883" s="587"/>
    </row>
    <row r="884" spans="1:16" hidden="1" x14ac:dyDescent="0.2">
      <c r="A884" s="589" t="s">
        <v>933</v>
      </c>
      <c r="B884" s="589"/>
      <c r="C884" s="589"/>
      <c r="D884" s="589"/>
      <c r="E884" s="589"/>
      <c r="H884" s="587"/>
      <c r="I884" s="587"/>
      <c r="J884" s="587"/>
      <c r="K884" s="587"/>
      <c r="L884" s="587"/>
      <c r="M884" s="587"/>
      <c r="O884" s="587"/>
      <c r="P884" s="587"/>
    </row>
    <row r="885" spans="1:16" hidden="1" x14ac:dyDescent="0.2">
      <c r="A885" s="589" t="s">
        <v>934</v>
      </c>
      <c r="B885" s="589"/>
      <c r="C885" s="589"/>
      <c r="D885" s="589"/>
      <c r="E885" s="589"/>
      <c r="H885" s="587"/>
      <c r="I885" s="587"/>
      <c r="J885" s="587"/>
      <c r="K885" s="587"/>
      <c r="L885" s="587"/>
      <c r="M885" s="587"/>
      <c r="O885" s="587"/>
      <c r="P885" s="587"/>
    </row>
    <row r="886" spans="1:16" hidden="1" x14ac:dyDescent="0.2">
      <c r="A886" s="589" t="s">
        <v>935</v>
      </c>
      <c r="B886" s="589"/>
      <c r="C886" s="589"/>
      <c r="D886" s="589"/>
      <c r="E886" s="589"/>
      <c r="H886" s="587"/>
      <c r="I886" s="587"/>
      <c r="J886" s="587"/>
      <c r="K886" s="587"/>
      <c r="L886" s="587"/>
      <c r="M886" s="587"/>
      <c r="O886" s="587"/>
      <c r="P886" s="587"/>
    </row>
    <row r="887" spans="1:16" hidden="1" x14ac:dyDescent="0.2">
      <c r="A887" s="587"/>
      <c r="B887" s="587"/>
      <c r="C887" s="587"/>
      <c r="D887" s="587"/>
      <c r="E887" s="587"/>
      <c r="H887" s="587"/>
      <c r="I887" s="587"/>
      <c r="J887" s="587"/>
      <c r="K887" s="587"/>
      <c r="L887" s="587"/>
      <c r="M887" s="587"/>
      <c r="O887" s="587"/>
      <c r="P887" s="587"/>
    </row>
    <row r="888" spans="1:16" hidden="1" x14ac:dyDescent="0.2">
      <c r="A888" s="587"/>
      <c r="B888" s="587"/>
      <c r="C888" s="587"/>
      <c r="D888" s="587"/>
      <c r="E888" s="587"/>
      <c r="H888" s="587"/>
      <c r="I888" s="587"/>
      <c r="J888" s="587"/>
      <c r="K888" s="587"/>
      <c r="L888" s="587"/>
      <c r="M888" s="587"/>
      <c r="O888" s="587"/>
      <c r="P888" s="587"/>
    </row>
    <row r="889" spans="1:16" hidden="1" x14ac:dyDescent="0.2">
      <c r="A889" s="589" t="s">
        <v>936</v>
      </c>
      <c r="B889" s="589"/>
      <c r="C889" s="589"/>
      <c r="D889" s="589"/>
      <c r="E889" s="589"/>
      <c r="H889" s="587"/>
      <c r="I889" s="587"/>
      <c r="J889" s="587"/>
      <c r="K889" s="587"/>
      <c r="L889" s="587"/>
      <c r="M889" s="587"/>
      <c r="O889" s="587"/>
      <c r="P889" s="587"/>
    </row>
    <row r="890" spans="1:16" hidden="1" x14ac:dyDescent="0.2">
      <c r="A890" s="589" t="s">
        <v>937</v>
      </c>
      <c r="B890" s="589"/>
      <c r="C890" s="589"/>
      <c r="D890" s="589"/>
      <c r="E890" s="589"/>
      <c r="H890" s="587"/>
      <c r="I890" s="587"/>
      <c r="J890" s="587"/>
      <c r="K890" s="587"/>
      <c r="L890" s="587"/>
      <c r="M890" s="587"/>
      <c r="O890" s="587"/>
      <c r="P890" s="587"/>
    </row>
    <row r="891" spans="1:16" hidden="1" x14ac:dyDescent="0.2">
      <c r="A891" s="589" t="s">
        <v>938</v>
      </c>
      <c r="B891" s="589"/>
      <c r="C891" s="589"/>
      <c r="D891" s="589"/>
      <c r="E891" s="589"/>
      <c r="H891" s="587"/>
      <c r="I891" s="587"/>
      <c r="J891" s="587" t="s">
        <v>662</v>
      </c>
      <c r="K891" s="587"/>
      <c r="L891" s="587">
        <v>25</v>
      </c>
      <c r="M891" s="587"/>
      <c r="O891" s="587">
        <f t="shared" ref="O891:O892" si="96">H891*L891</f>
        <v>0</v>
      </c>
      <c r="P891" s="587"/>
    </row>
    <row r="892" spans="1:16" hidden="1" x14ac:dyDescent="0.2">
      <c r="A892" s="589" t="s">
        <v>939</v>
      </c>
      <c r="B892" s="589"/>
      <c r="C892" s="589"/>
      <c r="D892" s="589"/>
      <c r="E892" s="589"/>
      <c r="H892" s="587"/>
      <c r="I892" s="587"/>
      <c r="J892" s="587" t="s">
        <v>662</v>
      </c>
      <c r="K892" s="587"/>
      <c r="L892" s="587">
        <v>180</v>
      </c>
      <c r="M892" s="587"/>
      <c r="O892" s="587">
        <f t="shared" si="96"/>
        <v>0</v>
      </c>
      <c r="P892" s="587"/>
    </row>
    <row r="893" spans="1:16" hidden="1" x14ac:dyDescent="0.2">
      <c r="A893" s="587"/>
      <c r="B893" s="587"/>
      <c r="C893" s="587"/>
      <c r="D893" s="587"/>
      <c r="E893" s="587"/>
      <c r="H893" s="587"/>
      <c r="I893" s="587"/>
      <c r="J893" s="587"/>
      <c r="K893" s="587"/>
      <c r="L893" s="587"/>
      <c r="M893" s="587"/>
      <c r="O893" s="587"/>
      <c r="P893" s="587"/>
    </row>
    <row r="894" spans="1:16" x14ac:dyDescent="0.2">
      <c r="A894" s="587"/>
      <c r="B894" s="587"/>
      <c r="C894" s="587"/>
      <c r="D894" s="587"/>
      <c r="E894" s="587"/>
      <c r="H894" s="587"/>
      <c r="I894" s="587"/>
      <c r="J894" s="587"/>
      <c r="K894" s="587"/>
      <c r="L894" s="587"/>
      <c r="M894" s="587"/>
      <c r="O894" s="587"/>
      <c r="P894" s="587"/>
    </row>
    <row r="895" spans="1:16" x14ac:dyDescent="0.2">
      <c r="A895" s="589" t="s">
        <v>940</v>
      </c>
      <c r="B895" s="589"/>
      <c r="C895" s="589"/>
      <c r="D895" s="589"/>
      <c r="E895" s="589"/>
      <c r="H895" s="587"/>
      <c r="I895" s="587"/>
      <c r="J895" s="587"/>
      <c r="K895" s="587"/>
      <c r="L895" s="587"/>
      <c r="M895" s="587"/>
      <c r="O895" s="587"/>
      <c r="P895" s="587"/>
    </row>
    <row r="896" spans="1:16" x14ac:dyDescent="0.2">
      <c r="A896" s="589" t="s">
        <v>941</v>
      </c>
      <c r="B896" s="589"/>
      <c r="C896" s="589"/>
      <c r="D896" s="589"/>
      <c r="E896" s="589"/>
      <c r="H896" s="587"/>
      <c r="I896" s="587"/>
      <c r="J896" s="587"/>
      <c r="K896" s="587"/>
      <c r="L896" s="587"/>
      <c r="M896" s="587"/>
      <c r="O896" s="587"/>
      <c r="P896" s="587"/>
    </row>
    <row r="897" spans="1:16" x14ac:dyDescent="0.2">
      <c r="A897" s="589" t="s">
        <v>942</v>
      </c>
      <c r="B897" s="589"/>
      <c r="C897" s="589"/>
      <c r="D897" s="589"/>
      <c r="E897" s="589"/>
      <c r="H897" s="587"/>
      <c r="I897" s="587"/>
      <c r="J897" s="587"/>
      <c r="K897" s="587"/>
      <c r="L897" s="587"/>
      <c r="M897" s="587"/>
      <c r="O897" s="587"/>
      <c r="P897" s="587"/>
    </row>
    <row r="898" spans="1:16" x14ac:dyDescent="0.2">
      <c r="A898" s="589" t="s">
        <v>943</v>
      </c>
      <c r="B898" s="589"/>
      <c r="C898" s="589"/>
      <c r="D898" s="589"/>
      <c r="E898" s="589"/>
      <c r="H898" s="587"/>
      <c r="I898" s="587"/>
      <c r="J898" s="587"/>
      <c r="K898" s="587"/>
      <c r="L898" s="587"/>
      <c r="M898" s="587"/>
      <c r="O898" s="587"/>
      <c r="P898" s="587"/>
    </row>
    <row r="899" spans="1:16" x14ac:dyDescent="0.2">
      <c r="A899" s="589" t="s">
        <v>944</v>
      </c>
      <c r="B899" s="589"/>
      <c r="C899" s="589"/>
      <c r="D899" s="589"/>
      <c r="E899" s="589"/>
      <c r="H899" s="587"/>
      <c r="I899" s="587"/>
      <c r="J899" s="587" t="s">
        <v>774</v>
      </c>
      <c r="K899" s="587"/>
      <c r="L899" s="590">
        <v>1005.89</v>
      </c>
      <c r="M899" s="587"/>
      <c r="O899" s="587">
        <f t="shared" ref="O899:O900" si="97">H899*L899</f>
        <v>0</v>
      </c>
      <c r="P899" s="587"/>
    </row>
    <row r="900" spans="1:16" x14ac:dyDescent="0.2">
      <c r="A900" s="589" t="s">
        <v>945</v>
      </c>
      <c r="B900" s="589"/>
      <c r="C900" s="589"/>
      <c r="D900" s="589"/>
      <c r="E900" s="589"/>
      <c r="H900" s="587"/>
      <c r="I900" s="587"/>
      <c r="J900" s="587" t="s">
        <v>774</v>
      </c>
      <c r="K900" s="587"/>
      <c r="L900" s="587">
        <v>879.53</v>
      </c>
      <c r="M900" s="587"/>
      <c r="O900" s="587">
        <f t="shared" si="97"/>
        <v>0</v>
      </c>
      <c r="P900" s="587"/>
    </row>
    <row r="901" spans="1:16" x14ac:dyDescent="0.2">
      <c r="A901" s="587"/>
      <c r="B901" s="587"/>
      <c r="C901" s="587"/>
      <c r="D901" s="587"/>
      <c r="E901" s="587"/>
      <c r="H901" s="587"/>
      <c r="I901" s="587"/>
      <c r="J901" s="587"/>
      <c r="K901" s="587"/>
      <c r="L901" s="587"/>
      <c r="M901" s="587"/>
      <c r="O901" s="587"/>
      <c r="P901" s="587"/>
    </row>
    <row r="902" spans="1:16" hidden="1" x14ac:dyDescent="0.2">
      <c r="A902" s="587"/>
      <c r="B902" s="587"/>
      <c r="C902" s="587"/>
      <c r="D902" s="587"/>
      <c r="E902" s="587"/>
      <c r="H902" s="587"/>
      <c r="I902" s="587"/>
      <c r="J902" s="587"/>
      <c r="K902" s="587"/>
      <c r="L902" s="587"/>
      <c r="M902" s="587"/>
      <c r="O902" s="587"/>
      <c r="P902" s="587"/>
    </row>
    <row r="903" spans="1:16" hidden="1" x14ac:dyDescent="0.2">
      <c r="A903" s="589" t="s">
        <v>946</v>
      </c>
      <c r="B903" s="589"/>
      <c r="C903" s="589"/>
      <c r="D903" s="589"/>
      <c r="E903" s="589"/>
      <c r="H903" s="587"/>
      <c r="I903" s="587"/>
      <c r="J903" s="587"/>
      <c r="K903" s="587"/>
      <c r="L903" s="587"/>
      <c r="M903" s="587"/>
      <c r="O903" s="587"/>
      <c r="P903" s="587"/>
    </row>
    <row r="904" spans="1:16" hidden="1" x14ac:dyDescent="0.2">
      <c r="A904" s="589" t="s">
        <v>947</v>
      </c>
      <c r="B904" s="589"/>
      <c r="C904" s="589"/>
      <c r="D904" s="589"/>
      <c r="E904" s="589"/>
      <c r="H904" s="587"/>
      <c r="I904" s="587"/>
      <c r="J904" s="587"/>
      <c r="K904" s="587"/>
      <c r="L904" s="587"/>
      <c r="M904" s="587"/>
      <c r="O904" s="587"/>
      <c r="P904" s="587"/>
    </row>
    <row r="905" spans="1:16" hidden="1" x14ac:dyDescent="0.2">
      <c r="A905" s="589" t="s">
        <v>948</v>
      </c>
      <c r="B905" s="589"/>
      <c r="C905" s="589"/>
      <c r="D905" s="589"/>
      <c r="E905" s="589"/>
      <c r="H905" s="587"/>
      <c r="I905" s="587"/>
      <c r="J905" s="587"/>
      <c r="K905" s="587"/>
      <c r="L905" s="587"/>
      <c r="M905" s="587"/>
      <c r="O905" s="587"/>
      <c r="P905" s="587"/>
    </row>
    <row r="906" spans="1:16" hidden="1" x14ac:dyDescent="0.2">
      <c r="A906" s="589" t="s">
        <v>949</v>
      </c>
      <c r="B906" s="589"/>
      <c r="C906" s="589"/>
      <c r="D906" s="589"/>
      <c r="E906" s="589"/>
      <c r="H906" s="587"/>
      <c r="I906" s="587"/>
      <c r="J906" s="587"/>
      <c r="K906" s="587"/>
      <c r="L906" s="587"/>
      <c r="M906" s="587"/>
      <c r="O906" s="587"/>
      <c r="P906" s="587"/>
    </row>
    <row r="907" spans="1:16" hidden="1" x14ac:dyDescent="0.2">
      <c r="A907" s="589" t="s">
        <v>950</v>
      </c>
      <c r="B907" s="589"/>
      <c r="C907" s="589"/>
      <c r="D907" s="589"/>
      <c r="E907" s="589"/>
      <c r="H907" s="587"/>
      <c r="I907" s="587"/>
      <c r="J907" s="587" t="s">
        <v>774</v>
      </c>
      <c r="K907" s="587"/>
      <c r="L907" s="590">
        <v>1884.31</v>
      </c>
      <c r="M907" s="587"/>
      <c r="O907" s="587">
        <f t="shared" ref="O907" si="98">H907*L907</f>
        <v>0</v>
      </c>
      <c r="P907" s="587"/>
    </row>
    <row r="908" spans="1:16" hidden="1" x14ac:dyDescent="0.2">
      <c r="A908" s="589" t="s">
        <v>951</v>
      </c>
      <c r="B908" s="589"/>
      <c r="C908" s="589"/>
      <c r="D908" s="589"/>
      <c r="E908" s="589"/>
      <c r="H908" s="587"/>
      <c r="I908" s="587"/>
      <c r="J908" s="587"/>
      <c r="K908" s="587"/>
      <c r="L908" s="587"/>
      <c r="M908" s="587"/>
      <c r="O908" s="587"/>
      <c r="P908" s="587"/>
    </row>
    <row r="909" spans="1:16" hidden="1" x14ac:dyDescent="0.2">
      <c r="A909" s="587"/>
      <c r="B909" s="587"/>
      <c r="C909" s="587"/>
      <c r="D909" s="587"/>
      <c r="E909" s="587"/>
      <c r="H909" s="587"/>
      <c r="I909" s="587"/>
      <c r="J909" s="587"/>
      <c r="K909" s="587"/>
      <c r="L909" s="587"/>
      <c r="M909" s="587"/>
      <c r="O909" s="587"/>
      <c r="P909" s="587"/>
    </row>
    <row r="910" spans="1:16" hidden="1" x14ac:dyDescent="0.2">
      <c r="A910" s="587"/>
      <c r="B910" s="587"/>
      <c r="C910" s="587"/>
      <c r="D910" s="587"/>
      <c r="E910" s="587"/>
      <c r="H910" s="587"/>
      <c r="I910" s="587"/>
      <c r="J910" s="587"/>
      <c r="K910" s="587"/>
      <c r="L910" s="587"/>
      <c r="M910" s="587"/>
      <c r="O910" s="587"/>
      <c r="P910" s="587"/>
    </row>
    <row r="911" spans="1:16" hidden="1" x14ac:dyDescent="0.2">
      <c r="A911" s="589" t="s">
        <v>952</v>
      </c>
      <c r="B911" s="589"/>
      <c r="C911" s="589"/>
      <c r="D911" s="589"/>
      <c r="E911" s="589"/>
      <c r="H911" s="587"/>
      <c r="I911" s="587"/>
      <c r="J911" s="587"/>
      <c r="K911" s="587"/>
      <c r="L911" s="587"/>
      <c r="M911" s="587"/>
      <c r="O911" s="587"/>
      <c r="P911" s="587"/>
    </row>
    <row r="912" spans="1:16" hidden="1" x14ac:dyDescent="0.2">
      <c r="A912" s="589" t="s">
        <v>953</v>
      </c>
      <c r="B912" s="589"/>
      <c r="C912" s="589"/>
      <c r="D912" s="589"/>
      <c r="E912" s="589"/>
      <c r="H912" s="587"/>
      <c r="I912" s="587"/>
      <c r="J912" s="587"/>
      <c r="K912" s="587"/>
      <c r="L912" s="587"/>
      <c r="M912" s="587"/>
      <c r="O912" s="587"/>
      <c r="P912" s="587"/>
    </row>
    <row r="913" spans="1:16" hidden="1" x14ac:dyDescent="0.2">
      <c r="A913" s="589" t="s">
        <v>954</v>
      </c>
      <c r="B913" s="589"/>
      <c r="C913" s="589"/>
      <c r="D913" s="589"/>
      <c r="E913" s="589"/>
      <c r="H913" s="587"/>
      <c r="I913" s="587"/>
      <c r="J913" s="587"/>
      <c r="K913" s="587"/>
      <c r="L913" s="587"/>
      <c r="M913" s="587"/>
      <c r="O913" s="587"/>
      <c r="P913" s="587"/>
    </row>
    <row r="914" spans="1:16" hidden="1" x14ac:dyDescent="0.2">
      <c r="A914" s="589" t="s">
        <v>955</v>
      </c>
      <c r="B914" s="589"/>
      <c r="C914" s="589"/>
      <c r="D914" s="589"/>
      <c r="E914" s="589"/>
      <c r="H914" s="587"/>
      <c r="I914" s="587"/>
      <c r="J914" s="587"/>
      <c r="K914" s="587"/>
      <c r="L914" s="587"/>
      <c r="M914" s="587"/>
      <c r="O914" s="587"/>
      <c r="P914" s="587"/>
    </row>
    <row r="915" spans="1:16" hidden="1" x14ac:dyDescent="0.2">
      <c r="A915" s="589" t="s">
        <v>956</v>
      </c>
      <c r="B915" s="589"/>
      <c r="C915" s="589"/>
      <c r="D915" s="589"/>
      <c r="E915" s="589"/>
      <c r="H915" s="587"/>
      <c r="I915" s="587"/>
      <c r="J915" s="587" t="s">
        <v>774</v>
      </c>
      <c r="K915" s="587"/>
      <c r="L915" s="587">
        <v>382.19</v>
      </c>
      <c r="M915" s="587"/>
      <c r="O915" s="587">
        <f>H915*L915</f>
        <v>0</v>
      </c>
      <c r="P915" s="587"/>
    </row>
    <row r="916" spans="1:16" x14ac:dyDescent="0.2">
      <c r="A916" s="589" t="s">
        <v>957</v>
      </c>
      <c r="B916" s="589"/>
      <c r="C916" s="589"/>
      <c r="D916" s="589"/>
      <c r="E916" s="589"/>
      <c r="H916" s="587"/>
      <c r="I916" s="587"/>
      <c r="J916" s="587"/>
      <c r="K916" s="587"/>
      <c r="L916" s="587"/>
      <c r="M916" s="587"/>
      <c r="O916" s="587"/>
      <c r="P916" s="587"/>
    </row>
    <row r="917" spans="1:16" x14ac:dyDescent="0.2">
      <c r="A917" s="589" t="s">
        <v>958</v>
      </c>
      <c r="B917" s="589"/>
      <c r="C917" s="589"/>
      <c r="D917" s="589"/>
      <c r="E917" s="589"/>
      <c r="H917" s="587"/>
      <c r="I917" s="587"/>
      <c r="J917" s="587" t="s">
        <v>774</v>
      </c>
      <c r="K917" s="587"/>
      <c r="L917" s="587">
        <v>329.88</v>
      </c>
      <c r="M917" s="587"/>
      <c r="O917" s="587">
        <f t="shared" ref="O917:O920" si="99">H917*L917</f>
        <v>0</v>
      </c>
      <c r="P917" s="587"/>
    </row>
    <row r="918" spans="1:16" x14ac:dyDescent="0.2">
      <c r="A918" s="589" t="s">
        <v>959</v>
      </c>
      <c r="B918" s="589"/>
      <c r="C918" s="589"/>
      <c r="D918" s="589"/>
      <c r="E918" s="589"/>
      <c r="H918" s="587"/>
      <c r="I918" s="587"/>
      <c r="J918" s="587" t="s">
        <v>774</v>
      </c>
      <c r="K918" s="587"/>
      <c r="L918" s="587">
        <v>568.47</v>
      </c>
      <c r="M918" s="587"/>
      <c r="O918" s="587">
        <f t="shared" si="99"/>
        <v>0</v>
      </c>
      <c r="P918" s="587"/>
    </row>
    <row r="919" spans="1:16" x14ac:dyDescent="0.2">
      <c r="A919" s="589" t="s">
        <v>960</v>
      </c>
      <c r="B919" s="589"/>
      <c r="C919" s="589"/>
      <c r="D919" s="589"/>
      <c r="E919" s="589"/>
      <c r="H919" s="587"/>
      <c r="I919" s="587"/>
      <c r="J919" s="587" t="s">
        <v>774</v>
      </c>
      <c r="K919" s="587"/>
      <c r="L919" s="587">
        <v>568.47</v>
      </c>
      <c r="M919" s="587"/>
      <c r="O919" s="587">
        <f t="shared" si="99"/>
        <v>0</v>
      </c>
      <c r="P919" s="587"/>
    </row>
    <row r="920" spans="1:16" x14ac:dyDescent="0.2">
      <c r="A920" s="589" t="s">
        <v>961</v>
      </c>
      <c r="B920" s="589"/>
      <c r="C920" s="589"/>
      <c r="D920" s="589"/>
      <c r="E920" s="589"/>
      <c r="H920" s="587"/>
      <c r="I920" s="587"/>
      <c r="J920" s="587" t="s">
        <v>774</v>
      </c>
      <c r="K920" s="587"/>
      <c r="L920" s="587">
        <v>329.88</v>
      </c>
      <c r="M920" s="587"/>
      <c r="O920" s="587">
        <f t="shared" si="99"/>
        <v>0</v>
      </c>
      <c r="P920" s="587"/>
    </row>
    <row r="921" spans="1:16" x14ac:dyDescent="0.2">
      <c r="A921" s="587"/>
      <c r="B921" s="587"/>
      <c r="C921" s="587"/>
      <c r="D921" s="587"/>
      <c r="E921" s="587"/>
      <c r="H921" s="587"/>
      <c r="I921" s="587"/>
      <c r="J921" s="587"/>
      <c r="K921" s="587"/>
      <c r="L921" s="587"/>
      <c r="M921" s="587"/>
      <c r="O921" s="587"/>
      <c r="P921" s="587"/>
    </row>
    <row r="922" spans="1:16" hidden="1" x14ac:dyDescent="0.2">
      <c r="A922" s="587"/>
      <c r="B922" s="587"/>
      <c r="C922" s="587"/>
      <c r="D922" s="587"/>
      <c r="E922" s="587"/>
      <c r="H922" s="587"/>
      <c r="I922" s="587"/>
      <c r="J922" s="587"/>
      <c r="K922" s="587"/>
      <c r="L922" s="587"/>
      <c r="M922" s="587"/>
      <c r="O922" s="587"/>
      <c r="P922" s="587"/>
    </row>
    <row r="923" spans="1:16" hidden="1" x14ac:dyDescent="0.2">
      <c r="A923" s="589" t="s">
        <v>962</v>
      </c>
      <c r="B923" s="589"/>
      <c r="C923" s="589"/>
      <c r="D923" s="589"/>
      <c r="E923" s="589"/>
      <c r="H923" s="587"/>
      <c r="I923" s="587"/>
      <c r="J923" s="587"/>
      <c r="K923" s="587"/>
      <c r="L923" s="587"/>
      <c r="M923" s="587"/>
      <c r="O923" s="587"/>
      <c r="P923" s="587"/>
    </row>
    <row r="924" spans="1:16" hidden="1" x14ac:dyDescent="0.2">
      <c r="A924" s="589" t="s">
        <v>963</v>
      </c>
      <c r="B924" s="589"/>
      <c r="C924" s="589"/>
      <c r="D924" s="589"/>
      <c r="E924" s="589"/>
      <c r="H924" s="587"/>
      <c r="I924" s="587"/>
      <c r="J924" s="587"/>
      <c r="K924" s="587"/>
      <c r="L924" s="587"/>
      <c r="M924" s="587"/>
      <c r="O924" s="587"/>
      <c r="P924" s="587"/>
    </row>
    <row r="925" spans="1:16" hidden="1" x14ac:dyDescent="0.2">
      <c r="A925" s="589" t="s">
        <v>964</v>
      </c>
      <c r="B925" s="589"/>
      <c r="C925" s="589"/>
      <c r="D925" s="589"/>
      <c r="E925" s="589"/>
      <c r="H925" s="587"/>
      <c r="I925" s="587"/>
      <c r="J925" s="587"/>
      <c r="K925" s="587"/>
      <c r="L925" s="587"/>
      <c r="M925" s="587"/>
      <c r="O925" s="587"/>
      <c r="P925" s="587"/>
    </row>
    <row r="926" spans="1:16" hidden="1" x14ac:dyDescent="0.2">
      <c r="A926" s="589" t="s">
        <v>965</v>
      </c>
      <c r="B926" s="589"/>
      <c r="C926" s="589"/>
      <c r="D926" s="589"/>
      <c r="E926" s="589"/>
      <c r="H926" s="587"/>
      <c r="I926" s="587"/>
      <c r="J926" s="587"/>
      <c r="K926" s="587"/>
      <c r="L926" s="587"/>
      <c r="M926" s="587"/>
      <c r="O926" s="587"/>
      <c r="P926" s="587"/>
    </row>
    <row r="927" spans="1:16" hidden="1" x14ac:dyDescent="0.2">
      <c r="A927" s="589" t="s">
        <v>966</v>
      </c>
      <c r="B927" s="589"/>
      <c r="C927" s="589"/>
      <c r="D927" s="589"/>
      <c r="E927" s="589"/>
      <c r="H927" s="587"/>
      <c r="I927" s="587"/>
      <c r="J927" s="587"/>
      <c r="K927" s="587"/>
      <c r="L927" s="587"/>
      <c r="M927" s="587"/>
      <c r="O927" s="587"/>
      <c r="P927" s="587"/>
    </row>
    <row r="928" spans="1:16" hidden="1" x14ac:dyDescent="0.2">
      <c r="A928" s="587"/>
      <c r="B928" s="587"/>
      <c r="C928" s="587"/>
      <c r="D928" s="587"/>
      <c r="E928" s="587"/>
      <c r="H928" s="587"/>
      <c r="I928" s="587"/>
      <c r="J928" s="587"/>
      <c r="K928" s="587"/>
      <c r="L928" s="587"/>
      <c r="M928" s="587"/>
      <c r="O928" s="587"/>
      <c r="P928" s="587"/>
    </row>
    <row r="929" spans="1:16" hidden="1" x14ac:dyDescent="0.2">
      <c r="A929" s="589" t="s">
        <v>967</v>
      </c>
      <c r="B929" s="589"/>
      <c r="C929" s="589"/>
      <c r="D929" s="589"/>
      <c r="E929" s="589"/>
      <c r="H929" s="587"/>
      <c r="I929" s="587"/>
      <c r="J929" s="587" t="s">
        <v>968</v>
      </c>
      <c r="K929" s="587"/>
      <c r="L929" s="587">
        <v>720.84</v>
      </c>
      <c r="M929" s="587"/>
      <c r="O929" s="587">
        <f t="shared" ref="O929:O931" si="100">H929*L929</f>
        <v>0</v>
      </c>
      <c r="P929" s="587"/>
    </row>
    <row r="930" spans="1:16" hidden="1" x14ac:dyDescent="0.2">
      <c r="A930" s="589" t="s">
        <v>969</v>
      </c>
      <c r="B930" s="589"/>
      <c r="C930" s="589"/>
      <c r="D930" s="589"/>
      <c r="E930" s="589"/>
      <c r="H930" s="587"/>
      <c r="I930" s="587"/>
      <c r="J930" s="587" t="s">
        <v>968</v>
      </c>
      <c r="K930" s="587"/>
      <c r="L930" s="587">
        <v>720.84</v>
      </c>
      <c r="M930" s="587"/>
      <c r="O930" s="587">
        <f t="shared" si="100"/>
        <v>0</v>
      </c>
      <c r="P930" s="587"/>
    </row>
    <row r="931" spans="1:16" hidden="1" x14ac:dyDescent="0.2">
      <c r="A931" s="589" t="s">
        <v>970</v>
      </c>
      <c r="B931" s="589"/>
      <c r="C931" s="589"/>
      <c r="D931" s="589"/>
      <c r="E931" s="589"/>
      <c r="H931" s="587"/>
      <c r="I931" s="587"/>
      <c r="J931" s="587" t="s">
        <v>968</v>
      </c>
      <c r="K931" s="587"/>
      <c r="L931" s="587">
        <v>121.64</v>
      </c>
      <c r="M931" s="587"/>
      <c r="O931" s="587">
        <f t="shared" si="100"/>
        <v>0</v>
      </c>
      <c r="P931" s="587"/>
    </row>
    <row r="932" spans="1:16" hidden="1" x14ac:dyDescent="0.2">
      <c r="A932" s="587"/>
      <c r="B932" s="587"/>
      <c r="C932" s="587"/>
      <c r="D932" s="587"/>
      <c r="E932" s="587"/>
      <c r="H932" s="587"/>
      <c r="I932" s="587"/>
      <c r="J932" s="587"/>
      <c r="K932" s="587"/>
      <c r="L932" s="587"/>
      <c r="M932" s="587"/>
      <c r="O932" s="587"/>
      <c r="P932" s="587"/>
    </row>
    <row r="933" spans="1:16" hidden="1" x14ac:dyDescent="0.2">
      <c r="A933" s="587"/>
      <c r="B933" s="587"/>
      <c r="C933" s="587"/>
      <c r="D933" s="587"/>
      <c r="E933" s="587"/>
      <c r="H933" s="587"/>
      <c r="I933" s="587"/>
      <c r="J933" s="587"/>
      <c r="K933" s="587"/>
      <c r="L933" s="587"/>
      <c r="M933" s="587"/>
      <c r="O933" s="587"/>
      <c r="P933" s="587"/>
    </row>
    <row r="934" spans="1:16" hidden="1" x14ac:dyDescent="0.2">
      <c r="A934" s="589" t="s">
        <v>971</v>
      </c>
      <c r="B934" s="589"/>
      <c r="C934" s="589"/>
      <c r="D934" s="589"/>
      <c r="E934" s="589"/>
      <c r="H934" s="587"/>
      <c r="I934" s="587"/>
      <c r="J934" s="587" t="s">
        <v>802</v>
      </c>
      <c r="K934" s="587"/>
      <c r="L934" s="587">
        <v>547.37</v>
      </c>
      <c r="M934" s="587"/>
      <c r="O934" s="587">
        <f t="shared" ref="O934" si="101">H934*L934</f>
        <v>0</v>
      </c>
      <c r="P934" s="587"/>
    </row>
    <row r="935" spans="1:16" hidden="1" x14ac:dyDescent="0.2">
      <c r="A935" s="589" t="s">
        <v>972</v>
      </c>
      <c r="B935" s="589"/>
      <c r="C935" s="589"/>
      <c r="D935" s="589"/>
      <c r="E935" s="589"/>
      <c r="H935" s="587"/>
      <c r="I935" s="587"/>
      <c r="J935" s="587"/>
      <c r="K935" s="587"/>
      <c r="L935" s="587"/>
      <c r="M935" s="587"/>
      <c r="O935" s="587"/>
      <c r="P935" s="587"/>
    </row>
    <row r="936" spans="1:16" hidden="1" x14ac:dyDescent="0.2">
      <c r="A936" s="589" t="s">
        <v>973</v>
      </c>
      <c r="B936" s="589"/>
      <c r="C936" s="589"/>
      <c r="D936" s="589"/>
      <c r="E936" s="589"/>
      <c r="H936" s="587"/>
      <c r="I936" s="587"/>
      <c r="J936" s="587"/>
      <c r="K936" s="587"/>
      <c r="L936" s="587"/>
      <c r="M936" s="587"/>
      <c r="O936" s="587"/>
      <c r="P936" s="587"/>
    </row>
    <row r="937" spans="1:16" hidden="1" x14ac:dyDescent="0.2">
      <c r="A937" s="587"/>
      <c r="B937" s="587"/>
      <c r="C937" s="587"/>
      <c r="D937" s="587"/>
      <c r="E937" s="587"/>
      <c r="H937" s="587"/>
      <c r="I937" s="587"/>
      <c r="J937" s="587"/>
      <c r="K937" s="587"/>
      <c r="L937" s="587"/>
      <c r="M937" s="587"/>
      <c r="O937" s="587"/>
      <c r="P937" s="587"/>
    </row>
    <row r="938" spans="1:16" hidden="1" x14ac:dyDescent="0.2">
      <c r="A938" s="587"/>
      <c r="B938" s="587"/>
      <c r="C938" s="587"/>
      <c r="D938" s="587"/>
      <c r="E938" s="587"/>
      <c r="H938" s="410"/>
      <c r="I938" s="410"/>
      <c r="J938" s="587"/>
      <c r="K938" s="587"/>
      <c r="L938" s="587"/>
      <c r="M938" s="587"/>
      <c r="O938" s="587"/>
      <c r="P938" s="587"/>
    </row>
    <row r="939" spans="1:16" hidden="1" x14ac:dyDescent="0.2">
      <c r="A939" s="589" t="s">
        <v>974</v>
      </c>
      <c r="B939" s="589"/>
      <c r="C939" s="589"/>
      <c r="D939" s="589"/>
      <c r="E939" s="589"/>
      <c r="H939" s="587"/>
      <c r="I939" s="587"/>
      <c r="J939" s="587" t="s">
        <v>968</v>
      </c>
      <c r="K939" s="587"/>
      <c r="L939" s="587"/>
      <c r="M939" s="587"/>
      <c r="O939" s="606"/>
      <c r="P939" s="587"/>
    </row>
    <row r="940" spans="1:16" hidden="1" x14ac:dyDescent="0.2">
      <c r="A940" s="589" t="s">
        <v>975</v>
      </c>
      <c r="B940" s="589"/>
      <c r="C940" s="589"/>
      <c r="D940" s="589"/>
      <c r="E940" s="589"/>
      <c r="H940" s="587"/>
      <c r="I940" s="587"/>
      <c r="J940" s="587"/>
      <c r="K940" s="587"/>
      <c r="L940" s="587"/>
      <c r="M940" s="587"/>
      <c r="O940" s="587"/>
      <c r="P940" s="587"/>
    </row>
    <row r="941" spans="1:16" hidden="1" x14ac:dyDescent="0.2">
      <c r="A941" s="589" t="s">
        <v>976</v>
      </c>
      <c r="B941" s="589"/>
      <c r="C941" s="589"/>
      <c r="D941" s="589"/>
      <c r="E941" s="589"/>
      <c r="H941" s="587"/>
      <c r="I941" s="587"/>
      <c r="J941" s="587"/>
      <c r="K941" s="587"/>
      <c r="L941" s="587"/>
      <c r="M941" s="587"/>
      <c r="O941" s="587"/>
      <c r="P941" s="587"/>
    </row>
    <row r="942" spans="1:16" hidden="1" x14ac:dyDescent="0.2">
      <c r="A942" s="589" t="s">
        <v>977</v>
      </c>
      <c r="B942" s="589"/>
      <c r="C942" s="589"/>
      <c r="D942" s="589"/>
      <c r="E942" s="589"/>
      <c r="H942" s="587"/>
      <c r="I942" s="587"/>
      <c r="J942" s="587"/>
      <c r="K942" s="587"/>
      <c r="L942" s="587"/>
      <c r="M942" s="587"/>
      <c r="O942" s="587"/>
      <c r="P942" s="587"/>
    </row>
    <row r="943" spans="1:16" hidden="1" x14ac:dyDescent="0.2">
      <c r="A943" s="463"/>
      <c r="B943" s="463"/>
      <c r="C943" s="463"/>
      <c r="D943" s="463"/>
      <c r="E943" s="463"/>
      <c r="H943" s="410"/>
      <c r="I943" s="410"/>
      <c r="J943" s="410"/>
      <c r="K943" s="410"/>
      <c r="L943" s="410"/>
      <c r="M943" s="410"/>
      <c r="O943" s="410"/>
      <c r="P943" s="410"/>
    </row>
    <row r="944" spans="1:16" x14ac:dyDescent="0.2">
      <c r="A944" s="463" t="s">
        <v>1203</v>
      </c>
      <c r="B944" s="463"/>
      <c r="C944" s="463"/>
      <c r="D944" s="463"/>
      <c r="E944" s="463"/>
      <c r="H944" s="587"/>
      <c r="I944" s="587"/>
      <c r="J944" s="587" t="s">
        <v>968</v>
      </c>
      <c r="K944" s="587"/>
      <c r="L944" s="587">
        <v>380</v>
      </c>
      <c r="M944" s="587"/>
      <c r="O944" s="587">
        <f t="shared" ref="O944:O946" si="102">H944*L944</f>
        <v>0</v>
      </c>
      <c r="P944" s="587"/>
    </row>
    <row r="945" spans="1:16" x14ac:dyDescent="0.2">
      <c r="A945" s="463" t="s">
        <v>1204</v>
      </c>
      <c r="B945" s="463"/>
      <c r="C945" s="463"/>
      <c r="D945" s="463"/>
      <c r="E945" s="463"/>
      <c r="H945" s="587"/>
      <c r="I945" s="587"/>
      <c r="J945" s="587" t="s">
        <v>968</v>
      </c>
      <c r="K945" s="587"/>
      <c r="L945" s="587">
        <v>2311</v>
      </c>
      <c r="M945" s="587"/>
      <c r="O945" s="587">
        <f t="shared" si="102"/>
        <v>0</v>
      </c>
      <c r="P945" s="587"/>
    </row>
    <row r="946" spans="1:16" x14ac:dyDescent="0.2">
      <c r="A946" s="463" t="s">
        <v>1205</v>
      </c>
      <c r="B946" s="463"/>
      <c r="C946" s="463"/>
      <c r="D946" s="463"/>
      <c r="E946" s="463"/>
      <c r="H946" s="587"/>
      <c r="I946" s="587"/>
      <c r="J946" s="587" t="s">
        <v>968</v>
      </c>
      <c r="K946" s="587"/>
      <c r="L946" s="587">
        <v>1987</v>
      </c>
      <c r="M946" s="587"/>
      <c r="O946" s="587">
        <f t="shared" si="102"/>
        <v>0</v>
      </c>
      <c r="P946" s="587"/>
    </row>
    <row r="947" spans="1:16" x14ac:dyDescent="0.2">
      <c r="A947" s="463"/>
      <c r="B947" s="463"/>
      <c r="C947" s="463"/>
      <c r="D947" s="463"/>
      <c r="E947" s="463"/>
      <c r="H947" s="410"/>
      <c r="I947" s="410"/>
      <c r="J947" s="410"/>
      <c r="K947" s="410"/>
      <c r="L947" s="410"/>
      <c r="M947" s="410"/>
      <c r="O947" s="410"/>
      <c r="P947" s="410"/>
    </row>
    <row r="948" spans="1:16" x14ac:dyDescent="0.2">
      <c r="A948" s="587"/>
      <c r="B948" s="587"/>
      <c r="C948" s="587"/>
      <c r="D948" s="587"/>
      <c r="E948" s="587"/>
      <c r="H948" s="587"/>
      <c r="I948" s="587"/>
      <c r="J948" s="587"/>
      <c r="K948" s="587"/>
      <c r="L948" s="587"/>
      <c r="M948" s="587"/>
      <c r="O948" s="587"/>
      <c r="P948" s="587"/>
    </row>
    <row r="949" spans="1:16" ht="13.5" thickBot="1" x14ac:dyDescent="0.25">
      <c r="A949" s="587"/>
      <c r="B949" s="587"/>
      <c r="C949" s="587"/>
      <c r="D949" s="587"/>
      <c r="E949" s="587"/>
      <c r="H949" s="587"/>
      <c r="I949" s="587"/>
      <c r="J949" s="587"/>
      <c r="K949" s="587"/>
      <c r="L949" s="587"/>
      <c r="M949" s="587"/>
      <c r="O949" s="631"/>
      <c r="P949" s="631"/>
    </row>
    <row r="950" spans="1:16" ht="16.5" thickTop="1" thickBot="1" x14ac:dyDescent="0.3">
      <c r="A950" s="599" t="s">
        <v>986</v>
      </c>
      <c r="B950" s="599"/>
      <c r="C950" s="599"/>
      <c r="D950" s="599"/>
      <c r="E950" s="599"/>
      <c r="H950" s="587"/>
      <c r="I950" s="587"/>
      <c r="J950" s="587"/>
      <c r="K950" s="587"/>
      <c r="L950" s="587"/>
      <c r="M950" s="587"/>
      <c r="O950" s="624">
        <f>SUM(O875:P949)</f>
        <v>0</v>
      </c>
      <c r="P950" s="631"/>
    </row>
    <row r="951" spans="1:16" ht="15.75" thickTop="1" x14ac:dyDescent="0.25">
      <c r="A951" s="599" t="s">
        <v>656</v>
      </c>
      <c r="B951" s="599"/>
      <c r="C951" s="599"/>
      <c r="D951" s="599"/>
      <c r="E951" s="599"/>
      <c r="H951" s="587"/>
      <c r="I951" s="587"/>
      <c r="J951" s="587"/>
      <c r="K951" s="587"/>
      <c r="L951" s="587"/>
      <c r="M951" s="587"/>
      <c r="O951" s="587"/>
      <c r="P951" s="587"/>
    </row>
    <row r="952" spans="1:16" x14ac:dyDescent="0.2">
      <c r="A952" s="410"/>
      <c r="B952" s="410"/>
      <c r="C952" s="410"/>
      <c r="D952" s="410"/>
      <c r="E952" s="410"/>
      <c r="H952" s="410"/>
      <c r="I952" s="410"/>
      <c r="J952" s="410"/>
      <c r="K952" s="410"/>
      <c r="L952" s="410"/>
      <c r="M952" s="410"/>
      <c r="O952" s="410"/>
      <c r="P952" s="410"/>
    </row>
    <row r="953" spans="1:16" hidden="1" x14ac:dyDescent="0.2">
      <c r="A953" s="410"/>
      <c r="B953" s="410"/>
      <c r="C953" s="410"/>
      <c r="D953" s="410"/>
      <c r="E953" s="410"/>
      <c r="H953" s="410"/>
      <c r="I953" s="410"/>
      <c r="J953" s="410"/>
      <c r="K953" s="410"/>
      <c r="L953" s="410"/>
      <c r="M953" s="410"/>
      <c r="O953" s="410"/>
      <c r="P953" s="410"/>
    </row>
    <row r="954" spans="1:16" hidden="1" x14ac:dyDescent="0.2">
      <c r="A954" s="410"/>
      <c r="B954" s="410"/>
      <c r="C954" s="410"/>
      <c r="D954" s="410"/>
      <c r="E954" s="410"/>
      <c r="H954" s="410"/>
      <c r="I954" s="410"/>
      <c r="J954" s="410"/>
      <c r="K954" s="410"/>
      <c r="L954" s="410"/>
      <c r="M954" s="410"/>
      <c r="O954" s="410"/>
      <c r="P954" s="410"/>
    </row>
    <row r="955" spans="1:16" hidden="1" x14ac:dyDescent="0.2">
      <c r="A955" s="410"/>
      <c r="B955" s="410"/>
      <c r="C955" s="410"/>
      <c r="D955" s="410"/>
      <c r="E955" s="410"/>
      <c r="H955" s="410"/>
      <c r="I955" s="410"/>
      <c r="J955" s="410"/>
      <c r="K955" s="410"/>
      <c r="L955" s="410"/>
      <c r="M955" s="410"/>
      <c r="O955" s="410"/>
      <c r="P955" s="410"/>
    </row>
    <row r="956" spans="1:16" hidden="1" x14ac:dyDescent="0.2">
      <c r="A956" s="410"/>
      <c r="B956" s="410"/>
      <c r="C956" s="410"/>
      <c r="D956" s="410"/>
      <c r="E956" s="410"/>
      <c r="H956" s="410"/>
      <c r="I956" s="410"/>
      <c r="J956" s="410"/>
      <c r="K956" s="410"/>
      <c r="L956" s="410"/>
      <c r="M956" s="410"/>
      <c r="O956" s="410"/>
      <c r="P956" s="410"/>
    </row>
    <row r="957" spans="1:16" hidden="1" x14ac:dyDescent="0.2">
      <c r="A957" s="410"/>
      <c r="B957" s="410"/>
      <c r="C957" s="410"/>
      <c r="D957" s="410"/>
      <c r="E957" s="410"/>
      <c r="H957" s="410"/>
      <c r="I957" s="410"/>
      <c r="J957" s="410"/>
      <c r="K957" s="410"/>
      <c r="L957" s="410"/>
      <c r="M957" s="410"/>
      <c r="O957" s="410"/>
      <c r="P957" s="410"/>
    </row>
    <row r="958" spans="1:16" hidden="1" x14ac:dyDescent="0.2">
      <c r="A958" s="410"/>
      <c r="B958" s="410"/>
      <c r="C958" s="410"/>
      <c r="D958" s="410"/>
      <c r="E958" s="410"/>
      <c r="H958" s="410"/>
      <c r="I958" s="410"/>
      <c r="J958" s="410"/>
      <c r="K958" s="410"/>
      <c r="L958" s="410"/>
      <c r="M958" s="410"/>
      <c r="O958" s="410"/>
      <c r="P958" s="410"/>
    </row>
    <row r="959" spans="1:16" hidden="1" x14ac:dyDescent="0.2">
      <c r="A959" s="410"/>
      <c r="B959" s="410"/>
      <c r="C959" s="410"/>
      <c r="D959" s="410"/>
      <c r="E959" s="410"/>
      <c r="H959" s="410"/>
      <c r="I959" s="410"/>
      <c r="J959" s="410"/>
      <c r="K959" s="410"/>
      <c r="L959" s="410"/>
      <c r="M959" s="410"/>
      <c r="O959" s="410"/>
      <c r="P959" s="410"/>
    </row>
    <row r="960" spans="1:16" hidden="1" x14ac:dyDescent="0.2">
      <c r="A960" s="410"/>
      <c r="B960" s="410"/>
      <c r="C960" s="410"/>
      <c r="D960" s="410"/>
      <c r="E960" s="410"/>
      <c r="H960" s="410"/>
      <c r="I960" s="410"/>
      <c r="J960" s="410"/>
      <c r="K960" s="410"/>
      <c r="L960" s="410"/>
      <c r="M960" s="410"/>
      <c r="O960" s="410"/>
      <c r="P960" s="410"/>
    </row>
    <row r="961" spans="1:16" hidden="1" x14ac:dyDescent="0.2">
      <c r="A961" s="410"/>
      <c r="B961" s="410"/>
      <c r="C961" s="410"/>
      <c r="D961" s="410"/>
      <c r="E961" s="410"/>
      <c r="H961" s="410"/>
      <c r="I961" s="410"/>
      <c r="J961" s="410"/>
      <c r="K961" s="410"/>
      <c r="L961" s="410"/>
      <c r="M961" s="410"/>
      <c r="O961" s="410"/>
      <c r="P961" s="410"/>
    </row>
    <row r="962" spans="1:16" hidden="1" x14ac:dyDescent="0.2">
      <c r="A962" s="410"/>
      <c r="B962" s="410"/>
      <c r="C962" s="410"/>
      <c r="D962" s="410"/>
      <c r="E962" s="410"/>
      <c r="H962" s="410"/>
      <c r="I962" s="410"/>
      <c r="J962" s="410"/>
      <c r="K962" s="410"/>
      <c r="L962" s="410"/>
      <c r="M962" s="410"/>
      <c r="O962" s="410"/>
      <c r="P962" s="410"/>
    </row>
    <row r="963" spans="1:16" hidden="1" x14ac:dyDescent="0.2">
      <c r="A963" s="410"/>
      <c r="B963" s="410"/>
      <c r="C963" s="410"/>
      <c r="D963" s="410"/>
      <c r="E963" s="410"/>
      <c r="H963" s="410"/>
      <c r="I963" s="410"/>
      <c r="J963" s="410"/>
      <c r="K963" s="410"/>
      <c r="L963" s="410"/>
      <c r="M963" s="410"/>
      <c r="O963" s="410"/>
      <c r="P963" s="410"/>
    </row>
    <row r="964" spans="1:16" hidden="1" x14ac:dyDescent="0.2">
      <c r="A964" s="410"/>
      <c r="B964" s="410"/>
      <c r="C964" s="410"/>
      <c r="D964" s="410"/>
      <c r="E964" s="410"/>
      <c r="H964" s="410"/>
      <c r="I964" s="410"/>
      <c r="J964" s="410"/>
      <c r="K964" s="410"/>
      <c r="L964" s="410"/>
      <c r="M964" s="410"/>
      <c r="O964" s="410"/>
      <c r="P964" s="410"/>
    </row>
    <row r="965" spans="1:16" hidden="1" x14ac:dyDescent="0.2">
      <c r="A965" s="410"/>
      <c r="B965" s="410"/>
      <c r="C965" s="410"/>
      <c r="D965" s="410"/>
      <c r="E965" s="410"/>
      <c r="H965" s="410"/>
      <c r="I965" s="410"/>
      <c r="J965" s="410"/>
      <c r="K965" s="410"/>
      <c r="L965" s="410"/>
      <c r="M965" s="410"/>
      <c r="O965" s="410"/>
      <c r="P965" s="410"/>
    </row>
    <row r="966" spans="1:16" hidden="1" x14ac:dyDescent="0.2">
      <c r="A966" s="410"/>
      <c r="B966" s="410"/>
      <c r="C966" s="410"/>
      <c r="D966" s="410"/>
      <c r="E966" s="410"/>
      <c r="H966" s="410"/>
      <c r="I966" s="410"/>
      <c r="J966" s="410"/>
      <c r="K966" s="410"/>
      <c r="L966" s="410"/>
      <c r="M966" s="410"/>
      <c r="O966" s="410"/>
      <c r="P966" s="410"/>
    </row>
    <row r="967" spans="1:16" x14ac:dyDescent="0.2">
      <c r="A967" s="410"/>
      <c r="B967" s="410"/>
      <c r="C967" s="410"/>
      <c r="D967" s="410"/>
      <c r="E967" s="410"/>
      <c r="H967" s="410"/>
      <c r="I967" s="410"/>
      <c r="J967" s="410"/>
      <c r="K967" s="410"/>
      <c r="L967" s="410"/>
      <c r="M967" s="410"/>
      <c r="O967" s="410"/>
      <c r="P967" s="410"/>
    </row>
    <row r="968" spans="1:16" x14ac:dyDescent="0.2">
      <c r="A968" s="587"/>
      <c r="B968" s="587"/>
      <c r="C968" s="587"/>
      <c r="D968" s="587"/>
      <c r="E968" s="587"/>
      <c r="H968" s="587"/>
      <c r="I968" s="587"/>
      <c r="J968" s="587"/>
      <c r="K968" s="587"/>
      <c r="L968" s="587"/>
      <c r="M968" s="587"/>
    </row>
    <row r="969" spans="1:16" ht="15.75" x14ac:dyDescent="0.25">
      <c r="A969" s="636" t="s">
        <v>1206</v>
      </c>
      <c r="B969" s="636"/>
      <c r="C969" s="636"/>
      <c r="D969" s="636"/>
      <c r="E969" s="636"/>
      <c r="H969" s="587"/>
      <c r="I969" s="587"/>
      <c r="J969" s="587"/>
      <c r="K969" s="587"/>
      <c r="L969" s="587"/>
      <c r="M969" s="587"/>
    </row>
    <row r="970" spans="1:16" x14ac:dyDescent="0.2">
      <c r="A970" s="587"/>
      <c r="B970" s="587"/>
      <c r="C970" s="587"/>
      <c r="D970" s="587"/>
      <c r="E970" s="587"/>
      <c r="F970" s="587"/>
      <c r="G970" s="587"/>
      <c r="H970" s="587"/>
      <c r="I970" s="587"/>
      <c r="J970" s="587"/>
      <c r="K970" s="587"/>
      <c r="L970" s="587"/>
      <c r="M970" s="587"/>
      <c r="N970" s="587"/>
      <c r="O970" s="587"/>
      <c r="P970" s="587"/>
    </row>
    <row r="971" spans="1:16" x14ac:dyDescent="0.2">
      <c r="A971" s="589" t="s">
        <v>1207</v>
      </c>
      <c r="B971" s="589"/>
      <c r="C971" s="589"/>
      <c r="D971" s="589"/>
      <c r="E971" s="589"/>
      <c r="F971" s="589"/>
      <c r="G971" s="589"/>
      <c r="H971" s="589"/>
      <c r="I971" s="589"/>
      <c r="J971" s="589"/>
      <c r="K971" s="589"/>
      <c r="L971" s="589"/>
      <c r="M971" s="589"/>
      <c r="N971" s="589"/>
      <c r="O971" s="589"/>
      <c r="P971" s="589"/>
    </row>
    <row r="972" spans="1:16" x14ac:dyDescent="0.2">
      <c r="A972" s="589" t="s">
        <v>1208</v>
      </c>
      <c r="B972" s="589"/>
      <c r="C972" s="589"/>
      <c r="D972" s="589"/>
      <c r="E972" s="589"/>
      <c r="F972" s="589"/>
      <c r="G972" s="589"/>
      <c r="H972" s="589"/>
      <c r="I972" s="589"/>
      <c r="J972" s="589"/>
      <c r="K972" s="589"/>
      <c r="L972" s="589"/>
      <c r="M972" s="589"/>
      <c r="N972" s="589"/>
      <c r="O972" s="589"/>
      <c r="P972" s="589"/>
    </row>
    <row r="973" spans="1:16" x14ac:dyDescent="0.2">
      <c r="A973" s="589" t="s">
        <v>1209</v>
      </c>
      <c r="B973" s="589"/>
      <c r="C973" s="589"/>
      <c r="D973" s="589"/>
      <c r="E973" s="589"/>
      <c r="F973" s="589"/>
      <c r="G973" s="589"/>
      <c r="H973" s="589"/>
      <c r="I973" s="589"/>
      <c r="J973" s="589"/>
      <c r="K973" s="589"/>
      <c r="L973" s="589"/>
      <c r="M973" s="589"/>
      <c r="N973" s="589"/>
      <c r="O973" s="589"/>
      <c r="P973" s="589"/>
    </row>
    <row r="974" spans="1:16" x14ac:dyDescent="0.2">
      <c r="A974" s="587"/>
      <c r="B974" s="587"/>
      <c r="C974" s="587"/>
      <c r="D974" s="587"/>
      <c r="E974" s="587"/>
      <c r="F974" s="587"/>
      <c r="G974" s="587"/>
      <c r="H974" s="587"/>
      <c r="I974" s="587"/>
      <c r="J974" s="587"/>
      <c r="K974" s="587"/>
      <c r="L974" s="587"/>
      <c r="M974" s="587"/>
      <c r="N974" s="587"/>
      <c r="O974" s="587"/>
      <c r="P974" s="587"/>
    </row>
    <row r="975" spans="1:16" x14ac:dyDescent="0.2">
      <c r="A975" s="587"/>
      <c r="B975" s="587"/>
      <c r="C975" s="587"/>
      <c r="D975" s="587"/>
      <c r="E975" s="587"/>
      <c r="F975" s="587"/>
      <c r="G975" s="587"/>
      <c r="H975" s="587"/>
      <c r="I975" s="587"/>
      <c r="J975" s="587"/>
      <c r="K975" s="587"/>
      <c r="L975" s="587"/>
      <c r="M975" s="587"/>
      <c r="N975" s="587"/>
      <c r="O975" s="587"/>
      <c r="P975" s="587"/>
    </row>
    <row r="976" spans="1:16" ht="15.75" x14ac:dyDescent="0.25">
      <c r="A976" s="636" t="s">
        <v>1210</v>
      </c>
      <c r="B976" s="636"/>
      <c r="C976" s="636"/>
      <c r="D976" s="636"/>
      <c r="E976" s="636"/>
      <c r="F976" s="636"/>
      <c r="G976" s="636"/>
      <c r="H976" s="636"/>
      <c r="I976" s="636"/>
      <c r="J976" s="636"/>
      <c r="K976" s="636"/>
      <c r="L976" s="636"/>
      <c r="M976" s="636"/>
      <c r="N976" s="636"/>
      <c r="O976" s="636"/>
      <c r="P976" s="636"/>
    </row>
    <row r="977" spans="1:16" x14ac:dyDescent="0.2">
      <c r="A977" s="587"/>
      <c r="B977" s="587"/>
      <c r="C977" s="587"/>
      <c r="D977" s="587"/>
      <c r="E977" s="587"/>
      <c r="F977" s="587"/>
      <c r="G977" s="587"/>
      <c r="H977" s="587"/>
      <c r="I977" s="587"/>
      <c r="J977" s="587"/>
      <c r="K977" s="587"/>
      <c r="L977" s="587"/>
      <c r="M977" s="587"/>
      <c r="N977" s="587"/>
      <c r="O977" s="587"/>
      <c r="P977" s="587"/>
    </row>
    <row r="978" spans="1:16" ht="15" x14ac:dyDescent="0.25">
      <c r="A978" s="604" t="s">
        <v>1211</v>
      </c>
      <c r="B978" s="604"/>
      <c r="C978" s="604"/>
      <c r="D978" s="604"/>
      <c r="E978" s="604"/>
      <c r="F978" s="604"/>
      <c r="G978" s="604"/>
      <c r="H978" s="604"/>
      <c r="I978" s="604"/>
      <c r="J978" s="604"/>
      <c r="K978" s="604"/>
      <c r="L978" s="604"/>
      <c r="M978" s="604"/>
      <c r="N978" s="604"/>
      <c r="O978" s="604"/>
      <c r="P978" s="604"/>
    </row>
    <row r="979" spans="1:16" x14ac:dyDescent="0.2">
      <c r="A979" s="592" t="s">
        <v>1212</v>
      </c>
      <c r="B979" s="592"/>
      <c r="C979" s="592"/>
      <c r="D979" s="592"/>
      <c r="E979" s="592"/>
      <c r="F979" s="592"/>
      <c r="G979" s="592"/>
      <c r="H979" s="592"/>
      <c r="I979" s="592"/>
      <c r="J979" s="592"/>
      <c r="K979" s="592"/>
      <c r="L979" s="592"/>
      <c r="M979" s="592"/>
      <c r="N979" s="592"/>
      <c r="O979" s="592"/>
      <c r="P979" s="592"/>
    </row>
    <row r="980" spans="1:16" x14ac:dyDescent="0.2">
      <c r="A980" s="587"/>
      <c r="B980" s="587"/>
      <c r="C980" s="587"/>
      <c r="D980" s="587"/>
      <c r="E980" s="587"/>
      <c r="F980" s="587"/>
      <c r="G980" s="587"/>
      <c r="H980" s="587"/>
      <c r="I980" s="587"/>
      <c r="J980" s="587"/>
      <c r="K980" s="587"/>
      <c r="L980" s="587"/>
      <c r="M980" s="587"/>
      <c r="N980" s="587"/>
      <c r="O980" s="587"/>
      <c r="P980" s="587"/>
    </row>
    <row r="981" spans="1:16" x14ac:dyDescent="0.2">
      <c r="A981" s="587"/>
      <c r="B981" s="587"/>
      <c r="C981" s="587"/>
      <c r="D981" s="587"/>
      <c r="E981" s="587"/>
      <c r="F981" s="587"/>
      <c r="G981" s="587"/>
      <c r="H981" s="587"/>
      <c r="I981" s="587"/>
      <c r="J981" s="587"/>
      <c r="K981" s="587"/>
      <c r="L981" s="587"/>
      <c r="M981" s="587"/>
      <c r="N981" s="587"/>
      <c r="O981" s="587"/>
      <c r="P981" s="587"/>
    </row>
    <row r="982" spans="1:16" ht="15" x14ac:dyDescent="0.25">
      <c r="A982" s="604" t="s">
        <v>1213</v>
      </c>
      <c r="B982" s="589"/>
      <c r="C982" s="589"/>
      <c r="D982" s="589"/>
      <c r="E982" s="589"/>
      <c r="F982" s="589"/>
      <c r="G982" s="589"/>
      <c r="H982" s="589"/>
      <c r="I982" s="589"/>
      <c r="J982" s="589"/>
      <c r="K982" s="589"/>
      <c r="L982" s="589"/>
      <c r="M982" s="589"/>
      <c r="N982" s="589"/>
      <c r="O982" s="589"/>
      <c r="P982" s="589"/>
    </row>
    <row r="983" spans="1:16" x14ac:dyDescent="0.2">
      <c r="A983" s="589" t="s">
        <v>1214</v>
      </c>
      <c r="B983" s="589"/>
      <c r="C983" s="589"/>
      <c r="D983" s="589"/>
      <c r="E983" s="589"/>
      <c r="F983" s="589"/>
      <c r="G983" s="589"/>
      <c r="H983" s="589"/>
      <c r="I983" s="589"/>
      <c r="J983" s="589"/>
      <c r="K983" s="589"/>
      <c r="L983" s="589"/>
      <c r="M983" s="589"/>
      <c r="N983" s="589"/>
      <c r="O983" s="589"/>
      <c r="P983" s="589"/>
    </row>
    <row r="984" spans="1:16" x14ac:dyDescent="0.2">
      <c r="A984" s="589" t="s">
        <v>1215</v>
      </c>
      <c r="B984" s="589"/>
      <c r="C984" s="589"/>
      <c r="D984" s="589"/>
      <c r="E984" s="589"/>
      <c r="F984" s="589"/>
      <c r="G984" s="589"/>
      <c r="H984" s="589"/>
      <c r="I984" s="589"/>
      <c r="J984" s="589"/>
      <c r="K984" s="589"/>
      <c r="L984" s="589"/>
      <c r="M984" s="589"/>
      <c r="N984" s="589"/>
      <c r="O984" s="589"/>
      <c r="P984" s="589"/>
    </row>
    <row r="985" spans="1:16" x14ac:dyDescent="0.2">
      <c r="A985" s="589"/>
      <c r="B985" s="589"/>
      <c r="C985" s="589"/>
      <c r="D985" s="589"/>
      <c r="E985" s="589"/>
      <c r="F985" s="589"/>
      <c r="G985" s="589"/>
      <c r="H985" s="589"/>
      <c r="I985" s="589"/>
      <c r="J985" s="589"/>
      <c r="K985" s="589"/>
      <c r="L985" s="589"/>
      <c r="M985" s="589"/>
      <c r="N985" s="589"/>
      <c r="O985" s="589"/>
      <c r="P985" s="589"/>
    </row>
    <row r="986" spans="1:16" x14ac:dyDescent="0.2">
      <c r="A986" s="589" t="s">
        <v>1216</v>
      </c>
      <c r="B986" s="589"/>
      <c r="C986" s="589"/>
      <c r="D986" s="589"/>
      <c r="E986" s="589"/>
      <c r="F986" s="589"/>
      <c r="G986" s="589"/>
      <c r="H986" s="589"/>
      <c r="I986" s="589"/>
      <c r="J986" s="589"/>
      <c r="K986" s="589"/>
      <c r="L986" s="589"/>
      <c r="M986" s="589"/>
      <c r="N986" s="589"/>
      <c r="O986" s="589"/>
      <c r="P986" s="589"/>
    </row>
    <row r="987" spans="1:16" x14ac:dyDescent="0.2">
      <c r="A987" s="589"/>
      <c r="B987" s="589"/>
      <c r="C987" s="589"/>
      <c r="D987" s="589"/>
      <c r="E987" s="589"/>
      <c r="F987" s="589"/>
      <c r="G987" s="589"/>
      <c r="H987" s="589"/>
      <c r="I987" s="589"/>
      <c r="J987" s="589"/>
      <c r="K987" s="589"/>
      <c r="L987" s="589"/>
      <c r="M987" s="589"/>
      <c r="N987" s="589"/>
      <c r="O987" s="589"/>
      <c r="P987" s="589"/>
    </row>
    <row r="988" spans="1:16" x14ac:dyDescent="0.2">
      <c r="A988" s="589" t="s">
        <v>1217</v>
      </c>
      <c r="B988" s="589"/>
      <c r="C988" s="589"/>
      <c r="D988" s="589"/>
      <c r="E988" s="589"/>
      <c r="F988" s="589"/>
      <c r="G988" s="589"/>
      <c r="H988" s="589"/>
      <c r="I988" s="589"/>
      <c r="J988" s="589"/>
      <c r="K988" s="589"/>
      <c r="L988" s="589"/>
      <c r="M988" s="589"/>
      <c r="N988" s="589"/>
      <c r="O988" s="589"/>
      <c r="P988" s="589"/>
    </row>
    <row r="989" spans="1:16" x14ac:dyDescent="0.2">
      <c r="A989" s="589"/>
      <c r="B989" s="589"/>
      <c r="C989" s="589"/>
      <c r="D989" s="589"/>
      <c r="E989" s="589"/>
      <c r="F989" s="589"/>
      <c r="G989" s="589"/>
      <c r="H989" s="589"/>
      <c r="I989" s="589"/>
      <c r="J989" s="589"/>
      <c r="K989" s="589"/>
      <c r="L989" s="589"/>
      <c r="M989" s="589"/>
      <c r="N989" s="589"/>
      <c r="O989" s="589"/>
      <c r="P989" s="589"/>
    </row>
    <row r="990" spans="1:16" x14ac:dyDescent="0.2">
      <c r="A990" s="589" t="s">
        <v>1218</v>
      </c>
      <c r="B990" s="589"/>
      <c r="C990" s="589"/>
      <c r="D990" s="589"/>
      <c r="E990" s="589"/>
      <c r="F990" s="589"/>
      <c r="G990" s="589"/>
      <c r="H990" s="589"/>
      <c r="I990" s="589"/>
      <c r="J990" s="589"/>
      <c r="K990" s="589"/>
      <c r="L990" s="589"/>
      <c r="M990" s="589"/>
      <c r="N990" s="589"/>
      <c r="O990" s="589"/>
      <c r="P990" s="589"/>
    </row>
    <row r="991" spans="1:16" x14ac:dyDescent="0.2">
      <c r="A991" s="589"/>
      <c r="B991" s="589"/>
      <c r="C991" s="589"/>
      <c r="D991" s="589"/>
      <c r="E991" s="589"/>
      <c r="F991" s="589"/>
      <c r="G991" s="589"/>
      <c r="H991" s="589"/>
      <c r="I991" s="589"/>
      <c r="J991" s="589"/>
      <c r="K991" s="589"/>
      <c r="L991" s="589"/>
      <c r="M991" s="589"/>
      <c r="N991" s="589"/>
      <c r="O991" s="589"/>
      <c r="P991" s="589"/>
    </row>
    <row r="992" spans="1:16" x14ac:dyDescent="0.2">
      <c r="A992" s="589" t="s">
        <v>1219</v>
      </c>
      <c r="B992" s="589"/>
      <c r="C992" s="589"/>
      <c r="D992" s="589"/>
      <c r="E992" s="589"/>
      <c r="F992" s="589"/>
      <c r="G992" s="589"/>
      <c r="H992" s="589"/>
      <c r="I992" s="589"/>
      <c r="J992" s="589"/>
      <c r="K992" s="589"/>
      <c r="L992" s="589"/>
      <c r="M992" s="589"/>
      <c r="N992" s="589"/>
      <c r="O992" s="589"/>
      <c r="P992" s="589"/>
    </row>
    <row r="993" spans="1:16" x14ac:dyDescent="0.2">
      <c r="A993" s="589"/>
      <c r="B993" s="589"/>
      <c r="C993" s="589"/>
      <c r="D993" s="589"/>
      <c r="E993" s="589"/>
      <c r="F993" s="589"/>
      <c r="G993" s="589"/>
      <c r="H993" s="589"/>
      <c r="I993" s="589"/>
      <c r="J993" s="589"/>
      <c r="K993" s="589"/>
      <c r="L993" s="589"/>
      <c r="M993" s="589"/>
      <c r="N993" s="589"/>
      <c r="O993" s="589"/>
      <c r="P993" s="589"/>
    </row>
    <row r="994" spans="1:16" x14ac:dyDescent="0.2">
      <c r="A994" s="589" t="s">
        <v>1220</v>
      </c>
      <c r="B994" s="589"/>
      <c r="C994" s="589"/>
      <c r="D994" s="589"/>
      <c r="E994" s="589"/>
      <c r="F994" s="589"/>
      <c r="G994" s="589"/>
      <c r="H994" s="589"/>
      <c r="I994" s="589"/>
      <c r="J994" s="589"/>
      <c r="K994" s="589"/>
      <c r="L994" s="589"/>
      <c r="M994" s="589"/>
      <c r="N994" s="589"/>
      <c r="O994" s="589"/>
      <c r="P994" s="589"/>
    </row>
    <row r="995" spans="1:16" x14ac:dyDescent="0.2">
      <c r="A995" s="587"/>
      <c r="B995" s="587"/>
      <c r="C995" s="587"/>
      <c r="D995" s="587"/>
      <c r="E995" s="587"/>
      <c r="F995" s="587"/>
      <c r="G995" s="587"/>
      <c r="H995" s="587"/>
      <c r="I995" s="587"/>
      <c r="J995" s="587"/>
      <c r="K995" s="587"/>
      <c r="L995" s="587"/>
      <c r="M995" s="587"/>
      <c r="N995" s="587"/>
      <c r="O995" s="587"/>
      <c r="P995" s="587"/>
    </row>
    <row r="996" spans="1:16" x14ac:dyDescent="0.2">
      <c r="A996" s="587"/>
      <c r="B996" s="587"/>
      <c r="C996" s="587"/>
      <c r="D996" s="587"/>
      <c r="E996" s="587"/>
      <c r="F996" s="587"/>
      <c r="G996" s="587"/>
      <c r="H996" s="587"/>
      <c r="I996" s="587"/>
      <c r="J996" s="587"/>
      <c r="K996" s="587"/>
      <c r="L996" s="587"/>
      <c r="M996" s="587"/>
      <c r="N996" s="587"/>
      <c r="O996" s="587"/>
      <c r="P996" s="587"/>
    </row>
    <row r="997" spans="1:16" ht="15" x14ac:dyDescent="0.25">
      <c r="A997" s="604" t="s">
        <v>1221</v>
      </c>
      <c r="B997" s="604"/>
      <c r="C997" s="604"/>
      <c r="D997" s="604"/>
      <c r="E997" s="604"/>
      <c r="F997" s="604"/>
      <c r="G997" s="604"/>
      <c r="H997" s="604"/>
      <c r="I997" s="604"/>
      <c r="J997" s="604"/>
      <c r="K997" s="604"/>
      <c r="L997" s="604"/>
      <c r="M997" s="604"/>
      <c r="N997" s="604"/>
      <c r="O997" s="604"/>
      <c r="P997" s="604"/>
    </row>
    <row r="998" spans="1:16" x14ac:dyDescent="0.2">
      <c r="A998" s="589" t="s">
        <v>1222</v>
      </c>
      <c r="B998" s="589"/>
      <c r="C998" s="589"/>
      <c r="D998" s="589"/>
      <c r="E998" s="589"/>
      <c r="F998" s="589"/>
      <c r="G998" s="589"/>
      <c r="H998" s="589"/>
      <c r="I998" s="589"/>
      <c r="J998" s="589"/>
      <c r="K998" s="589"/>
      <c r="L998" s="589"/>
      <c r="M998" s="589"/>
      <c r="N998" s="589"/>
      <c r="O998" s="589"/>
      <c r="P998" s="589"/>
    </row>
    <row r="999" spans="1:16" x14ac:dyDescent="0.2">
      <c r="A999" s="587"/>
      <c r="B999" s="587"/>
      <c r="C999" s="587"/>
      <c r="D999" s="587"/>
      <c r="E999" s="587"/>
      <c r="F999" s="587"/>
      <c r="G999" s="587"/>
      <c r="H999" s="587"/>
      <c r="I999" s="587"/>
      <c r="J999" s="587"/>
      <c r="K999" s="587"/>
      <c r="L999" s="587"/>
      <c r="M999" s="587"/>
      <c r="N999" s="587"/>
      <c r="O999" s="587"/>
      <c r="P999" s="587"/>
    </row>
    <row r="1000" spans="1:16" x14ac:dyDescent="0.2">
      <c r="A1000" s="587"/>
      <c r="B1000" s="587"/>
      <c r="C1000" s="587"/>
      <c r="D1000" s="587"/>
      <c r="E1000" s="587"/>
      <c r="F1000" s="587"/>
      <c r="G1000" s="587"/>
      <c r="H1000" s="587"/>
      <c r="I1000" s="587"/>
      <c r="J1000" s="587"/>
      <c r="K1000" s="587"/>
      <c r="L1000" s="587"/>
      <c r="M1000" s="587"/>
      <c r="N1000" s="587"/>
      <c r="O1000" s="587"/>
      <c r="P1000" s="587"/>
    </row>
    <row r="1001" spans="1:16" ht="15" x14ac:dyDescent="0.25">
      <c r="A1001" s="604" t="s">
        <v>1223</v>
      </c>
      <c r="B1001" s="604"/>
      <c r="C1001" s="604"/>
      <c r="D1001" s="604"/>
      <c r="E1001" s="604"/>
      <c r="F1001" s="604"/>
      <c r="G1001" s="604"/>
      <c r="H1001" s="604"/>
      <c r="I1001" s="604"/>
      <c r="J1001" s="604"/>
      <c r="K1001" s="604"/>
      <c r="L1001" s="604"/>
      <c r="M1001" s="604"/>
      <c r="N1001" s="604"/>
      <c r="O1001" s="604"/>
      <c r="P1001" s="604"/>
    </row>
    <row r="1002" spans="1:16" x14ac:dyDescent="0.2">
      <c r="A1002" s="587"/>
      <c r="B1002" s="587"/>
      <c r="C1002" s="587"/>
      <c r="D1002" s="587"/>
      <c r="E1002" s="587"/>
      <c r="F1002" s="587"/>
      <c r="G1002" s="587"/>
      <c r="H1002" s="587"/>
      <c r="I1002" s="587"/>
      <c r="J1002" s="587"/>
      <c r="K1002" s="587"/>
      <c r="L1002" s="587"/>
      <c r="M1002" s="587"/>
      <c r="N1002" s="587"/>
      <c r="O1002" s="587"/>
      <c r="P1002" s="587"/>
    </row>
    <row r="1003" spans="1:16" ht="15" x14ac:dyDescent="0.25">
      <c r="A1003" s="604" t="s">
        <v>1224</v>
      </c>
      <c r="B1003" s="604"/>
      <c r="C1003" s="604"/>
      <c r="D1003" s="604"/>
      <c r="E1003" s="604"/>
      <c r="F1003" s="604"/>
      <c r="G1003" s="604"/>
      <c r="H1003" s="604"/>
      <c r="I1003" s="604"/>
      <c r="J1003" s="604"/>
      <c r="K1003" s="604"/>
      <c r="L1003" s="604"/>
      <c r="M1003" s="604"/>
      <c r="N1003" s="604"/>
      <c r="O1003" s="604"/>
      <c r="P1003" s="604"/>
    </row>
    <row r="1004" spans="1:16" x14ac:dyDescent="0.2">
      <c r="A1004" s="589" t="s">
        <v>1225</v>
      </c>
      <c r="B1004" s="589"/>
      <c r="C1004" s="589"/>
      <c r="D1004" s="589"/>
      <c r="E1004" s="589"/>
      <c r="F1004" s="589"/>
      <c r="G1004" s="589"/>
      <c r="H1004" s="589"/>
      <c r="I1004" s="589"/>
      <c r="J1004" s="589"/>
      <c r="K1004" s="589"/>
      <c r="L1004" s="589"/>
      <c r="M1004" s="589"/>
      <c r="N1004" s="589"/>
      <c r="O1004" s="589"/>
      <c r="P1004" s="589"/>
    </row>
    <row r="1005" spans="1:16" x14ac:dyDescent="0.2">
      <c r="A1005" s="587"/>
      <c r="B1005" s="587"/>
      <c r="C1005" s="587"/>
      <c r="D1005" s="587"/>
      <c r="E1005" s="587"/>
      <c r="F1005" s="587"/>
      <c r="G1005" s="587"/>
      <c r="H1005" s="587"/>
      <c r="I1005" s="587"/>
      <c r="J1005" s="587"/>
      <c r="K1005" s="587"/>
      <c r="L1005" s="587"/>
      <c r="M1005" s="587"/>
      <c r="N1005" s="587"/>
      <c r="O1005" s="587"/>
      <c r="P1005" s="587"/>
    </row>
    <row r="1006" spans="1:16" x14ac:dyDescent="0.2">
      <c r="A1006" s="587"/>
      <c r="B1006" s="587"/>
      <c r="C1006" s="587"/>
      <c r="D1006" s="587"/>
      <c r="E1006" s="587"/>
      <c r="F1006" s="587"/>
      <c r="G1006" s="587"/>
      <c r="H1006" s="587"/>
      <c r="I1006" s="587"/>
      <c r="J1006" s="587"/>
      <c r="K1006" s="587"/>
      <c r="L1006" s="587"/>
      <c r="M1006" s="587"/>
      <c r="N1006" s="587"/>
      <c r="O1006" s="587"/>
      <c r="P1006" s="587"/>
    </row>
    <row r="1007" spans="1:16" ht="15" x14ac:dyDescent="0.25">
      <c r="A1007" s="604" t="s">
        <v>1226</v>
      </c>
      <c r="B1007" s="604"/>
      <c r="C1007" s="604"/>
      <c r="D1007" s="604"/>
      <c r="E1007" s="604"/>
      <c r="F1007" s="604"/>
      <c r="G1007" s="604"/>
      <c r="H1007" s="604"/>
      <c r="I1007" s="604"/>
      <c r="J1007" s="604"/>
      <c r="K1007" s="604"/>
      <c r="L1007" s="604"/>
      <c r="M1007" s="604"/>
      <c r="N1007" s="604"/>
      <c r="O1007" s="604"/>
      <c r="P1007" s="604"/>
    </row>
    <row r="1008" spans="1:16" x14ac:dyDescent="0.2">
      <c r="A1008" s="589" t="s">
        <v>1227</v>
      </c>
      <c r="B1008" s="589"/>
      <c r="C1008" s="589"/>
      <c r="D1008" s="589"/>
      <c r="E1008" s="589"/>
      <c r="F1008" s="589"/>
      <c r="G1008" s="589"/>
      <c r="H1008" s="589"/>
      <c r="I1008" s="589"/>
      <c r="J1008" s="589"/>
      <c r="K1008" s="589"/>
      <c r="L1008" s="589"/>
      <c r="M1008" s="589"/>
      <c r="N1008" s="589"/>
      <c r="O1008" s="589"/>
      <c r="P1008" s="589"/>
    </row>
    <row r="1009" spans="1:16" x14ac:dyDescent="0.2">
      <c r="A1009" s="589" t="s">
        <v>1228</v>
      </c>
      <c r="B1009" s="589"/>
      <c r="C1009" s="589"/>
      <c r="D1009" s="589"/>
      <c r="E1009" s="589"/>
      <c r="F1009" s="589"/>
      <c r="G1009" s="589"/>
      <c r="H1009" s="589"/>
      <c r="I1009" s="589"/>
      <c r="J1009" s="589"/>
      <c r="K1009" s="589"/>
      <c r="L1009" s="589"/>
      <c r="M1009" s="589"/>
      <c r="N1009" s="589"/>
      <c r="O1009" s="589"/>
      <c r="P1009" s="589"/>
    </row>
    <row r="1010" spans="1:16" x14ac:dyDescent="0.2">
      <c r="A1010" s="587"/>
      <c r="B1010" s="587"/>
      <c r="C1010" s="587"/>
      <c r="D1010" s="587"/>
      <c r="E1010" s="587"/>
      <c r="F1010" s="587"/>
      <c r="G1010" s="587"/>
      <c r="H1010" s="587"/>
      <c r="I1010" s="587"/>
      <c r="J1010" s="587"/>
      <c r="K1010" s="587"/>
      <c r="L1010" s="587"/>
      <c r="M1010" s="587"/>
      <c r="N1010" s="587"/>
      <c r="O1010" s="587"/>
      <c r="P1010" s="587"/>
    </row>
    <row r="1011" spans="1:16" x14ac:dyDescent="0.2">
      <c r="A1011" s="587"/>
      <c r="B1011" s="587"/>
      <c r="C1011" s="587"/>
      <c r="D1011" s="587"/>
      <c r="E1011" s="587"/>
      <c r="F1011" s="587"/>
      <c r="G1011" s="587"/>
      <c r="H1011" s="587"/>
      <c r="I1011" s="587"/>
      <c r="J1011" s="587"/>
      <c r="K1011" s="587"/>
      <c r="L1011" s="587"/>
      <c r="M1011" s="587"/>
      <c r="N1011" s="587"/>
      <c r="O1011" s="587"/>
      <c r="P1011" s="587"/>
    </row>
    <row r="1012" spans="1:16" ht="15" x14ac:dyDescent="0.25">
      <c r="A1012" s="604" t="s">
        <v>1229</v>
      </c>
      <c r="B1012" s="589"/>
      <c r="C1012" s="589"/>
      <c r="D1012" s="589"/>
      <c r="E1012" s="589"/>
      <c r="F1012" s="589"/>
      <c r="G1012" s="589"/>
      <c r="H1012" s="589"/>
      <c r="I1012" s="589"/>
      <c r="J1012" s="589"/>
      <c r="K1012" s="589"/>
      <c r="L1012" s="589"/>
      <c r="M1012" s="589"/>
      <c r="N1012" s="589"/>
      <c r="O1012" s="589"/>
      <c r="P1012" s="589"/>
    </row>
    <row r="1013" spans="1:16" ht="15" x14ac:dyDescent="0.25">
      <c r="A1013" s="599"/>
      <c r="B1013" s="599"/>
      <c r="C1013" s="599"/>
      <c r="D1013" s="599"/>
      <c r="E1013" s="599"/>
      <c r="F1013" s="599"/>
      <c r="G1013" s="599"/>
      <c r="H1013" s="599"/>
      <c r="I1013" s="599"/>
      <c r="J1013" s="599"/>
      <c r="K1013" s="599"/>
      <c r="L1013" s="599"/>
      <c r="M1013" s="599"/>
      <c r="N1013" s="599"/>
      <c r="O1013" s="599"/>
      <c r="P1013" s="599"/>
    </row>
    <row r="1014" spans="1:16" ht="15" x14ac:dyDescent="0.25">
      <c r="A1014" s="604" t="s">
        <v>1230</v>
      </c>
      <c r="B1014" s="604"/>
      <c r="C1014" s="604"/>
      <c r="D1014" s="604"/>
      <c r="E1014" s="604"/>
      <c r="F1014" s="604"/>
      <c r="G1014" s="604"/>
      <c r="H1014" s="604"/>
      <c r="I1014" s="604"/>
      <c r="J1014" s="604"/>
      <c r="K1014" s="604"/>
      <c r="L1014" s="604"/>
      <c r="M1014" s="604"/>
      <c r="N1014" s="604"/>
      <c r="O1014" s="604"/>
      <c r="P1014" s="604"/>
    </row>
    <row r="1015" spans="1:16" x14ac:dyDescent="0.2">
      <c r="A1015" s="589" t="s">
        <v>1231</v>
      </c>
      <c r="B1015" s="589"/>
      <c r="C1015" s="589"/>
      <c r="D1015" s="589"/>
      <c r="E1015" s="589"/>
      <c r="F1015" s="589"/>
      <c r="G1015" s="589"/>
      <c r="H1015" s="589"/>
      <c r="I1015" s="589"/>
      <c r="J1015" s="589"/>
      <c r="K1015" s="589"/>
      <c r="L1015" s="589"/>
      <c r="M1015" s="589"/>
      <c r="N1015" s="589"/>
      <c r="O1015" s="589"/>
      <c r="P1015" s="589"/>
    </row>
    <row r="1016" spans="1:16" x14ac:dyDescent="0.2">
      <c r="A1016" s="589" t="s">
        <v>1232</v>
      </c>
      <c r="B1016" s="589"/>
      <c r="C1016" s="589"/>
      <c r="D1016" s="589"/>
      <c r="E1016" s="589"/>
      <c r="F1016" s="589"/>
      <c r="G1016" s="589"/>
      <c r="H1016" s="589"/>
      <c r="I1016" s="589"/>
      <c r="J1016" s="589"/>
      <c r="K1016" s="589"/>
      <c r="L1016" s="589"/>
      <c r="M1016" s="589"/>
      <c r="N1016" s="589"/>
      <c r="O1016" s="589"/>
      <c r="P1016" s="589"/>
    </row>
    <row r="1017" spans="1:16" x14ac:dyDescent="0.2">
      <c r="A1017" s="589" t="s">
        <v>1233</v>
      </c>
      <c r="B1017" s="589"/>
      <c r="C1017" s="589"/>
      <c r="D1017" s="589"/>
      <c r="E1017" s="589"/>
      <c r="F1017" s="589"/>
      <c r="G1017" s="589"/>
      <c r="H1017" s="589"/>
      <c r="I1017" s="589"/>
      <c r="J1017" s="589"/>
      <c r="K1017" s="589"/>
      <c r="L1017" s="589"/>
      <c r="M1017" s="589"/>
      <c r="N1017" s="589"/>
      <c r="O1017" s="589"/>
      <c r="P1017" s="589"/>
    </row>
    <row r="1018" spans="1:16" x14ac:dyDescent="0.2">
      <c r="A1018" s="587"/>
      <c r="B1018" s="587"/>
      <c r="C1018" s="587"/>
      <c r="D1018" s="587"/>
      <c r="E1018" s="587"/>
      <c r="F1018" s="587"/>
      <c r="G1018" s="587"/>
      <c r="H1018" s="587"/>
      <c r="I1018" s="587"/>
      <c r="J1018" s="587"/>
      <c r="K1018" s="587"/>
      <c r="L1018" s="587"/>
      <c r="M1018" s="587"/>
      <c r="N1018" s="587"/>
      <c r="O1018" s="587"/>
      <c r="P1018" s="587"/>
    </row>
    <row r="1019" spans="1:16" x14ac:dyDescent="0.2">
      <c r="A1019" s="587"/>
      <c r="B1019" s="587"/>
      <c r="C1019" s="587"/>
      <c r="D1019" s="587"/>
      <c r="E1019" s="587"/>
      <c r="F1019" s="587"/>
      <c r="G1019" s="587"/>
      <c r="H1019" s="587"/>
      <c r="I1019" s="587"/>
      <c r="J1019" s="587"/>
      <c r="K1019" s="587"/>
      <c r="L1019" s="587"/>
      <c r="M1019" s="587"/>
      <c r="N1019" s="587"/>
      <c r="O1019" s="587"/>
      <c r="P1019" s="587"/>
    </row>
    <row r="1020" spans="1:16" ht="15" x14ac:dyDescent="0.25">
      <c r="A1020" s="604" t="s">
        <v>1234</v>
      </c>
      <c r="B1020" s="604"/>
      <c r="C1020" s="604"/>
      <c r="D1020" s="604"/>
      <c r="E1020" s="604"/>
      <c r="F1020" s="604"/>
      <c r="G1020" s="604"/>
      <c r="H1020" s="604"/>
      <c r="I1020" s="604"/>
      <c r="J1020" s="604"/>
      <c r="K1020" s="604"/>
      <c r="L1020" s="604"/>
      <c r="M1020" s="604"/>
      <c r="N1020" s="604"/>
      <c r="O1020" s="604"/>
      <c r="P1020" s="604"/>
    </row>
    <row r="1021" spans="1:16" x14ac:dyDescent="0.2">
      <c r="A1021" s="589" t="s">
        <v>1235</v>
      </c>
      <c r="B1021" s="589"/>
      <c r="C1021" s="589"/>
      <c r="D1021" s="589"/>
      <c r="E1021" s="589"/>
      <c r="F1021" s="589"/>
      <c r="G1021" s="589"/>
      <c r="H1021" s="589"/>
      <c r="I1021" s="589"/>
      <c r="J1021" s="589"/>
      <c r="K1021" s="589"/>
      <c r="L1021" s="589"/>
      <c r="M1021" s="589"/>
      <c r="N1021" s="589"/>
      <c r="O1021" s="589"/>
      <c r="P1021" s="589"/>
    </row>
    <row r="1022" spans="1:16" x14ac:dyDescent="0.2">
      <c r="A1022" s="589" t="s">
        <v>1236</v>
      </c>
      <c r="B1022" s="589"/>
      <c r="C1022" s="589"/>
      <c r="D1022" s="589"/>
      <c r="E1022" s="589"/>
      <c r="F1022" s="589"/>
      <c r="G1022" s="589"/>
      <c r="H1022" s="589"/>
      <c r="I1022" s="589"/>
      <c r="J1022" s="589"/>
      <c r="K1022" s="589"/>
      <c r="L1022" s="589"/>
      <c r="M1022" s="589"/>
      <c r="N1022" s="589"/>
      <c r="O1022" s="589"/>
      <c r="P1022" s="589"/>
    </row>
    <row r="1023" spans="1:16" x14ac:dyDescent="0.2">
      <c r="A1023" s="587"/>
      <c r="B1023" s="587"/>
      <c r="C1023" s="587"/>
      <c r="D1023" s="587"/>
      <c r="E1023" s="587"/>
      <c r="F1023" s="587"/>
      <c r="G1023" s="587"/>
      <c r="H1023" s="587"/>
      <c r="I1023" s="587"/>
      <c r="J1023" s="587"/>
      <c r="K1023" s="587"/>
      <c r="L1023" s="587"/>
      <c r="M1023" s="587"/>
      <c r="N1023" s="587"/>
      <c r="O1023" s="587"/>
      <c r="P1023" s="587"/>
    </row>
    <row r="1024" spans="1:16" x14ac:dyDescent="0.2">
      <c r="A1024" s="587"/>
      <c r="B1024" s="587"/>
      <c r="C1024" s="587"/>
      <c r="D1024" s="587"/>
      <c r="E1024" s="587"/>
      <c r="F1024" s="587"/>
      <c r="G1024" s="587"/>
      <c r="H1024" s="587"/>
      <c r="I1024" s="587"/>
      <c r="J1024" s="587"/>
      <c r="K1024" s="587"/>
      <c r="L1024" s="587"/>
      <c r="M1024" s="587"/>
      <c r="N1024" s="587"/>
      <c r="O1024" s="587"/>
      <c r="P1024" s="587"/>
    </row>
    <row r="1025" spans="1:16" ht="15" x14ac:dyDescent="0.25">
      <c r="A1025" s="604" t="s">
        <v>1237</v>
      </c>
      <c r="B1025" s="604"/>
      <c r="C1025" s="604"/>
      <c r="D1025" s="604"/>
      <c r="E1025" s="604"/>
      <c r="F1025" s="604"/>
      <c r="G1025" s="604"/>
      <c r="H1025" s="604"/>
      <c r="I1025" s="604"/>
      <c r="J1025" s="604"/>
      <c r="K1025" s="604"/>
      <c r="L1025" s="604"/>
      <c r="M1025" s="604"/>
      <c r="N1025" s="604"/>
      <c r="O1025" s="604"/>
      <c r="P1025" s="604"/>
    </row>
    <row r="1026" spans="1:16" x14ac:dyDescent="0.2">
      <c r="A1026" s="589" t="s">
        <v>1238</v>
      </c>
      <c r="B1026" s="589"/>
      <c r="C1026" s="589"/>
      <c r="D1026" s="589"/>
      <c r="E1026" s="589"/>
      <c r="F1026" s="589"/>
      <c r="G1026" s="589"/>
      <c r="H1026" s="589"/>
      <c r="I1026" s="589"/>
      <c r="J1026" s="589"/>
      <c r="K1026" s="589"/>
      <c r="L1026" s="589"/>
      <c r="M1026" s="589"/>
      <c r="N1026" s="589"/>
      <c r="O1026" s="589"/>
      <c r="P1026" s="589"/>
    </row>
    <row r="1027" spans="1:16" x14ac:dyDescent="0.2">
      <c r="A1027" s="589" t="s">
        <v>1239</v>
      </c>
      <c r="B1027" s="589"/>
      <c r="C1027" s="589"/>
      <c r="D1027" s="589"/>
      <c r="E1027" s="589"/>
      <c r="F1027" s="589"/>
      <c r="G1027" s="589"/>
      <c r="H1027" s="589"/>
      <c r="I1027" s="589"/>
      <c r="J1027" s="589"/>
      <c r="K1027" s="589"/>
      <c r="L1027" s="589"/>
      <c r="M1027" s="589"/>
      <c r="N1027" s="589"/>
      <c r="O1027" s="589"/>
      <c r="P1027" s="589"/>
    </row>
    <row r="1028" spans="1:16" x14ac:dyDescent="0.2">
      <c r="A1028" s="589" t="s">
        <v>1240</v>
      </c>
      <c r="B1028" s="589"/>
      <c r="C1028" s="589"/>
      <c r="D1028" s="589"/>
      <c r="E1028" s="589"/>
      <c r="F1028" s="589"/>
      <c r="G1028" s="589"/>
      <c r="H1028" s="589"/>
      <c r="I1028" s="589"/>
      <c r="J1028" s="589"/>
      <c r="K1028" s="589"/>
      <c r="L1028" s="589"/>
      <c r="M1028" s="589"/>
      <c r="N1028" s="589"/>
      <c r="O1028" s="589"/>
      <c r="P1028" s="589"/>
    </row>
    <row r="1029" spans="1:16" x14ac:dyDescent="0.2">
      <c r="A1029" s="589" t="s">
        <v>1241</v>
      </c>
      <c r="B1029" s="589"/>
      <c r="C1029" s="589"/>
      <c r="D1029" s="589"/>
      <c r="E1029" s="589"/>
      <c r="F1029" s="589"/>
      <c r="G1029" s="589"/>
      <c r="H1029" s="589"/>
      <c r="I1029" s="589"/>
      <c r="J1029" s="589"/>
      <c r="K1029" s="589"/>
      <c r="L1029" s="589"/>
      <c r="M1029" s="589"/>
      <c r="N1029" s="589"/>
      <c r="O1029" s="589"/>
      <c r="P1029" s="589"/>
    </row>
    <row r="1030" spans="1:16" x14ac:dyDescent="0.2">
      <c r="A1030" s="589" t="s">
        <v>1242</v>
      </c>
      <c r="B1030" s="589"/>
      <c r="C1030" s="589"/>
      <c r="D1030" s="589"/>
      <c r="E1030" s="589"/>
      <c r="F1030" s="589"/>
      <c r="G1030" s="589"/>
      <c r="H1030" s="589"/>
      <c r="I1030" s="589"/>
      <c r="J1030" s="589"/>
      <c r="K1030" s="589"/>
      <c r="L1030" s="589"/>
      <c r="M1030" s="589"/>
      <c r="N1030" s="589"/>
      <c r="O1030" s="589"/>
      <c r="P1030" s="589"/>
    </row>
    <row r="1031" spans="1:16" x14ac:dyDescent="0.2">
      <c r="A1031" s="587"/>
      <c r="B1031" s="587"/>
      <c r="C1031" s="587"/>
      <c r="D1031" s="587"/>
      <c r="E1031" s="587"/>
      <c r="F1031" s="587"/>
      <c r="G1031" s="587"/>
      <c r="H1031" s="587"/>
      <c r="I1031" s="587"/>
      <c r="J1031" s="587"/>
      <c r="K1031" s="587"/>
      <c r="L1031" s="587"/>
      <c r="M1031" s="587"/>
      <c r="N1031" s="587"/>
      <c r="O1031" s="587"/>
      <c r="P1031" s="587"/>
    </row>
    <row r="1032" spans="1:16" x14ac:dyDescent="0.2">
      <c r="A1032" s="587"/>
      <c r="B1032" s="587"/>
      <c r="C1032" s="587"/>
      <c r="D1032" s="587"/>
      <c r="E1032" s="587"/>
      <c r="F1032" s="587"/>
      <c r="G1032" s="587"/>
      <c r="H1032" s="587"/>
      <c r="I1032" s="587"/>
      <c r="J1032" s="587"/>
      <c r="K1032" s="587"/>
      <c r="L1032" s="587"/>
      <c r="M1032" s="587"/>
      <c r="N1032" s="587"/>
      <c r="O1032" s="587"/>
      <c r="P1032" s="587"/>
    </row>
    <row r="1033" spans="1:16" ht="15" x14ac:dyDescent="0.25">
      <c r="A1033" s="604" t="s">
        <v>1243</v>
      </c>
      <c r="B1033" s="604"/>
      <c r="C1033" s="604"/>
      <c r="D1033" s="604"/>
      <c r="E1033" s="604"/>
      <c r="F1033" s="604"/>
      <c r="G1033" s="604"/>
      <c r="H1033" s="604"/>
      <c r="I1033" s="604"/>
      <c r="J1033" s="604"/>
      <c r="K1033" s="604"/>
      <c r="L1033" s="604"/>
      <c r="M1033" s="604"/>
      <c r="N1033" s="604"/>
      <c r="O1033" s="604"/>
      <c r="P1033" s="604"/>
    </row>
    <row r="1034" spans="1:16" x14ac:dyDescent="0.2">
      <c r="A1034" s="589" t="s">
        <v>1244</v>
      </c>
      <c r="B1034" s="589"/>
      <c r="C1034" s="589"/>
      <c r="D1034" s="589"/>
      <c r="E1034" s="589"/>
      <c r="F1034" s="589"/>
      <c r="G1034" s="589"/>
      <c r="H1034" s="589"/>
      <c r="I1034" s="589"/>
      <c r="J1034" s="589"/>
      <c r="K1034" s="589"/>
      <c r="L1034" s="589"/>
      <c r="M1034" s="589"/>
      <c r="N1034" s="589"/>
      <c r="O1034" s="589"/>
      <c r="P1034" s="589"/>
    </row>
    <row r="1035" spans="1:16" x14ac:dyDescent="0.2">
      <c r="A1035" s="589" t="s">
        <v>1245</v>
      </c>
      <c r="B1035" s="589"/>
      <c r="C1035" s="589"/>
      <c r="D1035" s="589"/>
      <c r="E1035" s="589"/>
      <c r="F1035" s="589"/>
      <c r="G1035" s="589"/>
      <c r="H1035" s="589"/>
      <c r="I1035" s="589"/>
      <c r="J1035" s="589"/>
      <c r="K1035" s="589"/>
      <c r="L1035" s="589"/>
      <c r="M1035" s="589"/>
      <c r="N1035" s="589"/>
      <c r="O1035" s="589"/>
      <c r="P1035" s="589"/>
    </row>
    <row r="1036" spans="1:16" x14ac:dyDescent="0.2">
      <c r="A1036" s="587"/>
      <c r="B1036" s="587"/>
      <c r="C1036" s="587"/>
      <c r="D1036" s="587"/>
      <c r="E1036" s="587"/>
      <c r="F1036" s="587"/>
      <c r="G1036" s="587"/>
      <c r="H1036" s="587"/>
      <c r="I1036" s="587"/>
      <c r="J1036" s="587"/>
      <c r="K1036" s="587"/>
      <c r="L1036" s="587"/>
      <c r="M1036" s="587"/>
      <c r="N1036" s="587"/>
      <c r="O1036" s="587"/>
      <c r="P1036" s="587"/>
    </row>
    <row r="1037" spans="1:16" x14ac:dyDescent="0.2">
      <c r="A1037" s="587"/>
      <c r="B1037" s="587"/>
      <c r="C1037" s="587"/>
      <c r="D1037" s="587"/>
      <c r="E1037" s="587"/>
      <c r="F1037" s="587"/>
      <c r="G1037" s="587"/>
      <c r="H1037" s="587"/>
      <c r="I1037" s="587"/>
      <c r="J1037" s="587"/>
      <c r="K1037" s="587"/>
      <c r="L1037" s="587"/>
      <c r="M1037" s="587"/>
      <c r="N1037" s="587"/>
      <c r="O1037" s="587"/>
      <c r="P1037" s="587"/>
    </row>
    <row r="1038" spans="1:16" ht="15" x14ac:dyDescent="0.25">
      <c r="A1038" s="604" t="s">
        <v>1246</v>
      </c>
      <c r="B1038" s="604"/>
      <c r="C1038" s="604"/>
      <c r="D1038" s="604"/>
      <c r="E1038" s="604"/>
      <c r="F1038" s="604"/>
      <c r="G1038" s="604"/>
      <c r="H1038" s="604"/>
      <c r="I1038" s="604"/>
      <c r="J1038" s="604"/>
      <c r="K1038" s="604"/>
      <c r="L1038" s="604"/>
      <c r="M1038" s="604"/>
      <c r="N1038" s="604"/>
      <c r="O1038" s="604"/>
      <c r="P1038" s="604"/>
    </row>
    <row r="1039" spans="1:16" x14ac:dyDescent="0.2">
      <c r="A1039" s="589" t="s">
        <v>1247</v>
      </c>
      <c r="B1039" s="589"/>
      <c r="C1039" s="589"/>
      <c r="D1039" s="589"/>
      <c r="E1039" s="589"/>
      <c r="F1039" s="589"/>
      <c r="G1039" s="589"/>
      <c r="H1039" s="589"/>
      <c r="I1039" s="589"/>
      <c r="J1039" s="589"/>
      <c r="K1039" s="589"/>
      <c r="L1039" s="589"/>
      <c r="M1039" s="589"/>
      <c r="N1039" s="589"/>
      <c r="O1039" s="589"/>
      <c r="P1039" s="589"/>
    </row>
    <row r="1040" spans="1:16" x14ac:dyDescent="0.2">
      <c r="A1040" s="589" t="s">
        <v>1248</v>
      </c>
      <c r="B1040" s="589"/>
      <c r="C1040" s="589"/>
      <c r="D1040" s="589"/>
      <c r="E1040" s="589"/>
      <c r="F1040" s="589"/>
      <c r="G1040" s="589"/>
      <c r="H1040" s="589"/>
      <c r="I1040" s="589"/>
      <c r="J1040" s="589"/>
      <c r="K1040" s="589"/>
      <c r="L1040" s="589"/>
      <c r="M1040" s="589"/>
      <c r="N1040" s="589"/>
      <c r="O1040" s="589"/>
      <c r="P1040" s="589"/>
    </row>
    <row r="1041" spans="1:16" x14ac:dyDescent="0.2">
      <c r="A1041" s="587"/>
      <c r="B1041" s="587"/>
      <c r="C1041" s="587"/>
      <c r="D1041" s="587"/>
      <c r="E1041" s="587"/>
      <c r="F1041" s="587"/>
      <c r="G1041" s="587"/>
      <c r="H1041" s="587"/>
      <c r="I1041" s="587"/>
      <c r="J1041" s="587"/>
      <c r="K1041" s="587"/>
      <c r="L1041" s="587"/>
      <c r="M1041" s="587"/>
      <c r="N1041" s="587"/>
      <c r="O1041" s="587"/>
      <c r="P1041" s="587"/>
    </row>
    <row r="1042" spans="1:16" x14ac:dyDescent="0.2">
      <c r="A1042" s="587"/>
      <c r="B1042" s="587"/>
      <c r="C1042" s="587"/>
      <c r="D1042" s="587"/>
      <c r="E1042" s="587"/>
      <c r="F1042" s="587"/>
      <c r="G1042" s="587"/>
      <c r="H1042" s="587"/>
      <c r="I1042" s="587"/>
      <c r="J1042" s="587"/>
      <c r="K1042" s="587"/>
      <c r="L1042" s="587"/>
      <c r="M1042" s="587"/>
      <c r="N1042" s="587"/>
      <c r="O1042" s="587"/>
      <c r="P1042" s="587"/>
    </row>
    <row r="1043" spans="1:16" ht="15" x14ac:dyDescent="0.25">
      <c r="A1043" s="604" t="s">
        <v>1249</v>
      </c>
      <c r="B1043" s="604"/>
      <c r="C1043" s="604"/>
      <c r="D1043" s="604"/>
      <c r="E1043" s="604"/>
      <c r="F1043" s="604"/>
      <c r="G1043" s="604"/>
      <c r="H1043" s="604"/>
      <c r="I1043" s="604"/>
      <c r="J1043" s="604"/>
      <c r="K1043" s="604"/>
      <c r="L1043" s="604"/>
      <c r="M1043" s="604"/>
      <c r="N1043" s="604"/>
      <c r="O1043" s="604"/>
      <c r="P1043" s="604"/>
    </row>
    <row r="1044" spans="1:16" x14ac:dyDescent="0.2">
      <c r="A1044" s="589" t="s">
        <v>1250</v>
      </c>
      <c r="B1044" s="589"/>
      <c r="C1044" s="589"/>
      <c r="D1044" s="589"/>
      <c r="E1044" s="589"/>
      <c r="F1044" s="589"/>
      <c r="G1044" s="589"/>
      <c r="H1044" s="589"/>
      <c r="I1044" s="589"/>
      <c r="J1044" s="589"/>
      <c r="K1044" s="589"/>
      <c r="L1044" s="589"/>
      <c r="M1044" s="589"/>
      <c r="N1044" s="589"/>
      <c r="O1044" s="589"/>
      <c r="P1044" s="589"/>
    </row>
    <row r="1045" spans="1:16" x14ac:dyDescent="0.2">
      <c r="A1045" s="589" t="s">
        <v>1251</v>
      </c>
      <c r="B1045" s="589"/>
      <c r="C1045" s="589"/>
      <c r="D1045" s="589"/>
      <c r="E1045" s="589"/>
      <c r="F1045" s="589"/>
      <c r="G1045" s="589"/>
      <c r="H1045" s="589"/>
      <c r="I1045" s="589"/>
      <c r="J1045" s="589"/>
      <c r="K1045" s="589"/>
      <c r="L1045" s="589"/>
      <c r="M1045" s="589"/>
      <c r="N1045" s="589"/>
      <c r="O1045" s="589"/>
      <c r="P1045" s="589"/>
    </row>
    <row r="1046" spans="1:16" x14ac:dyDescent="0.2">
      <c r="A1046" s="587"/>
      <c r="B1046" s="587"/>
      <c r="C1046" s="587"/>
      <c r="D1046" s="587"/>
      <c r="E1046" s="587"/>
      <c r="F1046" s="587"/>
      <c r="G1046" s="587"/>
      <c r="H1046" s="587"/>
      <c r="I1046" s="587"/>
      <c r="J1046" s="587"/>
      <c r="K1046" s="587"/>
      <c r="L1046" s="587"/>
      <c r="M1046" s="587"/>
      <c r="N1046" s="587"/>
      <c r="O1046" s="587"/>
      <c r="P1046" s="587"/>
    </row>
    <row r="1047" spans="1:16" x14ac:dyDescent="0.2">
      <c r="A1047" s="587"/>
      <c r="B1047" s="587"/>
      <c r="C1047" s="587"/>
      <c r="D1047" s="587"/>
      <c r="E1047" s="587"/>
      <c r="F1047" s="587"/>
      <c r="G1047" s="587"/>
      <c r="H1047" s="587"/>
      <c r="I1047" s="587"/>
      <c r="J1047" s="587"/>
      <c r="K1047" s="587"/>
      <c r="L1047" s="587"/>
      <c r="M1047" s="587"/>
      <c r="N1047" s="587"/>
      <c r="O1047" s="587"/>
      <c r="P1047" s="587"/>
    </row>
    <row r="1048" spans="1:16" x14ac:dyDescent="0.2">
      <c r="A1048" s="587"/>
      <c r="B1048" s="587"/>
      <c r="C1048" s="587"/>
      <c r="D1048" s="587"/>
      <c r="E1048" s="587"/>
      <c r="F1048" s="587"/>
      <c r="G1048" s="587"/>
      <c r="H1048" s="587"/>
      <c r="I1048" s="587"/>
      <c r="J1048" s="587"/>
      <c r="K1048" s="587"/>
      <c r="L1048" s="587"/>
      <c r="M1048" s="587"/>
      <c r="N1048" s="587"/>
      <c r="O1048" s="587"/>
      <c r="P1048" s="587"/>
    </row>
    <row r="1049" spans="1:16" x14ac:dyDescent="0.2">
      <c r="A1049" s="587"/>
      <c r="B1049" s="587"/>
      <c r="C1049" s="587"/>
      <c r="D1049" s="587"/>
      <c r="E1049" s="587"/>
      <c r="F1049" s="587"/>
      <c r="G1049" s="587"/>
      <c r="H1049" s="587"/>
      <c r="I1049" s="587"/>
      <c r="J1049" s="587"/>
      <c r="K1049" s="587"/>
      <c r="L1049" s="587"/>
      <c r="M1049" s="587"/>
      <c r="N1049" s="587"/>
      <c r="O1049" s="587"/>
      <c r="P1049" s="587"/>
    </row>
    <row r="1050" spans="1:16" x14ac:dyDescent="0.2">
      <c r="A1050" s="587"/>
      <c r="B1050" s="587"/>
      <c r="C1050" s="587"/>
      <c r="D1050" s="587"/>
      <c r="E1050" s="587"/>
      <c r="F1050" s="587"/>
      <c r="G1050" s="587"/>
      <c r="H1050" s="587"/>
      <c r="I1050" s="587"/>
      <c r="J1050" s="587"/>
      <c r="K1050" s="587"/>
      <c r="L1050" s="587"/>
      <c r="M1050" s="587"/>
      <c r="N1050" s="587"/>
      <c r="O1050" s="587"/>
      <c r="P1050" s="587"/>
    </row>
    <row r="1051" spans="1:16" x14ac:dyDescent="0.2">
      <c r="A1051" s="587"/>
      <c r="B1051" s="587"/>
      <c r="C1051" s="587"/>
      <c r="D1051" s="587"/>
      <c r="E1051" s="587"/>
      <c r="F1051" s="587"/>
      <c r="G1051" s="587"/>
      <c r="H1051" s="587"/>
      <c r="I1051" s="587"/>
      <c r="J1051" s="587"/>
      <c r="K1051" s="587"/>
      <c r="L1051" s="587"/>
      <c r="M1051" s="587"/>
      <c r="N1051" s="587"/>
      <c r="O1051" s="587"/>
      <c r="P1051" s="587"/>
    </row>
    <row r="1052" spans="1:16" x14ac:dyDescent="0.2">
      <c r="A1052" s="587"/>
      <c r="B1052" s="587"/>
      <c r="C1052" s="587"/>
      <c r="D1052" s="587"/>
      <c r="E1052" s="587"/>
      <c r="F1052" s="587"/>
      <c r="G1052" s="587"/>
      <c r="H1052" s="587"/>
      <c r="I1052" s="587"/>
      <c r="J1052" s="587"/>
      <c r="K1052" s="587"/>
      <c r="L1052" s="587"/>
      <c r="M1052" s="587"/>
      <c r="N1052" s="587"/>
      <c r="O1052" s="587"/>
      <c r="P1052" s="587"/>
    </row>
    <row r="1053" spans="1:16" x14ac:dyDescent="0.2">
      <c r="A1053" s="587"/>
      <c r="B1053" s="587"/>
      <c r="C1053" s="587"/>
      <c r="D1053" s="587"/>
      <c r="E1053" s="587"/>
      <c r="F1053" s="587"/>
      <c r="G1053" s="587"/>
      <c r="H1053" s="587"/>
      <c r="I1053" s="587"/>
      <c r="J1053" s="587"/>
      <c r="K1053" s="587"/>
      <c r="L1053" s="587"/>
      <c r="M1053" s="587"/>
      <c r="N1053" s="587"/>
      <c r="O1053" s="587"/>
      <c r="P1053" s="587"/>
    </row>
    <row r="1054" spans="1:16" x14ac:dyDescent="0.2">
      <c r="A1054" s="587"/>
      <c r="B1054" s="587"/>
      <c r="C1054" s="587"/>
      <c r="D1054" s="587"/>
      <c r="E1054" s="587"/>
      <c r="F1054" s="587"/>
      <c r="G1054" s="587"/>
      <c r="H1054" s="587"/>
      <c r="I1054" s="587"/>
      <c r="J1054" s="587"/>
      <c r="K1054" s="587"/>
      <c r="L1054" s="587"/>
      <c r="M1054" s="587"/>
      <c r="N1054" s="587"/>
      <c r="O1054" s="587"/>
      <c r="P1054" s="587"/>
    </row>
    <row r="1055" spans="1:16" x14ac:dyDescent="0.2">
      <c r="A1055" s="587"/>
      <c r="B1055" s="587"/>
      <c r="C1055" s="587"/>
      <c r="D1055" s="587"/>
      <c r="E1055" s="587"/>
      <c r="F1055" s="587"/>
      <c r="G1055" s="587"/>
      <c r="H1055" s="587"/>
      <c r="I1055" s="587"/>
      <c r="J1055" s="587"/>
      <c r="K1055" s="587"/>
      <c r="L1055" s="587"/>
      <c r="M1055" s="587"/>
      <c r="N1055" s="587"/>
      <c r="O1055" s="587"/>
      <c r="P1055" s="587"/>
    </row>
    <row r="1056" spans="1:16" x14ac:dyDescent="0.2">
      <c r="A1056" s="587"/>
      <c r="B1056" s="587"/>
      <c r="C1056" s="587"/>
      <c r="D1056" s="587"/>
      <c r="E1056" s="587"/>
      <c r="F1056" s="587"/>
      <c r="G1056" s="587"/>
      <c r="H1056" s="587"/>
      <c r="I1056" s="587"/>
      <c r="J1056" s="587"/>
      <c r="K1056" s="587"/>
      <c r="L1056" s="587"/>
      <c r="M1056" s="587"/>
      <c r="N1056" s="587"/>
      <c r="O1056" s="587"/>
      <c r="P1056" s="587"/>
    </row>
    <row r="1057" spans="1:16" x14ac:dyDescent="0.2">
      <c r="A1057" s="587"/>
      <c r="B1057" s="587"/>
      <c r="C1057" s="587"/>
      <c r="D1057" s="587"/>
      <c r="E1057" s="587"/>
      <c r="F1057" s="587"/>
      <c r="G1057" s="587"/>
      <c r="H1057" s="587"/>
      <c r="I1057" s="587"/>
      <c r="J1057" s="587"/>
      <c r="K1057" s="587"/>
      <c r="L1057" s="587"/>
      <c r="M1057" s="587"/>
      <c r="N1057" s="587"/>
      <c r="O1057" s="587"/>
      <c r="P1057" s="587"/>
    </row>
    <row r="1058" spans="1:16" x14ac:dyDescent="0.2">
      <c r="A1058" s="587"/>
      <c r="B1058" s="587"/>
      <c r="C1058" s="587"/>
      <c r="D1058" s="587"/>
      <c r="E1058" s="587"/>
      <c r="F1058" s="587"/>
      <c r="G1058" s="587"/>
      <c r="H1058" s="587"/>
      <c r="I1058" s="587"/>
      <c r="J1058" s="587"/>
      <c r="K1058" s="587"/>
      <c r="L1058" s="587"/>
      <c r="M1058" s="587"/>
      <c r="N1058" s="587"/>
      <c r="O1058" s="587"/>
      <c r="P1058" s="587"/>
    </row>
    <row r="1059" spans="1:16" x14ac:dyDescent="0.2">
      <c r="A1059" s="587"/>
      <c r="B1059" s="587"/>
      <c r="C1059" s="587"/>
      <c r="D1059" s="587"/>
      <c r="E1059" s="587"/>
      <c r="F1059" s="587"/>
      <c r="G1059" s="587"/>
      <c r="H1059" s="587"/>
      <c r="I1059" s="587"/>
      <c r="J1059" s="587"/>
      <c r="K1059" s="587"/>
      <c r="L1059" s="587"/>
      <c r="M1059" s="587"/>
      <c r="N1059" s="587"/>
      <c r="O1059" s="587"/>
      <c r="P1059" s="587"/>
    </row>
    <row r="1060" spans="1:16" x14ac:dyDescent="0.2">
      <c r="A1060" s="587"/>
      <c r="B1060" s="587"/>
      <c r="C1060" s="587"/>
      <c r="D1060" s="587"/>
      <c r="E1060" s="587"/>
      <c r="F1060" s="587"/>
      <c r="G1060" s="587"/>
      <c r="H1060" s="587"/>
      <c r="I1060" s="587"/>
      <c r="J1060" s="587"/>
      <c r="K1060" s="587"/>
      <c r="L1060" s="587"/>
      <c r="M1060" s="587"/>
      <c r="N1060" s="587"/>
      <c r="O1060" s="587"/>
      <c r="P1060" s="587"/>
    </row>
    <row r="1061" spans="1:16" x14ac:dyDescent="0.2">
      <c r="A1061" s="587"/>
      <c r="B1061" s="587"/>
      <c r="C1061" s="587"/>
      <c r="D1061" s="587"/>
      <c r="E1061" s="587"/>
      <c r="F1061" s="587"/>
      <c r="G1061" s="587"/>
      <c r="H1061" s="587"/>
      <c r="I1061" s="587"/>
      <c r="J1061" s="587"/>
      <c r="K1061" s="587"/>
      <c r="L1061" s="587"/>
      <c r="M1061" s="587"/>
      <c r="N1061" s="587"/>
      <c r="O1061" s="587"/>
      <c r="P1061" s="587"/>
    </row>
    <row r="1062" spans="1:16" x14ac:dyDescent="0.2">
      <c r="A1062" s="587"/>
      <c r="B1062" s="587"/>
      <c r="C1062" s="587"/>
      <c r="D1062" s="587"/>
      <c r="E1062" s="587"/>
      <c r="F1062" s="587"/>
      <c r="G1062" s="587"/>
      <c r="H1062" s="587"/>
      <c r="I1062" s="587"/>
      <c r="J1062" s="587"/>
      <c r="K1062" s="587"/>
      <c r="L1062" s="587"/>
      <c r="M1062" s="587"/>
      <c r="N1062" s="587"/>
      <c r="O1062" s="587"/>
      <c r="P1062" s="587"/>
    </row>
    <row r="1063" spans="1:16" x14ac:dyDescent="0.2">
      <c r="A1063" s="587"/>
      <c r="B1063" s="587"/>
      <c r="C1063" s="587"/>
      <c r="D1063" s="587"/>
      <c r="E1063" s="587"/>
      <c r="F1063" s="587"/>
      <c r="G1063" s="587"/>
      <c r="H1063" s="587"/>
      <c r="I1063" s="587"/>
      <c r="J1063" s="587"/>
      <c r="K1063" s="587"/>
      <c r="L1063" s="587"/>
      <c r="M1063" s="587"/>
      <c r="N1063" s="587"/>
      <c r="O1063" s="587"/>
      <c r="P1063" s="587"/>
    </row>
    <row r="1064" spans="1:16" x14ac:dyDescent="0.2">
      <c r="A1064" s="587"/>
      <c r="B1064" s="587"/>
      <c r="C1064" s="587"/>
      <c r="D1064" s="587"/>
      <c r="E1064" s="587"/>
      <c r="F1064" s="587"/>
      <c r="G1064" s="587"/>
      <c r="H1064" s="587"/>
      <c r="I1064" s="587"/>
      <c r="J1064" s="587"/>
      <c r="K1064" s="587"/>
      <c r="L1064" s="587"/>
      <c r="M1064" s="587"/>
      <c r="N1064" s="587"/>
      <c r="O1064" s="587"/>
      <c r="P1064" s="587"/>
    </row>
    <row r="1065" spans="1:16" x14ac:dyDescent="0.2">
      <c r="A1065" s="587"/>
      <c r="B1065" s="587"/>
      <c r="C1065" s="587"/>
      <c r="D1065" s="587"/>
      <c r="E1065" s="587"/>
      <c r="F1065" s="587"/>
      <c r="G1065" s="587"/>
      <c r="H1065" s="587"/>
      <c r="I1065" s="587"/>
      <c r="J1065" s="587"/>
      <c r="K1065" s="587"/>
      <c r="L1065" s="587"/>
      <c r="M1065" s="587"/>
      <c r="N1065" s="587"/>
      <c r="O1065" s="587"/>
      <c r="P1065" s="587"/>
    </row>
    <row r="1066" spans="1:16" x14ac:dyDescent="0.2">
      <c r="A1066" s="587"/>
      <c r="B1066" s="587"/>
      <c r="C1066" s="587"/>
      <c r="D1066" s="587"/>
      <c r="E1066" s="587"/>
      <c r="F1066" s="587"/>
      <c r="G1066" s="587"/>
      <c r="H1066" s="587"/>
      <c r="I1066" s="587"/>
      <c r="J1066" s="587"/>
      <c r="K1066" s="587"/>
      <c r="L1066" s="587"/>
      <c r="M1066" s="587"/>
      <c r="N1066" s="587"/>
      <c r="O1066" s="587"/>
      <c r="P1066" s="587"/>
    </row>
    <row r="1067" spans="1:16" x14ac:dyDescent="0.2">
      <c r="A1067" s="587"/>
      <c r="B1067" s="587"/>
      <c r="C1067" s="587"/>
      <c r="D1067" s="587"/>
      <c r="E1067" s="587"/>
      <c r="F1067" s="587"/>
      <c r="G1067" s="587"/>
      <c r="H1067" s="587"/>
      <c r="I1067" s="587"/>
      <c r="J1067" s="587"/>
      <c r="K1067" s="587"/>
      <c r="L1067" s="587"/>
      <c r="M1067" s="587"/>
      <c r="N1067" s="587"/>
      <c r="O1067" s="587"/>
      <c r="P1067" s="587"/>
    </row>
    <row r="1068" spans="1:16" x14ac:dyDescent="0.2">
      <c r="A1068" s="587"/>
      <c r="B1068" s="587"/>
      <c r="C1068" s="587"/>
      <c r="D1068" s="587"/>
      <c r="E1068" s="587"/>
      <c r="F1068" s="587"/>
      <c r="G1068" s="587"/>
      <c r="H1068" s="587"/>
      <c r="I1068" s="587"/>
      <c r="J1068" s="587"/>
      <c r="K1068" s="587"/>
      <c r="L1068" s="587"/>
      <c r="M1068" s="587"/>
      <c r="N1068" s="587"/>
      <c r="O1068" s="587"/>
      <c r="P1068" s="587"/>
    </row>
    <row r="1069" spans="1:16" x14ac:dyDescent="0.2">
      <c r="A1069" s="587"/>
      <c r="B1069" s="587"/>
      <c r="C1069" s="587"/>
      <c r="D1069" s="587"/>
      <c r="E1069" s="587"/>
      <c r="F1069" s="587"/>
      <c r="G1069" s="587"/>
      <c r="H1069" s="587"/>
      <c r="I1069" s="587"/>
      <c r="J1069" s="587"/>
      <c r="K1069" s="587"/>
      <c r="L1069" s="587"/>
      <c r="M1069" s="587"/>
      <c r="N1069" s="587"/>
      <c r="O1069" s="587"/>
      <c r="P1069" s="587"/>
    </row>
    <row r="1070" spans="1:16" x14ac:dyDescent="0.2">
      <c r="A1070" s="587"/>
      <c r="B1070" s="587"/>
      <c r="C1070" s="587"/>
      <c r="D1070" s="587"/>
      <c r="E1070" s="587"/>
      <c r="F1070" s="587"/>
      <c r="G1070" s="587"/>
      <c r="H1070" s="587"/>
      <c r="I1070" s="587"/>
      <c r="J1070" s="587"/>
      <c r="K1070" s="587"/>
      <c r="L1070" s="587"/>
      <c r="M1070" s="587"/>
      <c r="N1070" s="587"/>
      <c r="O1070" s="587"/>
      <c r="P1070" s="587"/>
    </row>
    <row r="1071" spans="1:16" x14ac:dyDescent="0.2">
      <c r="A1071" s="587"/>
      <c r="B1071" s="587"/>
      <c r="C1071" s="587"/>
      <c r="D1071" s="587"/>
      <c r="E1071" s="587"/>
      <c r="F1071" s="587"/>
      <c r="G1071" s="587"/>
      <c r="H1071" s="587"/>
      <c r="I1071" s="587"/>
      <c r="J1071" s="587"/>
      <c r="K1071" s="587"/>
      <c r="L1071" s="587"/>
      <c r="M1071" s="587"/>
      <c r="N1071" s="587"/>
      <c r="O1071" s="587"/>
      <c r="P1071" s="587"/>
    </row>
    <row r="1072" spans="1:16" x14ac:dyDescent="0.2">
      <c r="A1072" s="587"/>
      <c r="B1072" s="587"/>
      <c r="C1072" s="587"/>
      <c r="D1072" s="587"/>
      <c r="E1072" s="587"/>
      <c r="F1072" s="587"/>
      <c r="G1072" s="587"/>
      <c r="H1072" s="587"/>
      <c r="I1072" s="587"/>
      <c r="J1072" s="587"/>
      <c r="K1072" s="587"/>
      <c r="L1072" s="587"/>
      <c r="M1072" s="587"/>
      <c r="N1072" s="587"/>
      <c r="O1072" s="587"/>
      <c r="P1072" s="587"/>
    </row>
    <row r="1073" spans="1:16" x14ac:dyDescent="0.2">
      <c r="A1073" s="587"/>
      <c r="B1073" s="587"/>
      <c r="C1073" s="587"/>
      <c r="D1073" s="587"/>
      <c r="E1073" s="587"/>
      <c r="F1073" s="587"/>
      <c r="G1073" s="587"/>
      <c r="H1073" s="587"/>
      <c r="I1073" s="587"/>
      <c r="J1073" s="587"/>
      <c r="K1073" s="587"/>
      <c r="L1073" s="587"/>
      <c r="M1073" s="587"/>
      <c r="N1073" s="587"/>
      <c r="O1073" s="587"/>
      <c r="P1073" s="587"/>
    </row>
    <row r="1074" spans="1:16" x14ac:dyDescent="0.2">
      <c r="A1074" s="587"/>
      <c r="B1074" s="587"/>
      <c r="C1074" s="587"/>
      <c r="D1074" s="587"/>
      <c r="E1074" s="587"/>
      <c r="F1074" s="587"/>
      <c r="G1074" s="587"/>
      <c r="H1074" s="587"/>
      <c r="I1074" s="587"/>
      <c r="J1074" s="587"/>
      <c r="K1074" s="587"/>
      <c r="L1074" s="587"/>
      <c r="M1074" s="587"/>
      <c r="N1074" s="587"/>
      <c r="O1074" s="587"/>
      <c r="P1074" s="587"/>
    </row>
    <row r="1075" spans="1:16" x14ac:dyDescent="0.2">
      <c r="A1075" s="587"/>
      <c r="B1075" s="587"/>
      <c r="C1075" s="587"/>
      <c r="D1075" s="587"/>
      <c r="E1075" s="587"/>
      <c r="F1075" s="587"/>
      <c r="G1075" s="587"/>
      <c r="H1075" s="587"/>
      <c r="I1075" s="587"/>
      <c r="J1075" s="587"/>
      <c r="K1075" s="587"/>
      <c r="L1075" s="587"/>
      <c r="M1075" s="587"/>
      <c r="N1075" s="587"/>
      <c r="O1075" s="587"/>
      <c r="P1075" s="587"/>
    </row>
    <row r="1076" spans="1:16" x14ac:dyDescent="0.2">
      <c r="A1076" s="587"/>
      <c r="B1076" s="587"/>
      <c r="C1076" s="587"/>
      <c r="D1076" s="587"/>
      <c r="E1076" s="587"/>
      <c r="F1076" s="587"/>
      <c r="G1076" s="587"/>
      <c r="H1076" s="587"/>
      <c r="I1076" s="587"/>
      <c r="J1076" s="587"/>
      <c r="K1076" s="587"/>
      <c r="L1076" s="587"/>
      <c r="M1076" s="587"/>
      <c r="N1076" s="587"/>
      <c r="O1076" s="587"/>
      <c r="P1076" s="587"/>
    </row>
    <row r="1077" spans="1:16" x14ac:dyDescent="0.2">
      <c r="A1077" s="587"/>
      <c r="B1077" s="587"/>
      <c r="C1077" s="587"/>
      <c r="D1077" s="587"/>
      <c r="E1077" s="587"/>
      <c r="F1077" s="587"/>
      <c r="G1077" s="587"/>
      <c r="H1077" s="587"/>
      <c r="I1077" s="587"/>
      <c r="J1077" s="587"/>
      <c r="K1077" s="587"/>
      <c r="L1077" s="587"/>
      <c r="M1077" s="587"/>
      <c r="N1077" s="587"/>
      <c r="O1077" s="587"/>
      <c r="P1077" s="587"/>
    </row>
    <row r="1078" spans="1:16" x14ac:dyDescent="0.2">
      <c r="A1078" s="587"/>
      <c r="B1078" s="587"/>
      <c r="C1078" s="587"/>
      <c r="D1078" s="587"/>
      <c r="E1078" s="587"/>
      <c r="F1078" s="587"/>
      <c r="G1078" s="587"/>
      <c r="H1078" s="587"/>
      <c r="I1078" s="587"/>
      <c r="J1078" s="587"/>
      <c r="K1078" s="587"/>
      <c r="L1078" s="587"/>
      <c r="M1078" s="587"/>
      <c r="N1078" s="587"/>
      <c r="O1078" s="587"/>
      <c r="P1078" s="587"/>
    </row>
    <row r="1079" spans="1:16" x14ac:dyDescent="0.2">
      <c r="A1079" s="587"/>
      <c r="B1079" s="587"/>
      <c r="C1079" s="587"/>
      <c r="D1079" s="587"/>
      <c r="E1079" s="587"/>
      <c r="F1079" s="587"/>
      <c r="G1079" s="587"/>
      <c r="H1079" s="587"/>
      <c r="I1079" s="587"/>
      <c r="J1079" s="587"/>
      <c r="K1079" s="587"/>
      <c r="L1079" s="587"/>
      <c r="M1079" s="587"/>
      <c r="N1079" s="587"/>
      <c r="O1079" s="587"/>
      <c r="P1079" s="587"/>
    </row>
    <row r="1080" spans="1:16" x14ac:dyDescent="0.2">
      <c r="A1080" s="587"/>
      <c r="B1080" s="587"/>
      <c r="C1080" s="587"/>
      <c r="D1080" s="587"/>
      <c r="E1080" s="587"/>
      <c r="F1080" s="587"/>
      <c r="G1080" s="587"/>
      <c r="H1080" s="587"/>
      <c r="I1080" s="587"/>
      <c r="J1080" s="587"/>
      <c r="K1080" s="587"/>
      <c r="L1080" s="587"/>
      <c r="M1080" s="587"/>
      <c r="N1080" s="587"/>
      <c r="O1080" s="587"/>
      <c r="P1080" s="587"/>
    </row>
    <row r="1081" spans="1:16" x14ac:dyDescent="0.2">
      <c r="A1081" s="587"/>
      <c r="B1081" s="587"/>
      <c r="C1081" s="587"/>
      <c r="D1081" s="587"/>
      <c r="E1081" s="587"/>
      <c r="F1081" s="587"/>
      <c r="G1081" s="587"/>
      <c r="H1081" s="587"/>
      <c r="I1081" s="587"/>
      <c r="J1081" s="587"/>
      <c r="K1081" s="587"/>
      <c r="L1081" s="587"/>
      <c r="M1081" s="587"/>
      <c r="N1081" s="587"/>
      <c r="O1081" s="587"/>
      <c r="P1081" s="587"/>
    </row>
    <row r="1082" spans="1:16" x14ac:dyDescent="0.2">
      <c r="A1082" s="587"/>
      <c r="B1082" s="587"/>
      <c r="C1082" s="587"/>
      <c r="D1082" s="587"/>
      <c r="E1082" s="587"/>
      <c r="F1082" s="587"/>
      <c r="G1082" s="587"/>
      <c r="H1082" s="587"/>
      <c r="I1082" s="587"/>
      <c r="J1082" s="587"/>
      <c r="K1082" s="587"/>
      <c r="L1082" s="587"/>
      <c r="M1082" s="587"/>
      <c r="N1082" s="587"/>
      <c r="O1082" s="587"/>
      <c r="P1082" s="587"/>
    </row>
    <row r="1083" spans="1:16" x14ac:dyDescent="0.2">
      <c r="A1083" s="587"/>
      <c r="B1083" s="587"/>
      <c r="C1083" s="587"/>
      <c r="D1083" s="587"/>
      <c r="E1083" s="587"/>
      <c r="F1083" s="587"/>
      <c r="G1083" s="587"/>
      <c r="H1083" s="587"/>
      <c r="I1083" s="587"/>
      <c r="J1083" s="587"/>
      <c r="K1083" s="587"/>
      <c r="L1083" s="587"/>
      <c r="M1083" s="587"/>
      <c r="N1083" s="587"/>
      <c r="O1083" s="587"/>
      <c r="P1083" s="587"/>
    </row>
    <row r="1084" spans="1:16" x14ac:dyDescent="0.2">
      <c r="A1084" s="587"/>
      <c r="B1084" s="587"/>
      <c r="C1084" s="587"/>
      <c r="D1084" s="587"/>
      <c r="E1084" s="587"/>
      <c r="F1084" s="587"/>
      <c r="G1084" s="587"/>
      <c r="H1084" s="587"/>
      <c r="I1084" s="587"/>
      <c r="J1084" s="587"/>
      <c r="K1084" s="587"/>
      <c r="L1084" s="587"/>
      <c r="M1084" s="587"/>
      <c r="N1084" s="587"/>
      <c r="O1084" s="587"/>
      <c r="P1084" s="587"/>
    </row>
    <row r="1085" spans="1:16" x14ac:dyDescent="0.2">
      <c r="A1085" s="587"/>
      <c r="B1085" s="587"/>
      <c r="C1085" s="587"/>
      <c r="D1085" s="587"/>
      <c r="E1085" s="587"/>
      <c r="F1085" s="587"/>
      <c r="G1085" s="587"/>
      <c r="H1085" s="587"/>
      <c r="I1085" s="587"/>
      <c r="J1085" s="587"/>
      <c r="K1085" s="587"/>
      <c r="L1085" s="587"/>
      <c r="M1085" s="587"/>
      <c r="N1085" s="587"/>
      <c r="O1085" s="587"/>
      <c r="P1085" s="587"/>
    </row>
    <row r="1086" spans="1:16" x14ac:dyDescent="0.2">
      <c r="A1086" s="587"/>
      <c r="B1086" s="587"/>
      <c r="C1086" s="587"/>
      <c r="D1086" s="587"/>
      <c r="E1086" s="587"/>
      <c r="F1086" s="587"/>
      <c r="G1086" s="587"/>
      <c r="H1086" s="587"/>
      <c r="I1086" s="587"/>
      <c r="J1086" s="587"/>
      <c r="K1086" s="587"/>
      <c r="L1086" s="587"/>
      <c r="M1086" s="587"/>
      <c r="N1086" s="587"/>
      <c r="O1086" s="587"/>
      <c r="P1086" s="587"/>
    </row>
    <row r="1087" spans="1:16" x14ac:dyDescent="0.2">
      <c r="A1087" s="587"/>
      <c r="B1087" s="587"/>
      <c r="C1087" s="587"/>
      <c r="D1087" s="587"/>
      <c r="E1087" s="587"/>
      <c r="F1087" s="587"/>
      <c r="G1087" s="587"/>
      <c r="H1087" s="587"/>
      <c r="I1087" s="587"/>
      <c r="J1087" s="587"/>
      <c r="K1087" s="587"/>
      <c r="L1087" s="587"/>
      <c r="M1087" s="587"/>
      <c r="N1087" s="587"/>
      <c r="O1087" s="587"/>
      <c r="P1087" s="587"/>
    </row>
    <row r="1088" spans="1:16" x14ac:dyDescent="0.2">
      <c r="A1088" s="587"/>
      <c r="B1088" s="587"/>
      <c r="C1088" s="587"/>
      <c r="D1088" s="587"/>
      <c r="E1088" s="587"/>
      <c r="F1088" s="587"/>
      <c r="G1088" s="587"/>
      <c r="H1088" s="587"/>
      <c r="I1088" s="587"/>
      <c r="J1088" s="587"/>
      <c r="K1088" s="587"/>
      <c r="L1088" s="587"/>
      <c r="M1088" s="587"/>
      <c r="N1088" s="587"/>
      <c r="O1088" s="587"/>
      <c r="P1088" s="587"/>
    </row>
    <row r="1089" spans="1:16" x14ac:dyDescent="0.2">
      <c r="A1089" s="587"/>
      <c r="B1089" s="587"/>
      <c r="C1089" s="587"/>
      <c r="D1089" s="587"/>
      <c r="E1089" s="587"/>
      <c r="F1089" s="587"/>
      <c r="G1089" s="587"/>
      <c r="H1089" s="587"/>
      <c r="I1089" s="587"/>
      <c r="J1089" s="587"/>
      <c r="K1089" s="587"/>
      <c r="L1089" s="587"/>
      <c r="M1089" s="587"/>
      <c r="N1089" s="587"/>
      <c r="O1089" s="587"/>
      <c r="P1089" s="587"/>
    </row>
    <row r="1090" spans="1:16" x14ac:dyDescent="0.2">
      <c r="A1090" s="587"/>
      <c r="B1090" s="587"/>
      <c r="C1090" s="587"/>
      <c r="D1090" s="587"/>
      <c r="E1090" s="587"/>
      <c r="F1090" s="587"/>
      <c r="G1090" s="587"/>
      <c r="H1090" s="587"/>
      <c r="I1090" s="587"/>
      <c r="J1090" s="587"/>
      <c r="K1090" s="587"/>
      <c r="L1090" s="587"/>
      <c r="M1090" s="587"/>
      <c r="N1090" s="587"/>
      <c r="O1090" s="587"/>
      <c r="P1090" s="587"/>
    </row>
    <row r="1091" spans="1:16" x14ac:dyDescent="0.2">
      <c r="A1091" s="587"/>
      <c r="B1091" s="587"/>
      <c r="C1091" s="587"/>
      <c r="D1091" s="587"/>
      <c r="E1091" s="587"/>
      <c r="F1091" s="587"/>
      <c r="G1091" s="587"/>
      <c r="H1091" s="587"/>
      <c r="I1091" s="587"/>
      <c r="J1091" s="587"/>
      <c r="K1091" s="587"/>
      <c r="L1091" s="587"/>
      <c r="M1091" s="587"/>
      <c r="N1091" s="587"/>
      <c r="O1091" s="587"/>
      <c r="P1091" s="587"/>
    </row>
    <row r="1092" spans="1:16" x14ac:dyDescent="0.2">
      <c r="A1092" s="587"/>
      <c r="B1092" s="587"/>
      <c r="C1092" s="587"/>
      <c r="D1092" s="587"/>
      <c r="E1092" s="587"/>
      <c r="F1092" s="587"/>
      <c r="G1092" s="587"/>
      <c r="H1092" s="587"/>
      <c r="I1092" s="587"/>
      <c r="J1092" s="587"/>
      <c r="K1092" s="587"/>
      <c r="L1092" s="587"/>
      <c r="M1092" s="587"/>
      <c r="N1092" s="587"/>
      <c r="O1092" s="587"/>
      <c r="P1092" s="587"/>
    </row>
    <row r="1093" spans="1:16" x14ac:dyDescent="0.2">
      <c r="A1093" s="587"/>
      <c r="B1093" s="587"/>
      <c r="C1093" s="587"/>
      <c r="D1093" s="587"/>
      <c r="E1093" s="587"/>
      <c r="F1093" s="587"/>
      <c r="G1093" s="587"/>
      <c r="H1093" s="587"/>
      <c r="I1093" s="587"/>
      <c r="J1093" s="587"/>
      <c r="K1093" s="587"/>
      <c r="L1093" s="587"/>
      <c r="M1093" s="587"/>
      <c r="N1093" s="587"/>
      <c r="O1093" s="587"/>
      <c r="P1093" s="587"/>
    </row>
    <row r="1094" spans="1:16" x14ac:dyDescent="0.2">
      <c r="A1094" s="587"/>
      <c r="B1094" s="587"/>
      <c r="C1094" s="587"/>
      <c r="D1094" s="587"/>
      <c r="E1094" s="587"/>
      <c r="F1094" s="587"/>
      <c r="G1094" s="587"/>
      <c r="H1094" s="587"/>
      <c r="I1094" s="587"/>
      <c r="J1094" s="587"/>
      <c r="K1094" s="587"/>
      <c r="L1094" s="587"/>
      <c r="M1094" s="587"/>
      <c r="N1094" s="587"/>
      <c r="O1094" s="587"/>
      <c r="P1094" s="587"/>
    </row>
    <row r="1095" spans="1:16" x14ac:dyDescent="0.2">
      <c r="A1095" s="587"/>
      <c r="B1095" s="587"/>
      <c r="C1095" s="587"/>
      <c r="D1095" s="587"/>
      <c r="E1095" s="587"/>
      <c r="F1095" s="587"/>
      <c r="G1095" s="587"/>
      <c r="H1095" s="587"/>
      <c r="I1095" s="587"/>
      <c r="J1095" s="587"/>
      <c r="K1095" s="587"/>
      <c r="L1095" s="587"/>
      <c r="M1095" s="587"/>
      <c r="N1095" s="587"/>
      <c r="O1095" s="587"/>
      <c r="P1095" s="587"/>
    </row>
    <row r="1096" spans="1:16" x14ac:dyDescent="0.2">
      <c r="A1096" s="587"/>
      <c r="B1096" s="587"/>
      <c r="C1096" s="587"/>
      <c r="D1096" s="587"/>
      <c r="E1096" s="587"/>
      <c r="F1096" s="587"/>
      <c r="G1096" s="587"/>
      <c r="H1096" s="587"/>
      <c r="I1096" s="587"/>
      <c r="J1096" s="587"/>
      <c r="K1096" s="587"/>
      <c r="L1096" s="587"/>
      <c r="M1096" s="587"/>
      <c r="N1096" s="587"/>
      <c r="O1096" s="587"/>
      <c r="P1096" s="587"/>
    </row>
    <row r="1097" spans="1:16" x14ac:dyDescent="0.2">
      <c r="A1097" s="587"/>
      <c r="B1097" s="587"/>
      <c r="C1097" s="587"/>
      <c r="D1097" s="587"/>
      <c r="E1097" s="587"/>
      <c r="F1097" s="587"/>
      <c r="G1097" s="587"/>
      <c r="H1097" s="587"/>
      <c r="I1097" s="587"/>
      <c r="J1097" s="587"/>
      <c r="K1097" s="587"/>
      <c r="L1097" s="587"/>
      <c r="M1097" s="587"/>
      <c r="N1097" s="587"/>
      <c r="O1097" s="587"/>
      <c r="P1097" s="587"/>
    </row>
    <row r="1098" spans="1:16" x14ac:dyDescent="0.2">
      <c r="A1098" s="587"/>
      <c r="B1098" s="587"/>
      <c r="C1098" s="587"/>
      <c r="D1098" s="587"/>
      <c r="E1098" s="587"/>
      <c r="F1098" s="587"/>
      <c r="G1098" s="587"/>
      <c r="H1098" s="587"/>
      <c r="I1098" s="587"/>
      <c r="J1098" s="587"/>
      <c r="K1098" s="587"/>
      <c r="L1098" s="587"/>
      <c r="M1098" s="587"/>
      <c r="N1098" s="587"/>
      <c r="O1098" s="587"/>
      <c r="P1098" s="587"/>
    </row>
    <row r="1099" spans="1:16" x14ac:dyDescent="0.2">
      <c r="A1099" s="587"/>
      <c r="B1099" s="587"/>
      <c r="C1099" s="587"/>
      <c r="D1099" s="587"/>
      <c r="E1099" s="587"/>
      <c r="F1099" s="587"/>
      <c r="G1099" s="587"/>
      <c r="H1099" s="587"/>
      <c r="I1099" s="587"/>
      <c r="J1099" s="587"/>
      <c r="K1099" s="587"/>
      <c r="L1099" s="587"/>
      <c r="M1099" s="587"/>
      <c r="N1099" s="587"/>
      <c r="O1099" s="587"/>
      <c r="P1099" s="587"/>
    </row>
    <row r="1100" spans="1:16" x14ac:dyDescent="0.2">
      <c r="A1100" s="587"/>
      <c r="B1100" s="587"/>
      <c r="C1100" s="587"/>
      <c r="D1100" s="587"/>
      <c r="E1100" s="587"/>
      <c r="F1100" s="587"/>
      <c r="G1100" s="587"/>
      <c r="H1100" s="587"/>
      <c r="I1100" s="587"/>
      <c r="J1100" s="587"/>
      <c r="K1100" s="587"/>
      <c r="L1100" s="587"/>
      <c r="M1100" s="587"/>
      <c r="N1100" s="587"/>
      <c r="O1100" s="587"/>
      <c r="P1100" s="587"/>
    </row>
    <row r="1101" spans="1:16" x14ac:dyDescent="0.2">
      <c r="A1101" s="587"/>
      <c r="B1101" s="587"/>
      <c r="C1101" s="587"/>
      <c r="D1101" s="587"/>
      <c r="E1101" s="587"/>
      <c r="F1101" s="587"/>
      <c r="G1101" s="587"/>
      <c r="H1101" s="587"/>
      <c r="I1101" s="587"/>
      <c r="J1101" s="587"/>
      <c r="K1101" s="587"/>
      <c r="L1101" s="587"/>
      <c r="M1101" s="587"/>
      <c r="N1101" s="587"/>
      <c r="O1101" s="587"/>
      <c r="P1101" s="587"/>
    </row>
    <row r="1102" spans="1:16" x14ac:dyDescent="0.2">
      <c r="A1102" s="587"/>
      <c r="B1102" s="587"/>
      <c r="C1102" s="587"/>
      <c r="D1102" s="587"/>
      <c r="E1102" s="587"/>
      <c r="F1102" s="587"/>
      <c r="G1102" s="587"/>
      <c r="H1102" s="587"/>
      <c r="I1102" s="587"/>
      <c r="J1102" s="587"/>
      <c r="K1102" s="587"/>
      <c r="L1102" s="587"/>
      <c r="M1102" s="587"/>
      <c r="N1102" s="587"/>
      <c r="O1102" s="587"/>
      <c r="P1102" s="587"/>
    </row>
    <row r="1103" spans="1:16" x14ac:dyDescent="0.2">
      <c r="A1103" s="587"/>
      <c r="B1103" s="587"/>
      <c r="C1103" s="587"/>
      <c r="D1103" s="587"/>
      <c r="E1103" s="587"/>
      <c r="F1103" s="587"/>
      <c r="G1103" s="587"/>
      <c r="H1103" s="587"/>
      <c r="I1103" s="587"/>
      <c r="J1103" s="587"/>
      <c r="K1103" s="587"/>
      <c r="L1103" s="587"/>
      <c r="M1103" s="587"/>
      <c r="N1103" s="587"/>
      <c r="O1103" s="587"/>
      <c r="P1103" s="587"/>
    </row>
    <row r="1104" spans="1:16" x14ac:dyDescent="0.2">
      <c r="A1104" s="587"/>
      <c r="B1104" s="587"/>
      <c r="C1104" s="587"/>
      <c r="D1104" s="587"/>
      <c r="E1104" s="587"/>
      <c r="F1104" s="587"/>
      <c r="G1104" s="587"/>
      <c r="H1104" s="587"/>
      <c r="I1104" s="587"/>
      <c r="J1104" s="587"/>
      <c r="K1104" s="587"/>
      <c r="L1104" s="587"/>
      <c r="M1104" s="587"/>
      <c r="N1104" s="587"/>
      <c r="O1104" s="587"/>
      <c r="P1104" s="587"/>
    </row>
    <row r="1105" spans="1:16" x14ac:dyDescent="0.2">
      <c r="A1105" s="587"/>
      <c r="B1105" s="587"/>
      <c r="C1105" s="587"/>
      <c r="D1105" s="587"/>
      <c r="E1105" s="587"/>
      <c r="F1105" s="587"/>
      <c r="G1105" s="587"/>
      <c r="H1105" s="587"/>
      <c r="I1105" s="587"/>
      <c r="J1105" s="587"/>
      <c r="K1105" s="587"/>
      <c r="L1105" s="587"/>
      <c r="M1105" s="587"/>
      <c r="N1105" s="587"/>
      <c r="O1105" s="587"/>
      <c r="P1105" s="587"/>
    </row>
    <row r="1106" spans="1:16" x14ac:dyDescent="0.2">
      <c r="A1106" s="587"/>
      <c r="B1106" s="587"/>
      <c r="C1106" s="587"/>
      <c r="D1106" s="587"/>
      <c r="E1106" s="587"/>
      <c r="F1106" s="587"/>
      <c r="G1106" s="587"/>
      <c r="H1106" s="587"/>
      <c r="I1106" s="587"/>
      <c r="J1106" s="587"/>
      <c r="K1106" s="587"/>
      <c r="L1106" s="587"/>
      <c r="M1106" s="587"/>
      <c r="N1106" s="587"/>
      <c r="O1106" s="587"/>
      <c r="P1106" s="587"/>
    </row>
    <row r="1107" spans="1:16" x14ac:dyDescent="0.2">
      <c r="A1107" s="587"/>
      <c r="B1107" s="587"/>
      <c r="C1107" s="587"/>
      <c r="D1107" s="587"/>
      <c r="E1107" s="587"/>
      <c r="F1107" s="587"/>
      <c r="G1107" s="587"/>
      <c r="H1107" s="587"/>
      <c r="I1107" s="587"/>
      <c r="J1107" s="587"/>
      <c r="K1107" s="587"/>
      <c r="L1107" s="587"/>
      <c r="M1107" s="587"/>
      <c r="N1107" s="587"/>
      <c r="O1107" s="587"/>
      <c r="P1107" s="587"/>
    </row>
    <row r="1108" spans="1:16" x14ac:dyDescent="0.2">
      <c r="A1108" s="587"/>
      <c r="B1108" s="587"/>
      <c r="C1108" s="587"/>
      <c r="D1108" s="587"/>
      <c r="E1108" s="587"/>
      <c r="F1108" s="587"/>
      <c r="G1108" s="587"/>
      <c r="H1108" s="587"/>
      <c r="I1108" s="587"/>
      <c r="J1108" s="587"/>
      <c r="K1108" s="587"/>
      <c r="L1108" s="587"/>
      <c r="M1108" s="587"/>
      <c r="N1108" s="587"/>
      <c r="O1108" s="587"/>
      <c r="P1108" s="587"/>
    </row>
    <row r="1109" spans="1:16" x14ac:dyDescent="0.2">
      <c r="A1109" s="587"/>
      <c r="B1109" s="587"/>
      <c r="C1109" s="587"/>
      <c r="D1109" s="587"/>
      <c r="E1109" s="587"/>
      <c r="F1109" s="587"/>
      <c r="G1109" s="587"/>
      <c r="H1109" s="587"/>
      <c r="I1109" s="587"/>
      <c r="J1109" s="587"/>
      <c r="K1109" s="587"/>
      <c r="L1109" s="587"/>
      <c r="M1109" s="587"/>
      <c r="N1109" s="587"/>
      <c r="O1109" s="587"/>
      <c r="P1109" s="587"/>
    </row>
    <row r="1110" spans="1:16" x14ac:dyDescent="0.2">
      <c r="A1110" s="587"/>
      <c r="B1110" s="587"/>
      <c r="C1110" s="587"/>
      <c r="D1110" s="587"/>
      <c r="E1110" s="587"/>
      <c r="F1110" s="587"/>
      <c r="G1110" s="587"/>
      <c r="H1110" s="587"/>
      <c r="I1110" s="587"/>
      <c r="J1110" s="587"/>
      <c r="K1110" s="587"/>
      <c r="L1110" s="587"/>
      <c r="M1110" s="587"/>
      <c r="N1110" s="587"/>
      <c r="O1110" s="587"/>
      <c r="P1110" s="587"/>
    </row>
    <row r="1111" spans="1:16" x14ac:dyDescent="0.2">
      <c r="A1111" s="587"/>
      <c r="B1111" s="587"/>
      <c r="C1111" s="587"/>
      <c r="D1111" s="587"/>
      <c r="E1111" s="587"/>
      <c r="F1111" s="587"/>
      <c r="G1111" s="587"/>
      <c r="H1111" s="587"/>
      <c r="I1111" s="587"/>
      <c r="J1111" s="587"/>
      <c r="K1111" s="587"/>
      <c r="L1111" s="587"/>
      <c r="M1111" s="587"/>
      <c r="N1111" s="587"/>
      <c r="O1111" s="587"/>
      <c r="P1111" s="587"/>
    </row>
    <row r="1112" spans="1:16" x14ac:dyDescent="0.2">
      <c r="A1112" s="587"/>
      <c r="B1112" s="587"/>
      <c r="C1112" s="587"/>
      <c r="D1112" s="587"/>
      <c r="E1112" s="587"/>
      <c r="F1112" s="587"/>
      <c r="G1112" s="587"/>
      <c r="H1112" s="587"/>
      <c r="I1112" s="587"/>
      <c r="J1112" s="587"/>
      <c r="K1112" s="587"/>
      <c r="L1112" s="587"/>
      <c r="M1112" s="587"/>
      <c r="N1112" s="587"/>
      <c r="O1112" s="587"/>
      <c r="P1112" s="587"/>
    </row>
    <row r="1113" spans="1:16" x14ac:dyDescent="0.2">
      <c r="A1113" s="587"/>
      <c r="B1113" s="587"/>
      <c r="C1113" s="587"/>
      <c r="D1113" s="587"/>
      <c r="E1113" s="587"/>
      <c r="F1113" s="587"/>
      <c r="G1113" s="587"/>
      <c r="H1113" s="587"/>
      <c r="I1113" s="587"/>
      <c r="J1113" s="587"/>
      <c r="K1113" s="587"/>
      <c r="L1113" s="587"/>
      <c r="M1113" s="587"/>
      <c r="N1113" s="587"/>
      <c r="O1113" s="587"/>
      <c r="P1113" s="587"/>
    </row>
    <row r="1114" spans="1:16" x14ac:dyDescent="0.2">
      <c r="A1114" s="587"/>
      <c r="B1114" s="587"/>
      <c r="C1114" s="587"/>
      <c r="D1114" s="587"/>
      <c r="E1114" s="587"/>
      <c r="F1114" s="587"/>
      <c r="G1114" s="587"/>
      <c r="H1114" s="587"/>
      <c r="I1114" s="587"/>
      <c r="J1114" s="587"/>
      <c r="K1114" s="587"/>
      <c r="L1114" s="587"/>
      <c r="M1114" s="587"/>
      <c r="N1114" s="587"/>
      <c r="O1114" s="587"/>
      <c r="P1114" s="587"/>
    </row>
    <row r="1115" spans="1:16" x14ac:dyDescent="0.2">
      <c r="A1115" s="587"/>
      <c r="B1115" s="587"/>
      <c r="C1115" s="587"/>
      <c r="D1115" s="587"/>
      <c r="E1115" s="587"/>
      <c r="F1115" s="587"/>
      <c r="G1115" s="587"/>
      <c r="H1115" s="587"/>
      <c r="I1115" s="587"/>
      <c r="J1115" s="587"/>
      <c r="K1115" s="587"/>
      <c r="L1115" s="587"/>
      <c r="M1115" s="587"/>
      <c r="N1115" s="587"/>
      <c r="O1115" s="587"/>
      <c r="P1115" s="587"/>
    </row>
    <row r="1116" spans="1:16" x14ac:dyDescent="0.2">
      <c r="A1116" s="587"/>
      <c r="B1116" s="587"/>
      <c r="C1116" s="587"/>
      <c r="D1116" s="587"/>
      <c r="E1116" s="587"/>
      <c r="F1116" s="587"/>
      <c r="G1116" s="587"/>
      <c r="H1116" s="587"/>
      <c r="I1116" s="587"/>
      <c r="J1116" s="587"/>
      <c r="K1116" s="587"/>
      <c r="L1116" s="587"/>
      <c r="M1116" s="587"/>
      <c r="N1116" s="587"/>
      <c r="O1116" s="587"/>
      <c r="P1116" s="587"/>
    </row>
    <row r="1117" spans="1:16" x14ac:dyDescent="0.2">
      <c r="A1117" s="587"/>
      <c r="B1117" s="587"/>
      <c r="C1117" s="587"/>
      <c r="D1117" s="587"/>
      <c r="E1117" s="587"/>
      <c r="F1117" s="587"/>
      <c r="G1117" s="587"/>
      <c r="H1117" s="587"/>
      <c r="I1117" s="587"/>
      <c r="J1117" s="587"/>
      <c r="K1117" s="587"/>
      <c r="L1117" s="587"/>
      <c r="M1117" s="587"/>
      <c r="N1117" s="587"/>
      <c r="O1117" s="587"/>
      <c r="P1117" s="587"/>
    </row>
    <row r="1118" spans="1:16" x14ac:dyDescent="0.2">
      <c r="A1118" s="587"/>
      <c r="B1118" s="587"/>
      <c r="C1118" s="587"/>
      <c r="D1118" s="587"/>
      <c r="E1118" s="587"/>
      <c r="F1118" s="587"/>
      <c r="G1118" s="587"/>
      <c r="H1118" s="587"/>
      <c r="I1118" s="587"/>
      <c r="J1118" s="587"/>
      <c r="K1118" s="587"/>
      <c r="L1118" s="587"/>
      <c r="M1118" s="587"/>
      <c r="N1118" s="587"/>
      <c r="O1118" s="587"/>
      <c r="P1118" s="587"/>
    </row>
    <row r="1119" spans="1:16" x14ac:dyDescent="0.2">
      <c r="A1119" s="587"/>
      <c r="B1119" s="587"/>
      <c r="C1119" s="587"/>
      <c r="D1119" s="587"/>
      <c r="E1119" s="587"/>
      <c r="F1119" s="587"/>
      <c r="G1119" s="587"/>
      <c r="H1119" s="587"/>
      <c r="I1119" s="587"/>
      <c r="J1119" s="587"/>
      <c r="K1119" s="587"/>
      <c r="L1119" s="587"/>
      <c r="M1119" s="587"/>
      <c r="N1119" s="587"/>
      <c r="O1119" s="587"/>
      <c r="P1119" s="587"/>
    </row>
    <row r="1120" spans="1:16" x14ac:dyDescent="0.2">
      <c r="A1120" s="587"/>
      <c r="B1120" s="587"/>
      <c r="C1120" s="587"/>
      <c r="D1120" s="587"/>
      <c r="E1120" s="587"/>
      <c r="F1120" s="587"/>
      <c r="G1120" s="587"/>
      <c r="H1120" s="587"/>
      <c r="I1120" s="587"/>
      <c r="J1120" s="587"/>
      <c r="K1120" s="587"/>
      <c r="L1120" s="587"/>
      <c r="M1120" s="587"/>
      <c r="N1120" s="587"/>
      <c r="O1120" s="587"/>
      <c r="P1120" s="587"/>
    </row>
    <row r="1121" spans="1:16" x14ac:dyDescent="0.2">
      <c r="A1121" s="587"/>
      <c r="B1121" s="587"/>
      <c r="C1121" s="587"/>
      <c r="D1121" s="587"/>
      <c r="E1121" s="587"/>
      <c r="F1121" s="587"/>
      <c r="G1121" s="587"/>
      <c r="H1121" s="587"/>
      <c r="I1121" s="587"/>
      <c r="J1121" s="587"/>
      <c r="K1121" s="587"/>
      <c r="L1121" s="587"/>
      <c r="M1121" s="587"/>
      <c r="N1121" s="587"/>
      <c r="O1121" s="587"/>
      <c r="P1121" s="587"/>
    </row>
    <row r="1122" spans="1:16" x14ac:dyDescent="0.2">
      <c r="A1122" s="587"/>
      <c r="B1122" s="587"/>
      <c r="C1122" s="587"/>
      <c r="D1122" s="587"/>
      <c r="E1122" s="587"/>
      <c r="F1122" s="587"/>
      <c r="G1122" s="587"/>
      <c r="H1122" s="587"/>
      <c r="I1122" s="587"/>
      <c r="J1122" s="587"/>
      <c r="K1122" s="587"/>
      <c r="L1122" s="587"/>
      <c r="M1122" s="587"/>
      <c r="N1122" s="587"/>
      <c r="O1122" s="587"/>
      <c r="P1122" s="587"/>
    </row>
    <row r="1123" spans="1:16" x14ac:dyDescent="0.2">
      <c r="A1123" s="587"/>
      <c r="B1123" s="587"/>
      <c r="C1123" s="587"/>
      <c r="D1123" s="587"/>
      <c r="E1123" s="587"/>
      <c r="F1123" s="587"/>
      <c r="G1123" s="587"/>
      <c r="H1123" s="587"/>
      <c r="I1123" s="587"/>
      <c r="J1123" s="587"/>
      <c r="K1123" s="587"/>
      <c r="L1123" s="587"/>
      <c r="M1123" s="587"/>
      <c r="N1123" s="587"/>
      <c r="O1123" s="587"/>
      <c r="P1123" s="587"/>
    </row>
    <row r="1124" spans="1:16" x14ac:dyDescent="0.2">
      <c r="A1124" s="587"/>
      <c r="B1124" s="587"/>
      <c r="C1124" s="587"/>
      <c r="D1124" s="587"/>
      <c r="E1124" s="587"/>
      <c r="F1124" s="587"/>
      <c r="G1124" s="587"/>
      <c r="H1124" s="587"/>
      <c r="I1124" s="587"/>
      <c r="J1124" s="587"/>
      <c r="K1124" s="587"/>
      <c r="L1124" s="587"/>
      <c r="M1124" s="587"/>
      <c r="N1124" s="587"/>
      <c r="O1124" s="587"/>
      <c r="P1124" s="587"/>
    </row>
    <row r="1125" spans="1:16" x14ac:dyDescent="0.2">
      <c r="A1125" s="587"/>
      <c r="B1125" s="587"/>
      <c r="C1125" s="587"/>
      <c r="D1125" s="587"/>
      <c r="E1125" s="587"/>
      <c r="F1125" s="587"/>
      <c r="G1125" s="587"/>
      <c r="H1125" s="587"/>
      <c r="I1125" s="587"/>
      <c r="J1125" s="587"/>
      <c r="K1125" s="587"/>
      <c r="L1125" s="587"/>
      <c r="M1125" s="587"/>
      <c r="N1125" s="587"/>
      <c r="O1125" s="587"/>
      <c r="P1125" s="587"/>
    </row>
    <row r="1126" spans="1:16" x14ac:dyDescent="0.2">
      <c r="A1126" s="587"/>
      <c r="B1126" s="587"/>
      <c r="C1126" s="587"/>
      <c r="D1126" s="587"/>
      <c r="E1126" s="587"/>
      <c r="F1126" s="587"/>
      <c r="G1126" s="587"/>
      <c r="H1126" s="587"/>
      <c r="I1126" s="587"/>
      <c r="J1126" s="587"/>
      <c r="K1126" s="587"/>
      <c r="L1126" s="587"/>
      <c r="M1126" s="587"/>
      <c r="N1126" s="587"/>
      <c r="O1126" s="587"/>
      <c r="P1126" s="587"/>
    </row>
    <row r="1127" spans="1:16" x14ac:dyDescent="0.2">
      <c r="A1127" s="587"/>
      <c r="B1127" s="587"/>
      <c r="C1127" s="587"/>
      <c r="D1127" s="587"/>
      <c r="E1127" s="587"/>
      <c r="F1127" s="587"/>
      <c r="G1127" s="587"/>
      <c r="H1127" s="587"/>
      <c r="I1127" s="587"/>
      <c r="J1127" s="587"/>
      <c r="K1127" s="587"/>
      <c r="L1127" s="587"/>
      <c r="M1127" s="587"/>
      <c r="N1127" s="587"/>
      <c r="O1127" s="587"/>
      <c r="P1127" s="587"/>
    </row>
    <row r="1128" spans="1:16" x14ac:dyDescent="0.2">
      <c r="A1128" s="587"/>
      <c r="B1128" s="587"/>
      <c r="C1128" s="587"/>
      <c r="D1128" s="587"/>
      <c r="E1128" s="587"/>
      <c r="F1128" s="587"/>
      <c r="G1128" s="587"/>
      <c r="H1128" s="587"/>
      <c r="I1128" s="587"/>
      <c r="J1128" s="587"/>
      <c r="K1128" s="587"/>
      <c r="L1128" s="587"/>
      <c r="M1128" s="587"/>
      <c r="N1128" s="587"/>
      <c r="O1128" s="587"/>
      <c r="P1128" s="587"/>
    </row>
    <row r="1129" spans="1:16" x14ac:dyDescent="0.2">
      <c r="A1129" s="587"/>
      <c r="B1129" s="587"/>
      <c r="C1129" s="587"/>
      <c r="D1129" s="587"/>
      <c r="E1129" s="587"/>
      <c r="F1129" s="587"/>
      <c r="G1129" s="587"/>
      <c r="H1129" s="587"/>
      <c r="I1129" s="587"/>
      <c r="J1129" s="587"/>
      <c r="K1129" s="587"/>
      <c r="L1129" s="587"/>
      <c r="M1129" s="587"/>
      <c r="N1129" s="587"/>
      <c r="O1129" s="587"/>
      <c r="P1129" s="587"/>
    </row>
    <row r="1130" spans="1:16" x14ac:dyDescent="0.2">
      <c r="A1130" s="587"/>
      <c r="B1130" s="587"/>
      <c r="C1130" s="587"/>
      <c r="D1130" s="587"/>
      <c r="E1130" s="587"/>
      <c r="F1130" s="587"/>
      <c r="G1130" s="587"/>
      <c r="H1130" s="587"/>
      <c r="I1130" s="587"/>
      <c r="J1130" s="587"/>
      <c r="K1130" s="587"/>
      <c r="L1130" s="587"/>
      <c r="M1130" s="587"/>
      <c r="N1130" s="587"/>
      <c r="O1130" s="587"/>
      <c r="P1130" s="587"/>
    </row>
    <row r="1131" spans="1:16" x14ac:dyDescent="0.2">
      <c r="A1131" s="587"/>
      <c r="B1131" s="587"/>
      <c r="C1131" s="587"/>
      <c r="D1131" s="587"/>
      <c r="E1131" s="587"/>
      <c r="F1131" s="587"/>
      <c r="G1131" s="587"/>
      <c r="H1131" s="587"/>
      <c r="I1131" s="587"/>
      <c r="J1131" s="587"/>
      <c r="K1131" s="587"/>
      <c r="L1131" s="587"/>
      <c r="M1131" s="587"/>
      <c r="N1131" s="587"/>
      <c r="O1131" s="587"/>
      <c r="P1131" s="587"/>
    </row>
    <row r="1132" spans="1:16" x14ac:dyDescent="0.2">
      <c r="A1132" s="587"/>
      <c r="B1132" s="587"/>
      <c r="C1132" s="587"/>
      <c r="D1132" s="587"/>
      <c r="E1132" s="587"/>
      <c r="F1132" s="587"/>
      <c r="G1132" s="587"/>
      <c r="H1132" s="587"/>
      <c r="I1132" s="587"/>
      <c r="J1132" s="587"/>
      <c r="K1132" s="587"/>
      <c r="L1132" s="587"/>
      <c r="M1132" s="587"/>
      <c r="N1132" s="587"/>
      <c r="O1132" s="587"/>
      <c r="P1132" s="587"/>
    </row>
    <row r="1133" spans="1:16" x14ac:dyDescent="0.2">
      <c r="A1133" s="587"/>
      <c r="B1133" s="587"/>
      <c r="C1133" s="587"/>
      <c r="D1133" s="587"/>
      <c r="E1133" s="587"/>
      <c r="F1133" s="587"/>
      <c r="G1133" s="587"/>
      <c r="H1133" s="587"/>
      <c r="I1133" s="587"/>
      <c r="J1133" s="587"/>
      <c r="K1133" s="587"/>
      <c r="L1133" s="587"/>
      <c r="M1133" s="587"/>
      <c r="N1133" s="587"/>
      <c r="O1133" s="587"/>
      <c r="P1133" s="587"/>
    </row>
    <row r="1134" spans="1:16" x14ac:dyDescent="0.2">
      <c r="A1134" s="587"/>
      <c r="B1134" s="587"/>
      <c r="C1134" s="587"/>
      <c r="D1134" s="587"/>
      <c r="E1134" s="587"/>
      <c r="F1134" s="587"/>
      <c r="G1134" s="587"/>
      <c r="H1134" s="587"/>
      <c r="I1134" s="587"/>
      <c r="J1134" s="587"/>
      <c r="K1134" s="587"/>
      <c r="L1134" s="587"/>
      <c r="M1134" s="587"/>
      <c r="N1134" s="587"/>
      <c r="O1134" s="587"/>
      <c r="P1134" s="587"/>
    </row>
    <row r="1135" spans="1:16" x14ac:dyDescent="0.2">
      <c r="A1135" s="587"/>
      <c r="B1135" s="587"/>
      <c r="C1135" s="587"/>
      <c r="D1135" s="587"/>
      <c r="E1135" s="587"/>
      <c r="F1135" s="587"/>
      <c r="G1135" s="587"/>
      <c r="H1135" s="587"/>
      <c r="I1135" s="587"/>
      <c r="J1135" s="587"/>
      <c r="K1135" s="587"/>
      <c r="L1135" s="587"/>
      <c r="M1135" s="587"/>
      <c r="N1135" s="587"/>
      <c r="O1135" s="587"/>
      <c r="P1135" s="587"/>
    </row>
    <row r="1136" spans="1:16" x14ac:dyDescent="0.2">
      <c r="A1136" s="587"/>
      <c r="B1136" s="587"/>
      <c r="C1136" s="587"/>
      <c r="D1136" s="587"/>
      <c r="E1136" s="587"/>
      <c r="F1136" s="587"/>
      <c r="G1136" s="587"/>
      <c r="H1136" s="587"/>
      <c r="I1136" s="587"/>
      <c r="J1136" s="587"/>
      <c r="K1136" s="587"/>
      <c r="L1136" s="587"/>
      <c r="M1136" s="587"/>
      <c r="N1136" s="587"/>
      <c r="O1136" s="587"/>
      <c r="P1136" s="587"/>
    </row>
    <row r="1137" spans="1:16" x14ac:dyDescent="0.2">
      <c r="A1137" s="587"/>
      <c r="B1137" s="587"/>
      <c r="C1137" s="587"/>
      <c r="D1137" s="587"/>
      <c r="E1137" s="587"/>
      <c r="F1137" s="587"/>
      <c r="G1137" s="587"/>
      <c r="H1137" s="587"/>
      <c r="I1137" s="587"/>
      <c r="J1137" s="587"/>
      <c r="K1137" s="587"/>
      <c r="L1137" s="587"/>
      <c r="M1137" s="587"/>
      <c r="N1137" s="587"/>
      <c r="O1137" s="587"/>
      <c r="P1137" s="587"/>
    </row>
    <row r="1138" spans="1:16" x14ac:dyDescent="0.2">
      <c r="A1138" s="587"/>
      <c r="B1138" s="587"/>
      <c r="C1138" s="587"/>
      <c r="D1138" s="587"/>
      <c r="E1138" s="587"/>
      <c r="F1138" s="587"/>
      <c r="G1138" s="587"/>
      <c r="H1138" s="587"/>
      <c r="I1138" s="587"/>
      <c r="J1138" s="587"/>
      <c r="K1138" s="587"/>
      <c r="L1138" s="587"/>
      <c r="M1138" s="587"/>
      <c r="N1138" s="587"/>
      <c r="O1138" s="587"/>
      <c r="P1138" s="587"/>
    </row>
    <row r="1139" spans="1:16" x14ac:dyDescent="0.2">
      <c r="A1139" s="587"/>
      <c r="B1139" s="587"/>
      <c r="C1139" s="587"/>
      <c r="D1139" s="587"/>
      <c r="E1139" s="587"/>
      <c r="F1139" s="587"/>
      <c r="G1139" s="587"/>
      <c r="H1139" s="587"/>
      <c r="I1139" s="587"/>
      <c r="J1139" s="587"/>
      <c r="K1139" s="587"/>
      <c r="L1139" s="587"/>
      <c r="M1139" s="587"/>
      <c r="N1139" s="587"/>
      <c r="O1139" s="587"/>
      <c r="P1139" s="587"/>
    </row>
    <row r="1140" spans="1:16" x14ac:dyDescent="0.2">
      <c r="A1140" s="587"/>
      <c r="B1140" s="587"/>
      <c r="C1140" s="587"/>
      <c r="D1140" s="587"/>
      <c r="E1140" s="587"/>
      <c r="F1140" s="587"/>
      <c r="G1140" s="587"/>
      <c r="H1140" s="587"/>
      <c r="I1140" s="587"/>
      <c r="J1140" s="587"/>
      <c r="K1140" s="587"/>
      <c r="L1140" s="587"/>
      <c r="M1140" s="587"/>
      <c r="N1140" s="587"/>
      <c r="O1140" s="587"/>
      <c r="P1140" s="587"/>
    </row>
    <row r="1141" spans="1:16" x14ac:dyDescent="0.2">
      <c r="A1141" s="587"/>
      <c r="B1141" s="587"/>
      <c r="C1141" s="587"/>
      <c r="D1141" s="587"/>
      <c r="E1141" s="587"/>
      <c r="F1141" s="587"/>
      <c r="G1141" s="587"/>
      <c r="H1141" s="587"/>
      <c r="I1141" s="587"/>
      <c r="J1141" s="587"/>
      <c r="K1141" s="587"/>
      <c r="L1141" s="587"/>
      <c r="M1141" s="587"/>
      <c r="N1141" s="587"/>
      <c r="O1141" s="587"/>
      <c r="P1141" s="587"/>
    </row>
    <row r="1142" spans="1:16" x14ac:dyDescent="0.2">
      <c r="A1142" s="587"/>
      <c r="B1142" s="587"/>
      <c r="C1142" s="587"/>
      <c r="D1142" s="587"/>
      <c r="E1142" s="587"/>
      <c r="F1142" s="587"/>
      <c r="G1142" s="587"/>
      <c r="H1142" s="587"/>
      <c r="I1142" s="587"/>
      <c r="J1142" s="587"/>
      <c r="K1142" s="587"/>
      <c r="L1142" s="587"/>
      <c r="M1142" s="587"/>
      <c r="N1142" s="587"/>
      <c r="O1142" s="587"/>
      <c r="P1142" s="587"/>
    </row>
    <row r="1143" spans="1:16" x14ac:dyDescent="0.2">
      <c r="A1143" s="587"/>
      <c r="B1143" s="587"/>
      <c r="C1143" s="587"/>
      <c r="D1143" s="587"/>
      <c r="E1143" s="587"/>
      <c r="F1143" s="587"/>
      <c r="G1143" s="587"/>
      <c r="H1143" s="587"/>
      <c r="I1143" s="587"/>
      <c r="J1143" s="587"/>
      <c r="K1143" s="587"/>
      <c r="L1143" s="587"/>
      <c r="M1143" s="587"/>
      <c r="N1143" s="587"/>
      <c r="O1143" s="587"/>
      <c r="P1143" s="587"/>
    </row>
    <row r="1144" spans="1:16" x14ac:dyDescent="0.2">
      <c r="A1144" s="587"/>
      <c r="B1144" s="587"/>
      <c r="C1144" s="587"/>
      <c r="D1144" s="587"/>
      <c r="E1144" s="587"/>
      <c r="F1144" s="587"/>
      <c r="G1144" s="587"/>
      <c r="H1144" s="587"/>
      <c r="I1144" s="587"/>
      <c r="J1144" s="587"/>
      <c r="K1144" s="587"/>
      <c r="L1144" s="587"/>
      <c r="M1144" s="587"/>
      <c r="N1144" s="587"/>
      <c r="O1144" s="587"/>
      <c r="P1144" s="587"/>
    </row>
    <row r="1145" spans="1:16" x14ac:dyDescent="0.2">
      <c r="A1145" s="587"/>
      <c r="B1145" s="587"/>
      <c r="C1145" s="587"/>
      <c r="D1145" s="587"/>
      <c r="E1145" s="587"/>
      <c r="F1145" s="587"/>
      <c r="G1145" s="587"/>
      <c r="H1145" s="587"/>
      <c r="I1145" s="587"/>
      <c r="J1145" s="587"/>
      <c r="K1145" s="587"/>
      <c r="L1145" s="587"/>
      <c r="M1145" s="587"/>
      <c r="N1145" s="587"/>
      <c r="O1145" s="587"/>
      <c r="P1145" s="587"/>
    </row>
    <row r="1146" spans="1:16" x14ac:dyDescent="0.2">
      <c r="A1146" s="587"/>
      <c r="B1146" s="587"/>
      <c r="C1146" s="587"/>
      <c r="D1146" s="587"/>
      <c r="E1146" s="587"/>
      <c r="F1146" s="587"/>
      <c r="G1146" s="587"/>
      <c r="H1146" s="587"/>
      <c r="I1146" s="587"/>
      <c r="J1146" s="587"/>
      <c r="K1146" s="587"/>
      <c r="L1146" s="587"/>
      <c r="M1146" s="587"/>
      <c r="N1146" s="587"/>
      <c r="O1146" s="587"/>
      <c r="P1146" s="587"/>
    </row>
    <row r="1147" spans="1:16" x14ac:dyDescent="0.2">
      <c r="A1147" s="587"/>
      <c r="B1147" s="587"/>
      <c r="C1147" s="587"/>
      <c r="D1147" s="587"/>
      <c r="E1147" s="587"/>
      <c r="F1147" s="587"/>
      <c r="G1147" s="587"/>
      <c r="H1147" s="587"/>
      <c r="I1147" s="587"/>
      <c r="J1147" s="587"/>
      <c r="K1147" s="587"/>
      <c r="L1147" s="587"/>
      <c r="M1147" s="587"/>
      <c r="N1147" s="587"/>
      <c r="O1147" s="587"/>
      <c r="P1147" s="587"/>
    </row>
    <row r="1148" spans="1:16" x14ac:dyDescent="0.2">
      <c r="A1148" s="587"/>
      <c r="B1148" s="587"/>
      <c r="C1148" s="587"/>
      <c r="D1148" s="587"/>
      <c r="E1148" s="587"/>
      <c r="F1148" s="587"/>
      <c r="G1148" s="587"/>
      <c r="H1148" s="587"/>
      <c r="I1148" s="587"/>
      <c r="J1148" s="587"/>
      <c r="K1148" s="587"/>
      <c r="L1148" s="587"/>
      <c r="M1148" s="587"/>
      <c r="N1148" s="587"/>
      <c r="O1148" s="587"/>
      <c r="P1148" s="587"/>
    </row>
    <row r="1149" spans="1:16" x14ac:dyDescent="0.2">
      <c r="A1149" s="587"/>
      <c r="B1149" s="587"/>
      <c r="C1149" s="587"/>
      <c r="D1149" s="587"/>
      <c r="E1149" s="587"/>
      <c r="F1149" s="587"/>
      <c r="G1149" s="587"/>
      <c r="H1149" s="587"/>
      <c r="I1149" s="587"/>
      <c r="J1149" s="587"/>
      <c r="K1149" s="587"/>
      <c r="L1149" s="587"/>
      <c r="M1149" s="587"/>
      <c r="N1149" s="587"/>
      <c r="O1149" s="587"/>
      <c r="P1149" s="587"/>
    </row>
    <row r="1150" spans="1:16" x14ac:dyDescent="0.2">
      <c r="A1150" s="587"/>
      <c r="B1150" s="587"/>
      <c r="C1150" s="587"/>
      <c r="D1150" s="587"/>
      <c r="E1150" s="587"/>
      <c r="F1150" s="587"/>
      <c r="G1150" s="587"/>
      <c r="H1150" s="587"/>
      <c r="I1150" s="587"/>
      <c r="J1150" s="587"/>
      <c r="K1150" s="587"/>
      <c r="L1150" s="587"/>
      <c r="M1150" s="587"/>
      <c r="N1150" s="587"/>
      <c r="O1150" s="587"/>
      <c r="P1150" s="587"/>
    </row>
    <row r="1151" spans="1:16" x14ac:dyDescent="0.2">
      <c r="A1151" s="587"/>
      <c r="B1151" s="587"/>
      <c r="C1151" s="587"/>
      <c r="D1151" s="587"/>
      <c r="E1151" s="587"/>
      <c r="F1151" s="587"/>
      <c r="G1151" s="587"/>
      <c r="H1151" s="587"/>
      <c r="I1151" s="587"/>
      <c r="J1151" s="587"/>
      <c r="K1151" s="587"/>
      <c r="L1151" s="587"/>
      <c r="M1151" s="587"/>
      <c r="N1151" s="587"/>
      <c r="O1151" s="587"/>
      <c r="P1151" s="587"/>
    </row>
    <row r="1152" spans="1:16" x14ac:dyDescent="0.2">
      <c r="A1152" s="587"/>
      <c r="B1152" s="587"/>
      <c r="C1152" s="587"/>
      <c r="D1152" s="587"/>
      <c r="E1152" s="587"/>
      <c r="F1152" s="587"/>
      <c r="G1152" s="587"/>
      <c r="H1152" s="587"/>
      <c r="I1152" s="587"/>
      <c r="J1152" s="587"/>
      <c r="K1152" s="587"/>
      <c r="L1152" s="587"/>
      <c r="M1152" s="587"/>
      <c r="N1152" s="587"/>
      <c r="O1152" s="587"/>
      <c r="P1152" s="587"/>
    </row>
    <row r="1153" spans="1:16" x14ac:dyDescent="0.2">
      <c r="A1153" s="587"/>
      <c r="B1153" s="587"/>
      <c r="C1153" s="587"/>
      <c r="D1153" s="587"/>
      <c r="E1153" s="587"/>
      <c r="F1153" s="587"/>
      <c r="G1153" s="587"/>
      <c r="H1153" s="587"/>
      <c r="I1153" s="587"/>
      <c r="J1153" s="587"/>
      <c r="K1153" s="587"/>
      <c r="L1153" s="587"/>
      <c r="M1153" s="587"/>
      <c r="N1153" s="587"/>
      <c r="O1153" s="587"/>
      <c r="P1153" s="587"/>
    </row>
    <row r="1154" spans="1:16" x14ac:dyDescent="0.2">
      <c r="A1154" s="587"/>
      <c r="B1154" s="587"/>
      <c r="C1154" s="587"/>
      <c r="D1154" s="587"/>
      <c r="E1154" s="587"/>
      <c r="F1154" s="587"/>
      <c r="G1154" s="587"/>
      <c r="H1154" s="587"/>
      <c r="I1154" s="587"/>
      <c r="J1154" s="587"/>
      <c r="K1154" s="587"/>
      <c r="L1154" s="587"/>
      <c r="M1154" s="587"/>
      <c r="N1154" s="587"/>
      <c r="O1154" s="587"/>
      <c r="P1154" s="587"/>
    </row>
    <row r="1155" spans="1:16" x14ac:dyDescent="0.2">
      <c r="A1155" s="587"/>
      <c r="B1155" s="587"/>
      <c r="C1155" s="587"/>
      <c r="D1155" s="587"/>
      <c r="E1155" s="587"/>
      <c r="F1155" s="587"/>
      <c r="G1155" s="587"/>
      <c r="H1155" s="587"/>
      <c r="I1155" s="587"/>
      <c r="J1155" s="587"/>
      <c r="K1155" s="587"/>
      <c r="L1155" s="587"/>
      <c r="M1155" s="587"/>
      <c r="N1155" s="587"/>
      <c r="O1155" s="587"/>
      <c r="P1155" s="587"/>
    </row>
    <row r="1156" spans="1:16" x14ac:dyDescent="0.2">
      <c r="A1156" s="587"/>
      <c r="B1156" s="587"/>
      <c r="C1156" s="587"/>
      <c r="D1156" s="587"/>
      <c r="E1156" s="587"/>
      <c r="F1156" s="587"/>
      <c r="G1156" s="587"/>
      <c r="H1156" s="587"/>
      <c r="I1156" s="587"/>
      <c r="J1156" s="587"/>
      <c r="K1156" s="587"/>
      <c r="L1156" s="587"/>
      <c r="M1156" s="587"/>
      <c r="N1156" s="587"/>
      <c r="O1156" s="587"/>
      <c r="P1156" s="587"/>
    </row>
    <row r="1157" spans="1:16" x14ac:dyDescent="0.2">
      <c r="A1157" s="587"/>
      <c r="B1157" s="587"/>
      <c r="C1157" s="587"/>
      <c r="D1157" s="587"/>
      <c r="E1157" s="587"/>
      <c r="F1157" s="587"/>
      <c r="G1157" s="587"/>
      <c r="H1157" s="587"/>
      <c r="I1157" s="587"/>
      <c r="J1157" s="587"/>
      <c r="K1157" s="587"/>
      <c r="L1157" s="587"/>
      <c r="M1157" s="587"/>
      <c r="N1157" s="587"/>
      <c r="O1157" s="587"/>
      <c r="P1157" s="587"/>
    </row>
    <row r="1158" spans="1:16" x14ac:dyDescent="0.2">
      <c r="A1158" s="587"/>
      <c r="B1158" s="587"/>
      <c r="C1158" s="587"/>
      <c r="D1158" s="587"/>
      <c r="E1158" s="587"/>
      <c r="F1158" s="587"/>
      <c r="G1158" s="587"/>
      <c r="H1158" s="587"/>
      <c r="I1158" s="587"/>
      <c r="J1158" s="587"/>
      <c r="K1158" s="587"/>
      <c r="L1158" s="587"/>
      <c r="M1158" s="587"/>
      <c r="N1158" s="587"/>
      <c r="O1158" s="587"/>
      <c r="P1158" s="587"/>
    </row>
    <row r="1159" spans="1:16" x14ac:dyDescent="0.2">
      <c r="A1159" s="587"/>
      <c r="B1159" s="587"/>
      <c r="C1159" s="587"/>
      <c r="D1159" s="587"/>
      <c r="E1159" s="587"/>
      <c r="F1159" s="587"/>
      <c r="G1159" s="587"/>
      <c r="H1159" s="587"/>
      <c r="I1159" s="587"/>
      <c r="J1159" s="587"/>
      <c r="K1159" s="587"/>
      <c r="L1159" s="587"/>
      <c r="M1159" s="587"/>
      <c r="N1159" s="587"/>
      <c r="O1159" s="587"/>
      <c r="P1159" s="587"/>
    </row>
  </sheetData>
  <mergeCells count="4213">
    <mergeCell ref="O447:P447"/>
    <mergeCell ref="O448:P448"/>
    <mergeCell ref="O449:P449"/>
    <mergeCell ref="O450:P450"/>
    <mergeCell ref="O451:P451"/>
    <mergeCell ref="O452:P452"/>
    <mergeCell ref="O453:P453"/>
    <mergeCell ref="O454:P454"/>
    <mergeCell ref="O455:P455"/>
    <mergeCell ref="O456:P456"/>
    <mergeCell ref="O457:P457"/>
    <mergeCell ref="O458:P458"/>
    <mergeCell ref="O459:P459"/>
    <mergeCell ref="O460:P460"/>
    <mergeCell ref="O461:P461"/>
    <mergeCell ref="J447:K447"/>
    <mergeCell ref="J448:K448"/>
    <mergeCell ref="J449:K449"/>
    <mergeCell ref="J450:K450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J459:K459"/>
    <mergeCell ref="J460:K460"/>
    <mergeCell ref="J461:K461"/>
    <mergeCell ref="L445:M445"/>
    <mergeCell ref="L446:M446"/>
    <mergeCell ref="L447:M447"/>
    <mergeCell ref="L448:M448"/>
    <mergeCell ref="L449:M449"/>
    <mergeCell ref="L450:M450"/>
    <mergeCell ref="L451:M451"/>
    <mergeCell ref="L452:M452"/>
    <mergeCell ref="L453:M453"/>
    <mergeCell ref="L454:M454"/>
    <mergeCell ref="L455:M455"/>
    <mergeCell ref="L456:M456"/>
    <mergeCell ref="L457:M457"/>
    <mergeCell ref="L458:M458"/>
    <mergeCell ref="L459:M459"/>
    <mergeCell ref="L460:M460"/>
    <mergeCell ref="L461:M461"/>
    <mergeCell ref="A447:E447"/>
    <mergeCell ref="A448:E448"/>
    <mergeCell ref="A451:E451"/>
    <mergeCell ref="A449:E449"/>
    <mergeCell ref="A450:E450"/>
    <mergeCell ref="A452:E452"/>
    <mergeCell ref="A453:E453"/>
    <mergeCell ref="A454:E454"/>
    <mergeCell ref="A455:E455"/>
    <mergeCell ref="A457:E457"/>
    <mergeCell ref="A456:E456"/>
    <mergeCell ref="A461:E461"/>
    <mergeCell ref="A458:E458"/>
    <mergeCell ref="A459:E459"/>
    <mergeCell ref="A460:E460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J347:K347"/>
    <mergeCell ref="L347:M347"/>
    <mergeCell ref="O347:P347"/>
    <mergeCell ref="A350:E350"/>
    <mergeCell ref="H350:I350"/>
    <mergeCell ref="J350:K350"/>
    <mergeCell ref="O350:P350"/>
    <mergeCell ref="A381:E381"/>
    <mergeCell ref="A382:E382"/>
    <mergeCell ref="A384:E384"/>
    <mergeCell ref="A385:E385"/>
    <mergeCell ref="A383:E383"/>
    <mergeCell ref="J381:K381"/>
    <mergeCell ref="J382:K382"/>
    <mergeCell ref="J383:K383"/>
    <mergeCell ref="J384:K384"/>
    <mergeCell ref="J385:K385"/>
    <mergeCell ref="L381:M381"/>
    <mergeCell ref="L382:M382"/>
    <mergeCell ref="L383:M383"/>
    <mergeCell ref="L384:M384"/>
    <mergeCell ref="L385:M385"/>
    <mergeCell ref="O381:P381"/>
    <mergeCell ref="O382:P382"/>
    <mergeCell ref="O383:P383"/>
    <mergeCell ref="O384:P384"/>
    <mergeCell ref="O385:P385"/>
    <mergeCell ref="H381:I381"/>
    <mergeCell ref="H382:I382"/>
    <mergeCell ref="H383:I383"/>
    <mergeCell ref="H384:I384"/>
    <mergeCell ref="H385:I385"/>
    <mergeCell ref="J444:K444"/>
    <mergeCell ref="L440:M440"/>
    <mergeCell ref="L442:M442"/>
    <mergeCell ref="L443:M443"/>
    <mergeCell ref="L444:M444"/>
    <mergeCell ref="O440:P440"/>
    <mergeCell ref="O442:P442"/>
    <mergeCell ref="O443:P443"/>
    <mergeCell ref="O444:P444"/>
    <mergeCell ref="A543:E543"/>
    <mergeCell ref="A544:F544"/>
    <mergeCell ref="J544:K544"/>
    <mergeCell ref="L544:M544"/>
    <mergeCell ref="O544:P544"/>
    <mergeCell ref="O545:P545"/>
    <mergeCell ref="O546:P546"/>
    <mergeCell ref="A545:E545"/>
    <mergeCell ref="A546:E546"/>
    <mergeCell ref="J545:K545"/>
    <mergeCell ref="L545:M545"/>
    <mergeCell ref="A537:E537"/>
    <mergeCell ref="H537:I537"/>
    <mergeCell ref="J537:K537"/>
    <mergeCell ref="L537:M537"/>
    <mergeCell ref="O537:P537"/>
    <mergeCell ref="A538:E538"/>
    <mergeCell ref="H538:I538"/>
    <mergeCell ref="J538:K538"/>
    <mergeCell ref="L538:M538"/>
    <mergeCell ref="O538:P538"/>
    <mergeCell ref="A535:E535"/>
    <mergeCell ref="H535:I535"/>
    <mergeCell ref="A547:E547"/>
    <mergeCell ref="J547:K547"/>
    <mergeCell ref="L547:M547"/>
    <mergeCell ref="O547:P547"/>
    <mergeCell ref="H547:I547"/>
    <mergeCell ref="H544:I544"/>
    <mergeCell ref="H545:I545"/>
    <mergeCell ref="O210:P210"/>
    <mergeCell ref="O212:P212"/>
    <mergeCell ref="J215:K215"/>
    <mergeCell ref="A340:E340"/>
    <mergeCell ref="A441:E441"/>
    <mergeCell ref="J441:K441"/>
    <mergeCell ref="L441:M441"/>
    <mergeCell ref="O441:P441"/>
    <mergeCell ref="A446:E446"/>
    <mergeCell ref="A445:E445"/>
    <mergeCell ref="J445:K445"/>
    <mergeCell ref="J446:K446"/>
    <mergeCell ref="O445:P445"/>
    <mergeCell ref="O446:P446"/>
    <mergeCell ref="A305:E305"/>
    <mergeCell ref="H305:I305"/>
    <mergeCell ref="J305:K305"/>
    <mergeCell ref="L305:M305"/>
    <mergeCell ref="O305:P305"/>
    <mergeCell ref="A216:E216"/>
    <mergeCell ref="A215:E215"/>
    <mergeCell ref="A436:E436"/>
    <mergeCell ref="H436:I436"/>
    <mergeCell ref="J436:K436"/>
    <mergeCell ref="L436:M436"/>
    <mergeCell ref="O437:P437"/>
    <mergeCell ref="A434:E434"/>
    <mergeCell ref="J203:K203"/>
    <mergeCell ref="J204:K204"/>
    <mergeCell ref="L141:M141"/>
    <mergeCell ref="L196:M196"/>
    <mergeCell ref="L197:M197"/>
    <mergeCell ref="L204:M204"/>
    <mergeCell ref="A199:E199"/>
    <mergeCell ref="A201:E201"/>
    <mergeCell ref="A205:E205"/>
    <mergeCell ref="A206:E206"/>
    <mergeCell ref="A207:E207"/>
    <mergeCell ref="A208:E208"/>
    <mergeCell ref="A214:E214"/>
    <mergeCell ref="A209:E209"/>
    <mergeCell ref="A210:E210"/>
    <mergeCell ref="A211:E211"/>
    <mergeCell ref="A212:E212"/>
    <mergeCell ref="A213:E213"/>
    <mergeCell ref="H210:I210"/>
    <mergeCell ref="H212:I212"/>
    <mergeCell ref="J210:K210"/>
    <mergeCell ref="J212:K212"/>
    <mergeCell ref="L212:M212"/>
    <mergeCell ref="L210:M210"/>
    <mergeCell ref="J197:K197"/>
    <mergeCell ref="H434:I434"/>
    <mergeCell ref="J434:K434"/>
    <mergeCell ref="L434:M434"/>
    <mergeCell ref="O434:P434"/>
    <mergeCell ref="A435:E435"/>
    <mergeCell ref="A950:E950"/>
    <mergeCell ref="H950:I950"/>
    <mergeCell ref="J950:K950"/>
    <mergeCell ref="L950:M950"/>
    <mergeCell ref="O950:P950"/>
    <mergeCell ref="A951:E951"/>
    <mergeCell ref="H951:I951"/>
    <mergeCell ref="J951:K951"/>
    <mergeCell ref="L951:M951"/>
    <mergeCell ref="O951:P951"/>
    <mergeCell ref="J942:K942"/>
    <mergeCell ref="L942:M942"/>
    <mergeCell ref="O942:P942"/>
    <mergeCell ref="H944:I944"/>
    <mergeCell ref="J944:K944"/>
    <mergeCell ref="L944:M944"/>
    <mergeCell ref="O944:P944"/>
    <mergeCell ref="H945:I945"/>
    <mergeCell ref="J945:K945"/>
    <mergeCell ref="L945:M945"/>
    <mergeCell ref="O945:P945"/>
    <mergeCell ref="H946:I946"/>
    <mergeCell ref="J946:K946"/>
    <mergeCell ref="L946:M946"/>
    <mergeCell ref="O946:P946"/>
    <mergeCell ref="A948:E948"/>
    <mergeCell ref="H948:I948"/>
    <mergeCell ref="J948:K948"/>
    <mergeCell ref="L948:M948"/>
    <mergeCell ref="O948:P948"/>
    <mergeCell ref="A949:E949"/>
    <mergeCell ref="H949:I949"/>
    <mergeCell ref="A940:E940"/>
    <mergeCell ref="H940:I940"/>
    <mergeCell ref="J940:K940"/>
    <mergeCell ref="L940:M940"/>
    <mergeCell ref="O940:P940"/>
    <mergeCell ref="A941:E941"/>
    <mergeCell ref="H941:I941"/>
    <mergeCell ref="J941:K941"/>
    <mergeCell ref="L941:M941"/>
    <mergeCell ref="O941:P941"/>
    <mergeCell ref="A942:E942"/>
    <mergeCell ref="H942:I942"/>
    <mergeCell ref="J198:K198"/>
    <mergeCell ref="J200:K200"/>
    <mergeCell ref="J202:K202"/>
    <mergeCell ref="A192:E192"/>
    <mergeCell ref="H192:I192"/>
    <mergeCell ref="J192:K192"/>
    <mergeCell ref="L192:M192"/>
    <mergeCell ref="A936:E936"/>
    <mergeCell ref="H936:I936"/>
    <mergeCell ref="J936:K936"/>
    <mergeCell ref="L936:M936"/>
    <mergeCell ref="O936:P936"/>
    <mergeCell ref="A937:E937"/>
    <mergeCell ref="H937:I937"/>
    <mergeCell ref="J937:K937"/>
    <mergeCell ref="O436:P436"/>
    <mergeCell ref="A437:E437"/>
    <mergeCell ref="H437:I437"/>
    <mergeCell ref="J437:K437"/>
    <mergeCell ref="L437:M437"/>
    <mergeCell ref="J949:K949"/>
    <mergeCell ref="L949:M949"/>
    <mergeCell ref="O949:P949"/>
    <mergeCell ref="L937:M937"/>
    <mergeCell ref="O937:P937"/>
    <mergeCell ref="A938:E938"/>
    <mergeCell ref="J938:K938"/>
    <mergeCell ref="L938:M938"/>
    <mergeCell ref="O938:P938"/>
    <mergeCell ref="A939:E939"/>
    <mergeCell ref="H939:I939"/>
    <mergeCell ref="J939:K939"/>
    <mergeCell ref="L939:M939"/>
    <mergeCell ref="O939:P939"/>
    <mergeCell ref="A932:E932"/>
    <mergeCell ref="H932:I932"/>
    <mergeCell ref="J932:K932"/>
    <mergeCell ref="L932:M932"/>
    <mergeCell ref="O932:P932"/>
    <mergeCell ref="A933:E933"/>
    <mergeCell ref="H933:I933"/>
    <mergeCell ref="J933:K933"/>
    <mergeCell ref="L933:M933"/>
    <mergeCell ref="O933:P933"/>
    <mergeCell ref="A934:E934"/>
    <mergeCell ref="H934:I934"/>
    <mergeCell ref="J934:K934"/>
    <mergeCell ref="L934:M934"/>
    <mergeCell ref="O934:P934"/>
    <mergeCell ref="A935:E935"/>
    <mergeCell ref="H935:I935"/>
    <mergeCell ref="J935:K935"/>
    <mergeCell ref="L935:M935"/>
    <mergeCell ref="O935:P935"/>
    <mergeCell ref="A928:E928"/>
    <mergeCell ref="H928:I928"/>
    <mergeCell ref="J928:K928"/>
    <mergeCell ref="L928:M928"/>
    <mergeCell ref="O928:P928"/>
    <mergeCell ref="A929:E929"/>
    <mergeCell ref="H929:I929"/>
    <mergeCell ref="J929:K929"/>
    <mergeCell ref="L929:M929"/>
    <mergeCell ref="O929:P929"/>
    <mergeCell ref="A930:E930"/>
    <mergeCell ref="H930:I930"/>
    <mergeCell ref="J930:K930"/>
    <mergeCell ref="L930:M930"/>
    <mergeCell ref="O930:P930"/>
    <mergeCell ref="A931:E931"/>
    <mergeCell ref="H931:I931"/>
    <mergeCell ref="J931:K931"/>
    <mergeCell ref="L931:M931"/>
    <mergeCell ref="O931:P931"/>
    <mergeCell ref="A924:E924"/>
    <mergeCell ref="H924:I924"/>
    <mergeCell ref="J924:K924"/>
    <mergeCell ref="L924:M924"/>
    <mergeCell ref="O924:P924"/>
    <mergeCell ref="A925:E925"/>
    <mergeCell ref="H925:I925"/>
    <mergeCell ref="J925:K925"/>
    <mergeCell ref="L925:M925"/>
    <mergeCell ref="O925:P925"/>
    <mergeCell ref="A926:E926"/>
    <mergeCell ref="H926:I926"/>
    <mergeCell ref="J926:K926"/>
    <mergeCell ref="L926:M926"/>
    <mergeCell ref="O926:P926"/>
    <mergeCell ref="A927:E927"/>
    <mergeCell ref="H927:I927"/>
    <mergeCell ref="J927:K927"/>
    <mergeCell ref="L927:M927"/>
    <mergeCell ref="O927:P927"/>
    <mergeCell ref="A920:E920"/>
    <mergeCell ref="H920:I920"/>
    <mergeCell ref="J920:K920"/>
    <mergeCell ref="L920:M920"/>
    <mergeCell ref="O920:P920"/>
    <mergeCell ref="A921:E921"/>
    <mergeCell ref="H921:I921"/>
    <mergeCell ref="J921:K921"/>
    <mergeCell ref="L921:M921"/>
    <mergeCell ref="O921:P921"/>
    <mergeCell ref="A922:E922"/>
    <mergeCell ref="H922:I922"/>
    <mergeCell ref="J922:K922"/>
    <mergeCell ref="L922:M922"/>
    <mergeCell ref="O922:P922"/>
    <mergeCell ref="A923:E923"/>
    <mergeCell ref="H923:I923"/>
    <mergeCell ref="J923:K923"/>
    <mergeCell ref="L923:M923"/>
    <mergeCell ref="O923:P923"/>
    <mergeCell ref="A916:E916"/>
    <mergeCell ref="H916:I916"/>
    <mergeCell ref="J916:K916"/>
    <mergeCell ref="L916:M916"/>
    <mergeCell ref="O916:P916"/>
    <mergeCell ref="A917:E917"/>
    <mergeCell ref="H917:I917"/>
    <mergeCell ref="J917:K917"/>
    <mergeCell ref="L917:M917"/>
    <mergeCell ref="O917:P917"/>
    <mergeCell ref="A918:E918"/>
    <mergeCell ref="H918:I918"/>
    <mergeCell ref="J918:K918"/>
    <mergeCell ref="L918:M918"/>
    <mergeCell ref="O918:P918"/>
    <mergeCell ref="A919:E919"/>
    <mergeCell ref="H919:I919"/>
    <mergeCell ref="J919:K919"/>
    <mergeCell ref="L919:M919"/>
    <mergeCell ref="O919:P919"/>
    <mergeCell ref="A912:E912"/>
    <mergeCell ref="H912:I912"/>
    <mergeCell ref="J912:K912"/>
    <mergeCell ref="L912:M912"/>
    <mergeCell ref="O912:P912"/>
    <mergeCell ref="A913:E913"/>
    <mergeCell ref="H913:I913"/>
    <mergeCell ref="J913:K913"/>
    <mergeCell ref="L913:M913"/>
    <mergeCell ref="O913:P913"/>
    <mergeCell ref="A914:E914"/>
    <mergeCell ref="H914:I914"/>
    <mergeCell ref="J914:K914"/>
    <mergeCell ref="L914:M914"/>
    <mergeCell ref="O914:P914"/>
    <mergeCell ref="A915:E915"/>
    <mergeCell ref="H915:I915"/>
    <mergeCell ref="J915:K915"/>
    <mergeCell ref="L915:M915"/>
    <mergeCell ref="O915:P915"/>
    <mergeCell ref="A908:E908"/>
    <mergeCell ref="H908:I908"/>
    <mergeCell ref="J908:K908"/>
    <mergeCell ref="L908:M908"/>
    <mergeCell ref="O908:P908"/>
    <mergeCell ref="A909:E909"/>
    <mergeCell ref="H909:I909"/>
    <mergeCell ref="J909:K909"/>
    <mergeCell ref="L909:M909"/>
    <mergeCell ref="O909:P909"/>
    <mergeCell ref="A910:E910"/>
    <mergeCell ref="H910:I910"/>
    <mergeCell ref="J910:K910"/>
    <mergeCell ref="L910:M910"/>
    <mergeCell ref="O910:P910"/>
    <mergeCell ref="A911:E911"/>
    <mergeCell ref="H911:I911"/>
    <mergeCell ref="J911:K911"/>
    <mergeCell ref="L911:M911"/>
    <mergeCell ref="O911:P911"/>
    <mergeCell ref="A904:E904"/>
    <mergeCell ref="H904:I904"/>
    <mergeCell ref="J904:K904"/>
    <mergeCell ref="L904:M904"/>
    <mergeCell ref="O904:P904"/>
    <mergeCell ref="A905:E905"/>
    <mergeCell ref="H905:I905"/>
    <mergeCell ref="J905:K905"/>
    <mergeCell ref="L905:M905"/>
    <mergeCell ref="O905:P905"/>
    <mergeCell ref="A906:E906"/>
    <mergeCell ref="H906:I906"/>
    <mergeCell ref="J906:K906"/>
    <mergeCell ref="L906:M906"/>
    <mergeCell ref="O906:P906"/>
    <mergeCell ref="A907:E907"/>
    <mergeCell ref="H907:I907"/>
    <mergeCell ref="J907:K907"/>
    <mergeCell ref="L907:M907"/>
    <mergeCell ref="O907:P907"/>
    <mergeCell ref="A900:E900"/>
    <mergeCell ref="H900:I900"/>
    <mergeCell ref="J900:K900"/>
    <mergeCell ref="L900:M900"/>
    <mergeCell ref="O900:P900"/>
    <mergeCell ref="A901:E901"/>
    <mergeCell ref="H901:I901"/>
    <mergeCell ref="J901:K901"/>
    <mergeCell ref="L901:M901"/>
    <mergeCell ref="O901:P901"/>
    <mergeCell ref="A902:E902"/>
    <mergeCell ref="H902:I902"/>
    <mergeCell ref="J902:K902"/>
    <mergeCell ref="L902:M902"/>
    <mergeCell ref="O902:P902"/>
    <mergeCell ref="A903:E903"/>
    <mergeCell ref="H903:I903"/>
    <mergeCell ref="J903:K903"/>
    <mergeCell ref="L903:M903"/>
    <mergeCell ref="O903:P903"/>
    <mergeCell ref="A896:E896"/>
    <mergeCell ref="H896:I896"/>
    <mergeCell ref="J896:K896"/>
    <mergeCell ref="L896:M896"/>
    <mergeCell ref="O896:P896"/>
    <mergeCell ref="A897:E897"/>
    <mergeCell ref="H897:I897"/>
    <mergeCell ref="J897:K897"/>
    <mergeCell ref="L897:M897"/>
    <mergeCell ref="O897:P897"/>
    <mergeCell ref="A898:E898"/>
    <mergeCell ref="H898:I898"/>
    <mergeCell ref="J898:K898"/>
    <mergeCell ref="L898:M898"/>
    <mergeCell ref="O898:P898"/>
    <mergeCell ref="A899:E899"/>
    <mergeCell ref="H899:I899"/>
    <mergeCell ref="J899:K899"/>
    <mergeCell ref="L899:M899"/>
    <mergeCell ref="O899:P899"/>
    <mergeCell ref="A892:E892"/>
    <mergeCell ref="H892:I892"/>
    <mergeCell ref="J892:K892"/>
    <mergeCell ref="L892:M892"/>
    <mergeCell ref="O892:P892"/>
    <mergeCell ref="A893:E893"/>
    <mergeCell ref="H893:I893"/>
    <mergeCell ref="J893:K893"/>
    <mergeCell ref="L893:M893"/>
    <mergeCell ref="O893:P893"/>
    <mergeCell ref="A894:E894"/>
    <mergeCell ref="H894:I894"/>
    <mergeCell ref="J894:K894"/>
    <mergeCell ref="L894:M894"/>
    <mergeCell ref="O894:P894"/>
    <mergeCell ref="A895:E895"/>
    <mergeCell ref="H895:I895"/>
    <mergeCell ref="J895:K895"/>
    <mergeCell ref="L895:M895"/>
    <mergeCell ref="O895:P895"/>
    <mergeCell ref="A888:E888"/>
    <mergeCell ref="H888:I888"/>
    <mergeCell ref="J888:K888"/>
    <mergeCell ref="L888:M888"/>
    <mergeCell ref="O888:P888"/>
    <mergeCell ref="A889:E889"/>
    <mergeCell ref="H889:I889"/>
    <mergeCell ref="J889:K889"/>
    <mergeCell ref="L889:M889"/>
    <mergeCell ref="O889:P889"/>
    <mergeCell ref="A890:E890"/>
    <mergeCell ref="H890:I890"/>
    <mergeCell ref="J890:K890"/>
    <mergeCell ref="L890:M890"/>
    <mergeCell ref="O890:P890"/>
    <mergeCell ref="A891:E891"/>
    <mergeCell ref="H891:I891"/>
    <mergeCell ref="J891:K891"/>
    <mergeCell ref="L891:M891"/>
    <mergeCell ref="O891:P891"/>
    <mergeCell ref="A884:E884"/>
    <mergeCell ref="H884:I884"/>
    <mergeCell ref="J884:K884"/>
    <mergeCell ref="L884:M884"/>
    <mergeCell ref="O884:P884"/>
    <mergeCell ref="A885:E885"/>
    <mergeCell ref="H885:I885"/>
    <mergeCell ref="J885:K885"/>
    <mergeCell ref="L885:M885"/>
    <mergeCell ref="O885:P885"/>
    <mergeCell ref="A886:E886"/>
    <mergeCell ref="H886:I886"/>
    <mergeCell ref="J886:K886"/>
    <mergeCell ref="L886:M886"/>
    <mergeCell ref="O886:P886"/>
    <mergeCell ref="A887:E887"/>
    <mergeCell ref="H887:I887"/>
    <mergeCell ref="J887:K887"/>
    <mergeCell ref="L887:M887"/>
    <mergeCell ref="O887:P887"/>
    <mergeCell ref="A880:E880"/>
    <mergeCell ref="H880:I880"/>
    <mergeCell ref="J880:K880"/>
    <mergeCell ref="L880:M880"/>
    <mergeCell ref="O880:P880"/>
    <mergeCell ref="A881:E881"/>
    <mergeCell ref="H881:I881"/>
    <mergeCell ref="J881:K881"/>
    <mergeCell ref="L881:M881"/>
    <mergeCell ref="O881:P881"/>
    <mergeCell ref="A882:E882"/>
    <mergeCell ref="H882:I882"/>
    <mergeCell ref="J882:K882"/>
    <mergeCell ref="L882:M882"/>
    <mergeCell ref="O882:P882"/>
    <mergeCell ref="A883:E883"/>
    <mergeCell ref="H883:I883"/>
    <mergeCell ref="J883:K883"/>
    <mergeCell ref="L883:M883"/>
    <mergeCell ref="O883:P883"/>
    <mergeCell ref="A876:E876"/>
    <mergeCell ref="H876:I876"/>
    <mergeCell ref="J876:K876"/>
    <mergeCell ref="L876:M876"/>
    <mergeCell ref="O876:P876"/>
    <mergeCell ref="A877:E877"/>
    <mergeCell ref="H877:I877"/>
    <mergeCell ref="J877:K877"/>
    <mergeCell ref="L877:M877"/>
    <mergeCell ref="O877:P877"/>
    <mergeCell ref="A878:E878"/>
    <mergeCell ref="H878:I878"/>
    <mergeCell ref="J878:K878"/>
    <mergeCell ref="L878:M878"/>
    <mergeCell ref="O878:P878"/>
    <mergeCell ref="A879:E879"/>
    <mergeCell ref="H879:I879"/>
    <mergeCell ref="J879:K879"/>
    <mergeCell ref="L879:M879"/>
    <mergeCell ref="O879:P879"/>
    <mergeCell ref="A872:E872"/>
    <mergeCell ref="H872:I872"/>
    <mergeCell ref="J872:K872"/>
    <mergeCell ref="L872:M872"/>
    <mergeCell ref="O872:P872"/>
    <mergeCell ref="A873:E873"/>
    <mergeCell ref="H873:I873"/>
    <mergeCell ref="J873:K873"/>
    <mergeCell ref="L873:M873"/>
    <mergeCell ref="O873:P873"/>
    <mergeCell ref="A874:E874"/>
    <mergeCell ref="H874:I874"/>
    <mergeCell ref="J874:K874"/>
    <mergeCell ref="L874:M874"/>
    <mergeCell ref="O874:P874"/>
    <mergeCell ref="A875:E875"/>
    <mergeCell ref="H875:I875"/>
    <mergeCell ref="J875:K875"/>
    <mergeCell ref="L875:M875"/>
    <mergeCell ref="O875:P875"/>
    <mergeCell ref="J659:K659"/>
    <mergeCell ref="L659:M659"/>
    <mergeCell ref="O659:P659"/>
    <mergeCell ref="A660:E660"/>
    <mergeCell ref="H660:I660"/>
    <mergeCell ref="J660:K660"/>
    <mergeCell ref="L660:M660"/>
    <mergeCell ref="O660:P660"/>
    <mergeCell ref="H113:I113"/>
    <mergeCell ref="J113:K113"/>
    <mergeCell ref="L113:M113"/>
    <mergeCell ref="O113:P113"/>
    <mergeCell ref="J74:K74"/>
    <mergeCell ref="L74:M74"/>
    <mergeCell ref="O74:P74"/>
    <mergeCell ref="H264:I264"/>
    <mergeCell ref="J264:K264"/>
    <mergeCell ref="L264:M264"/>
    <mergeCell ref="O264:P264"/>
    <mergeCell ref="H265:I265"/>
    <mergeCell ref="J265:K265"/>
    <mergeCell ref="L265:M265"/>
    <mergeCell ref="O265:P265"/>
    <mergeCell ref="J75:K75"/>
    <mergeCell ref="L75:M75"/>
    <mergeCell ref="O75:P75"/>
    <mergeCell ref="A408:E408"/>
    <mergeCell ref="H408:I408"/>
    <mergeCell ref="J408:K408"/>
    <mergeCell ref="L408:M408"/>
    <mergeCell ref="O408:P408"/>
    <mergeCell ref="A653:E653"/>
    <mergeCell ref="A1156:P1156"/>
    <mergeCell ref="A1157:P1157"/>
    <mergeCell ref="A1158:P1158"/>
    <mergeCell ref="A1159:P1159"/>
    <mergeCell ref="A1150:P1150"/>
    <mergeCell ref="A1151:P1151"/>
    <mergeCell ref="A1152:P1152"/>
    <mergeCell ref="A1153:P1153"/>
    <mergeCell ref="A1154:P1154"/>
    <mergeCell ref="A1155:P1155"/>
    <mergeCell ref="A1144:P1144"/>
    <mergeCell ref="A1145:P1145"/>
    <mergeCell ref="A1146:P1146"/>
    <mergeCell ref="A1147:P1147"/>
    <mergeCell ref="A1148:P1148"/>
    <mergeCell ref="A1149:P1149"/>
    <mergeCell ref="A1138:P1138"/>
    <mergeCell ref="A1139:P1139"/>
    <mergeCell ref="A1140:P1140"/>
    <mergeCell ref="A1141:P1141"/>
    <mergeCell ref="A1142:P1142"/>
    <mergeCell ref="A1143:P1143"/>
    <mergeCell ref="A1132:P1132"/>
    <mergeCell ref="A1133:P1133"/>
    <mergeCell ref="A1134:P1134"/>
    <mergeCell ref="A1135:P1135"/>
    <mergeCell ref="A1136:P1136"/>
    <mergeCell ref="A1137:P1137"/>
    <mergeCell ref="A1126:P1126"/>
    <mergeCell ref="A1127:P1127"/>
    <mergeCell ref="A1128:P1128"/>
    <mergeCell ref="A1129:P1129"/>
    <mergeCell ref="A1130:P1130"/>
    <mergeCell ref="A1131:P1131"/>
    <mergeCell ref="A1120:P1120"/>
    <mergeCell ref="A1121:P1121"/>
    <mergeCell ref="A1122:P1122"/>
    <mergeCell ref="A1123:P1123"/>
    <mergeCell ref="A1124:P1124"/>
    <mergeCell ref="A1125:P1125"/>
    <mergeCell ref="A1114:P1114"/>
    <mergeCell ref="A1115:P1115"/>
    <mergeCell ref="A1116:P1116"/>
    <mergeCell ref="A1117:P1117"/>
    <mergeCell ref="A1118:P1118"/>
    <mergeCell ref="A1119:P1119"/>
    <mergeCell ref="A1108:P1108"/>
    <mergeCell ref="A1109:P1109"/>
    <mergeCell ref="A1110:P1110"/>
    <mergeCell ref="A1111:P1111"/>
    <mergeCell ref="A1112:P1112"/>
    <mergeCell ref="A1113:P1113"/>
    <mergeCell ref="A1102:P1102"/>
    <mergeCell ref="A1103:P1103"/>
    <mergeCell ref="A1104:P1104"/>
    <mergeCell ref="A1105:P1105"/>
    <mergeCell ref="A1106:P1106"/>
    <mergeCell ref="A1107:P1107"/>
    <mergeCell ref="A1096:P1096"/>
    <mergeCell ref="A1097:P1097"/>
    <mergeCell ref="A1098:P1098"/>
    <mergeCell ref="A1099:P1099"/>
    <mergeCell ref="A1100:P1100"/>
    <mergeCell ref="A1101:P1101"/>
    <mergeCell ref="A1090:P1090"/>
    <mergeCell ref="A1091:P1091"/>
    <mergeCell ref="A1092:P1092"/>
    <mergeCell ref="A1093:P1093"/>
    <mergeCell ref="A1094:P1094"/>
    <mergeCell ref="A1095:P1095"/>
    <mergeCell ref="A1084:P1084"/>
    <mergeCell ref="A1085:P1085"/>
    <mergeCell ref="A1086:P1086"/>
    <mergeCell ref="A1087:P1087"/>
    <mergeCell ref="A1088:P1088"/>
    <mergeCell ref="A1089:P1089"/>
    <mergeCell ref="A1078:P1078"/>
    <mergeCell ref="A1079:P1079"/>
    <mergeCell ref="A1080:P1080"/>
    <mergeCell ref="A1081:P1081"/>
    <mergeCell ref="A1082:P1082"/>
    <mergeCell ref="A1083:P1083"/>
    <mergeCell ref="A1072:P1072"/>
    <mergeCell ref="A1073:P1073"/>
    <mergeCell ref="A1074:P1074"/>
    <mergeCell ref="A1075:P1075"/>
    <mergeCell ref="A1076:P1076"/>
    <mergeCell ref="A1077:P1077"/>
    <mergeCell ref="A1066:P1066"/>
    <mergeCell ref="A1067:P1067"/>
    <mergeCell ref="A1068:P1068"/>
    <mergeCell ref="A1069:P1069"/>
    <mergeCell ref="A1070:P1070"/>
    <mergeCell ref="A1071:P1071"/>
    <mergeCell ref="A1060:P1060"/>
    <mergeCell ref="A1061:P1061"/>
    <mergeCell ref="A1062:P1062"/>
    <mergeCell ref="A1063:P1063"/>
    <mergeCell ref="A1064:P1064"/>
    <mergeCell ref="A1065:P1065"/>
    <mergeCell ref="A1054:P1054"/>
    <mergeCell ref="A1055:P1055"/>
    <mergeCell ref="A1056:P1056"/>
    <mergeCell ref="A1057:P1057"/>
    <mergeCell ref="A1058:P1058"/>
    <mergeCell ref="A1059:P1059"/>
    <mergeCell ref="A1048:P1048"/>
    <mergeCell ref="A1049:P1049"/>
    <mergeCell ref="A1050:P1050"/>
    <mergeCell ref="A1051:P1051"/>
    <mergeCell ref="A1052:P1052"/>
    <mergeCell ref="A1053:P1053"/>
    <mergeCell ref="A1042:P1042"/>
    <mergeCell ref="A1043:P1043"/>
    <mergeCell ref="A1044:P1044"/>
    <mergeCell ref="A1045:P1045"/>
    <mergeCell ref="A1046:P1046"/>
    <mergeCell ref="A1047:P1047"/>
    <mergeCell ref="A1036:P1036"/>
    <mergeCell ref="A1037:P1037"/>
    <mergeCell ref="A1038:P1038"/>
    <mergeCell ref="A1039:P1039"/>
    <mergeCell ref="A1040:P1040"/>
    <mergeCell ref="A1041:P1041"/>
    <mergeCell ref="A1030:P1030"/>
    <mergeCell ref="A1031:P1031"/>
    <mergeCell ref="A1032:P1032"/>
    <mergeCell ref="A1033:P1033"/>
    <mergeCell ref="A1034:P1034"/>
    <mergeCell ref="A1035:P1035"/>
    <mergeCell ref="A1025:P1025"/>
    <mergeCell ref="A1026:P1026"/>
    <mergeCell ref="A1027:P1027"/>
    <mergeCell ref="A1028:P1028"/>
    <mergeCell ref="A1029:P1029"/>
    <mergeCell ref="A1018:P1018"/>
    <mergeCell ref="A1019:P1019"/>
    <mergeCell ref="A1020:P1020"/>
    <mergeCell ref="A1021:P1021"/>
    <mergeCell ref="A1022:P1022"/>
    <mergeCell ref="A1023:P1023"/>
    <mergeCell ref="A1012:P1012"/>
    <mergeCell ref="A1013:P1013"/>
    <mergeCell ref="A1014:P1014"/>
    <mergeCell ref="A1015:P1015"/>
    <mergeCell ref="A1016:P1016"/>
    <mergeCell ref="A1017:P1017"/>
    <mergeCell ref="A1008:P1008"/>
    <mergeCell ref="A1009:P1009"/>
    <mergeCell ref="A1010:P1010"/>
    <mergeCell ref="A1011:P1011"/>
    <mergeCell ref="A1000:P1000"/>
    <mergeCell ref="A1001:P1001"/>
    <mergeCell ref="A1002:P1002"/>
    <mergeCell ref="A1003:P1003"/>
    <mergeCell ref="A1004:P1004"/>
    <mergeCell ref="A1005:P1005"/>
    <mergeCell ref="A994:P994"/>
    <mergeCell ref="A995:P995"/>
    <mergeCell ref="A996:P996"/>
    <mergeCell ref="A997:P997"/>
    <mergeCell ref="A998:P998"/>
    <mergeCell ref="A999:P999"/>
    <mergeCell ref="A1024:P1024"/>
    <mergeCell ref="A991:P991"/>
    <mergeCell ref="A992:P992"/>
    <mergeCell ref="A993:P993"/>
    <mergeCell ref="A982:P982"/>
    <mergeCell ref="A983:P983"/>
    <mergeCell ref="A984:P984"/>
    <mergeCell ref="A985:P985"/>
    <mergeCell ref="A986:P986"/>
    <mergeCell ref="A987:P987"/>
    <mergeCell ref="A976:P976"/>
    <mergeCell ref="A977:P977"/>
    <mergeCell ref="A978:P978"/>
    <mergeCell ref="A979:P979"/>
    <mergeCell ref="A980:P980"/>
    <mergeCell ref="A981:P981"/>
    <mergeCell ref="A1006:P1006"/>
    <mergeCell ref="A1007:P1007"/>
    <mergeCell ref="A970:P970"/>
    <mergeCell ref="A971:P971"/>
    <mergeCell ref="A972:P972"/>
    <mergeCell ref="A973:P973"/>
    <mergeCell ref="A974:P974"/>
    <mergeCell ref="A975:P975"/>
    <mergeCell ref="A968:E968"/>
    <mergeCell ref="H968:I968"/>
    <mergeCell ref="J968:K968"/>
    <mergeCell ref="L968:M968"/>
    <mergeCell ref="A969:E969"/>
    <mergeCell ref="H969:I969"/>
    <mergeCell ref="J969:K969"/>
    <mergeCell ref="L969:M969"/>
    <mergeCell ref="A988:P988"/>
    <mergeCell ref="A989:P989"/>
    <mergeCell ref="A990:P990"/>
    <mergeCell ref="O870:P870"/>
    <mergeCell ref="A871:E871"/>
    <mergeCell ref="H871:I871"/>
    <mergeCell ref="J871:K871"/>
    <mergeCell ref="L871:M871"/>
    <mergeCell ref="O871:P871"/>
    <mergeCell ref="A868:E868"/>
    <mergeCell ref="H868:I868"/>
    <mergeCell ref="J868:K868"/>
    <mergeCell ref="L868:M868"/>
    <mergeCell ref="O868:P868"/>
    <mergeCell ref="A869:E869"/>
    <mergeCell ref="H869:I869"/>
    <mergeCell ref="J869:K869"/>
    <mergeCell ref="L869:M869"/>
    <mergeCell ref="O869:P869"/>
    <mergeCell ref="A866:E866"/>
    <mergeCell ref="H866:I866"/>
    <mergeCell ref="J866:K866"/>
    <mergeCell ref="L866:M866"/>
    <mergeCell ref="O866:P866"/>
    <mergeCell ref="A867:E867"/>
    <mergeCell ref="H867:I867"/>
    <mergeCell ref="J867:K867"/>
    <mergeCell ref="L867:M867"/>
    <mergeCell ref="O867:P867"/>
    <mergeCell ref="A870:E870"/>
    <mergeCell ref="H870:I870"/>
    <mergeCell ref="J870:K870"/>
    <mergeCell ref="L870:M870"/>
    <mergeCell ref="A864:E864"/>
    <mergeCell ref="H864:I864"/>
    <mergeCell ref="J864:K864"/>
    <mergeCell ref="L864:M864"/>
    <mergeCell ref="O864:P864"/>
    <mergeCell ref="A865:E865"/>
    <mergeCell ref="H865:I865"/>
    <mergeCell ref="J865:K865"/>
    <mergeCell ref="L865:M865"/>
    <mergeCell ref="O865:P865"/>
    <mergeCell ref="A862:E862"/>
    <mergeCell ref="H862:I862"/>
    <mergeCell ref="J862:K862"/>
    <mergeCell ref="L862:M862"/>
    <mergeCell ref="O862:P862"/>
    <mergeCell ref="A863:E863"/>
    <mergeCell ref="H863:I863"/>
    <mergeCell ref="J863:K863"/>
    <mergeCell ref="L863:M863"/>
    <mergeCell ref="O863:P863"/>
    <mergeCell ref="A860:E860"/>
    <mergeCell ref="H860:I860"/>
    <mergeCell ref="J860:K860"/>
    <mergeCell ref="L860:M860"/>
    <mergeCell ref="O860:P860"/>
    <mergeCell ref="A861:E861"/>
    <mergeCell ref="H861:I861"/>
    <mergeCell ref="J861:K861"/>
    <mergeCell ref="L861:M861"/>
    <mergeCell ref="O861:P861"/>
    <mergeCell ref="A858:E858"/>
    <mergeCell ref="H858:I858"/>
    <mergeCell ref="J858:K858"/>
    <mergeCell ref="L858:M858"/>
    <mergeCell ref="O858:P858"/>
    <mergeCell ref="A859:E859"/>
    <mergeCell ref="H859:I859"/>
    <mergeCell ref="J859:K859"/>
    <mergeCell ref="L859:M859"/>
    <mergeCell ref="O859:P859"/>
    <mergeCell ref="A856:E856"/>
    <mergeCell ref="H856:I856"/>
    <mergeCell ref="J856:K856"/>
    <mergeCell ref="L856:M856"/>
    <mergeCell ref="O856:P856"/>
    <mergeCell ref="A857:E857"/>
    <mergeCell ref="H857:I857"/>
    <mergeCell ref="J857:K857"/>
    <mergeCell ref="L857:M857"/>
    <mergeCell ref="O857:P857"/>
    <mergeCell ref="A854:E854"/>
    <mergeCell ref="H854:I854"/>
    <mergeCell ref="J854:K854"/>
    <mergeCell ref="L854:M854"/>
    <mergeCell ref="O854:P854"/>
    <mergeCell ref="A855:E855"/>
    <mergeCell ref="H855:I855"/>
    <mergeCell ref="J855:K855"/>
    <mergeCell ref="L855:M855"/>
    <mergeCell ref="O855:P855"/>
    <mergeCell ref="A852:E852"/>
    <mergeCell ref="H852:I852"/>
    <mergeCell ref="J852:K852"/>
    <mergeCell ref="L852:M852"/>
    <mergeCell ref="O852:P852"/>
    <mergeCell ref="A853:E853"/>
    <mergeCell ref="H853:I853"/>
    <mergeCell ref="J853:K853"/>
    <mergeCell ref="L853:M853"/>
    <mergeCell ref="O853:P853"/>
    <mergeCell ref="A850:E850"/>
    <mergeCell ref="H850:I850"/>
    <mergeCell ref="J850:K850"/>
    <mergeCell ref="L850:M850"/>
    <mergeCell ref="O850:P850"/>
    <mergeCell ref="A851:E851"/>
    <mergeCell ref="H851:I851"/>
    <mergeCell ref="J851:K851"/>
    <mergeCell ref="L851:M851"/>
    <mergeCell ref="O851:P851"/>
    <mergeCell ref="A848:E848"/>
    <mergeCell ref="H848:I848"/>
    <mergeCell ref="J848:K848"/>
    <mergeCell ref="L848:M848"/>
    <mergeCell ref="O848:P848"/>
    <mergeCell ref="A849:E849"/>
    <mergeCell ref="H849:I849"/>
    <mergeCell ref="J849:K849"/>
    <mergeCell ref="L849:M849"/>
    <mergeCell ref="O849:P849"/>
    <mergeCell ref="A846:E846"/>
    <mergeCell ref="H846:I846"/>
    <mergeCell ref="J846:K846"/>
    <mergeCell ref="L846:M846"/>
    <mergeCell ref="O846:P846"/>
    <mergeCell ref="A847:E847"/>
    <mergeCell ref="H847:I847"/>
    <mergeCell ref="J847:K847"/>
    <mergeCell ref="L847:M847"/>
    <mergeCell ref="O847:P847"/>
    <mergeCell ref="A844:E844"/>
    <mergeCell ref="H844:I844"/>
    <mergeCell ref="J844:K844"/>
    <mergeCell ref="L844:M844"/>
    <mergeCell ref="O844:P844"/>
    <mergeCell ref="A845:E845"/>
    <mergeCell ref="H845:I845"/>
    <mergeCell ref="J845:K845"/>
    <mergeCell ref="L845:M845"/>
    <mergeCell ref="O845:P845"/>
    <mergeCell ref="A842:E842"/>
    <mergeCell ref="H842:I842"/>
    <mergeCell ref="J842:K842"/>
    <mergeCell ref="L842:M842"/>
    <mergeCell ref="O842:P842"/>
    <mergeCell ref="A843:E843"/>
    <mergeCell ref="H843:I843"/>
    <mergeCell ref="J843:K843"/>
    <mergeCell ref="L843:M843"/>
    <mergeCell ref="O843:P843"/>
    <mergeCell ref="A840:E840"/>
    <mergeCell ref="H840:I840"/>
    <mergeCell ref="J840:K840"/>
    <mergeCell ref="L840:M840"/>
    <mergeCell ref="O840:P840"/>
    <mergeCell ref="A841:E841"/>
    <mergeCell ref="H841:I841"/>
    <mergeCell ref="J841:K841"/>
    <mergeCell ref="L841:M841"/>
    <mergeCell ref="O841:P841"/>
    <mergeCell ref="A838:E838"/>
    <mergeCell ref="H838:I838"/>
    <mergeCell ref="J838:K838"/>
    <mergeCell ref="L838:M838"/>
    <mergeCell ref="O838:P838"/>
    <mergeCell ref="A839:E839"/>
    <mergeCell ref="H839:I839"/>
    <mergeCell ref="J839:K839"/>
    <mergeCell ref="L839:M839"/>
    <mergeCell ref="O839:P839"/>
    <mergeCell ref="A833:E833"/>
    <mergeCell ref="H833:I833"/>
    <mergeCell ref="J833:K833"/>
    <mergeCell ref="L833:M833"/>
    <mergeCell ref="O833:P833"/>
    <mergeCell ref="A836:E836"/>
    <mergeCell ref="H836:I836"/>
    <mergeCell ref="J836:K836"/>
    <mergeCell ref="L836:M836"/>
    <mergeCell ref="O836:P836"/>
    <mergeCell ref="A837:E837"/>
    <mergeCell ref="H837:I837"/>
    <mergeCell ref="J837:K837"/>
    <mergeCell ref="L837:M837"/>
    <mergeCell ref="O837:P837"/>
    <mergeCell ref="A834:E834"/>
    <mergeCell ref="H834:I834"/>
    <mergeCell ref="J834:K834"/>
    <mergeCell ref="L834:M834"/>
    <mergeCell ref="O834:P834"/>
    <mergeCell ref="A835:E835"/>
    <mergeCell ref="H835:I835"/>
    <mergeCell ref="J835:K835"/>
    <mergeCell ref="L835:M835"/>
    <mergeCell ref="O835:P835"/>
    <mergeCell ref="A831:E831"/>
    <mergeCell ref="H831:I831"/>
    <mergeCell ref="J831:K831"/>
    <mergeCell ref="L831:M831"/>
    <mergeCell ref="O831:P831"/>
    <mergeCell ref="A829:E829"/>
    <mergeCell ref="H829:I829"/>
    <mergeCell ref="J829:K829"/>
    <mergeCell ref="L829:M829"/>
    <mergeCell ref="O829:P829"/>
    <mergeCell ref="A830:E830"/>
    <mergeCell ref="H830:I830"/>
    <mergeCell ref="J830:K830"/>
    <mergeCell ref="L830:M830"/>
    <mergeCell ref="O830:P830"/>
    <mergeCell ref="A832:E832"/>
    <mergeCell ref="H832:I832"/>
    <mergeCell ref="J832:K832"/>
    <mergeCell ref="L832:M832"/>
    <mergeCell ref="O832:P832"/>
    <mergeCell ref="A827:E827"/>
    <mergeCell ref="H827:I827"/>
    <mergeCell ref="J827:K827"/>
    <mergeCell ref="L827:M827"/>
    <mergeCell ref="O827:P827"/>
    <mergeCell ref="A828:E828"/>
    <mergeCell ref="H828:I828"/>
    <mergeCell ref="J828:K828"/>
    <mergeCell ref="L828:M828"/>
    <mergeCell ref="O828:P828"/>
    <mergeCell ref="A825:E825"/>
    <mergeCell ref="H825:I825"/>
    <mergeCell ref="J825:K825"/>
    <mergeCell ref="L825:M825"/>
    <mergeCell ref="O825:P825"/>
    <mergeCell ref="A826:E826"/>
    <mergeCell ref="H826:I826"/>
    <mergeCell ref="J826:K826"/>
    <mergeCell ref="L826:M826"/>
    <mergeCell ref="O826:P826"/>
    <mergeCell ref="A823:E823"/>
    <mergeCell ref="H823:I823"/>
    <mergeCell ref="J823:K823"/>
    <mergeCell ref="L823:M823"/>
    <mergeCell ref="O823:P823"/>
    <mergeCell ref="A824:E824"/>
    <mergeCell ref="H824:I824"/>
    <mergeCell ref="J824:K824"/>
    <mergeCell ref="L824:M824"/>
    <mergeCell ref="O824:P824"/>
    <mergeCell ref="A821:E821"/>
    <mergeCell ref="H821:I821"/>
    <mergeCell ref="J821:K821"/>
    <mergeCell ref="L821:M821"/>
    <mergeCell ref="O821:P821"/>
    <mergeCell ref="A822:E822"/>
    <mergeCell ref="H822:I822"/>
    <mergeCell ref="J822:K822"/>
    <mergeCell ref="L822:M822"/>
    <mergeCell ref="O822:P822"/>
    <mergeCell ref="A819:E819"/>
    <mergeCell ref="H819:I819"/>
    <mergeCell ref="J819:K819"/>
    <mergeCell ref="L819:M819"/>
    <mergeCell ref="O819:P819"/>
    <mergeCell ref="A820:E820"/>
    <mergeCell ref="H820:I820"/>
    <mergeCell ref="J820:K820"/>
    <mergeCell ref="L820:M820"/>
    <mergeCell ref="O820:P820"/>
    <mergeCell ref="A817:E817"/>
    <mergeCell ref="H817:I817"/>
    <mergeCell ref="J817:K817"/>
    <mergeCell ref="L817:M817"/>
    <mergeCell ref="O817:P817"/>
    <mergeCell ref="A818:E818"/>
    <mergeCell ref="H818:I818"/>
    <mergeCell ref="J818:K818"/>
    <mergeCell ref="L818:M818"/>
    <mergeCell ref="O818:P818"/>
    <mergeCell ref="A815:E815"/>
    <mergeCell ref="H815:I815"/>
    <mergeCell ref="J815:K815"/>
    <mergeCell ref="L815:M815"/>
    <mergeCell ref="O815:P815"/>
    <mergeCell ref="A816:E816"/>
    <mergeCell ref="H816:I816"/>
    <mergeCell ref="J816:K816"/>
    <mergeCell ref="L816:M816"/>
    <mergeCell ref="O816:P816"/>
    <mergeCell ref="A813:E813"/>
    <mergeCell ref="H813:I813"/>
    <mergeCell ref="J813:K813"/>
    <mergeCell ref="L813:M813"/>
    <mergeCell ref="O813:P813"/>
    <mergeCell ref="A814:E814"/>
    <mergeCell ref="H814:I814"/>
    <mergeCell ref="J814:K814"/>
    <mergeCell ref="L814:M814"/>
    <mergeCell ref="O814:P814"/>
    <mergeCell ref="A811:E811"/>
    <mergeCell ref="H811:I811"/>
    <mergeCell ref="J811:K811"/>
    <mergeCell ref="L811:M811"/>
    <mergeCell ref="O811:P811"/>
    <mergeCell ref="A812:E812"/>
    <mergeCell ref="H812:I812"/>
    <mergeCell ref="J812:K812"/>
    <mergeCell ref="L812:M812"/>
    <mergeCell ref="O812:P812"/>
    <mergeCell ref="A809:E809"/>
    <mergeCell ref="H809:I809"/>
    <mergeCell ref="J809:K809"/>
    <mergeCell ref="L809:M809"/>
    <mergeCell ref="O809:P809"/>
    <mergeCell ref="A810:E810"/>
    <mergeCell ref="H810:I810"/>
    <mergeCell ref="J810:K810"/>
    <mergeCell ref="L810:M810"/>
    <mergeCell ref="O810:P810"/>
    <mergeCell ref="A807:E807"/>
    <mergeCell ref="H807:I807"/>
    <mergeCell ref="J807:K807"/>
    <mergeCell ref="L807:M807"/>
    <mergeCell ref="O807:P807"/>
    <mergeCell ref="A808:E808"/>
    <mergeCell ref="H808:I808"/>
    <mergeCell ref="J808:K808"/>
    <mergeCell ref="L808:M808"/>
    <mergeCell ref="O808:P808"/>
    <mergeCell ref="A805:E805"/>
    <mergeCell ref="H805:I805"/>
    <mergeCell ref="J805:K805"/>
    <mergeCell ref="L805:M805"/>
    <mergeCell ref="O805:P805"/>
    <mergeCell ref="A806:E806"/>
    <mergeCell ref="H806:I806"/>
    <mergeCell ref="J806:K806"/>
    <mergeCell ref="L806:M806"/>
    <mergeCell ref="O806:P806"/>
    <mergeCell ref="A803:E803"/>
    <mergeCell ref="H803:I803"/>
    <mergeCell ref="J803:K803"/>
    <mergeCell ref="L803:M803"/>
    <mergeCell ref="O803:P803"/>
    <mergeCell ref="A804:E804"/>
    <mergeCell ref="H804:I804"/>
    <mergeCell ref="J804:K804"/>
    <mergeCell ref="L804:M804"/>
    <mergeCell ref="O804:P804"/>
    <mergeCell ref="A801:E801"/>
    <mergeCell ref="H801:I801"/>
    <mergeCell ref="J801:K801"/>
    <mergeCell ref="L801:M801"/>
    <mergeCell ref="O801:P801"/>
    <mergeCell ref="A802:E802"/>
    <mergeCell ref="H802:I802"/>
    <mergeCell ref="J802:K802"/>
    <mergeCell ref="L802:M802"/>
    <mergeCell ref="O802:P802"/>
    <mergeCell ref="A799:E799"/>
    <mergeCell ref="H799:I799"/>
    <mergeCell ref="J799:K799"/>
    <mergeCell ref="L799:M799"/>
    <mergeCell ref="O799:P799"/>
    <mergeCell ref="A800:E800"/>
    <mergeCell ref="H800:I800"/>
    <mergeCell ref="J800:K800"/>
    <mergeCell ref="L800:M800"/>
    <mergeCell ref="O800:P800"/>
    <mergeCell ref="A797:E797"/>
    <mergeCell ref="H797:I797"/>
    <mergeCell ref="J797:K797"/>
    <mergeCell ref="L797:M797"/>
    <mergeCell ref="O797:P797"/>
    <mergeCell ref="A798:E798"/>
    <mergeCell ref="H798:I798"/>
    <mergeCell ref="J798:K798"/>
    <mergeCell ref="L798:M798"/>
    <mergeCell ref="O798:P798"/>
    <mergeCell ref="A795:E795"/>
    <mergeCell ref="H795:I795"/>
    <mergeCell ref="J795:K795"/>
    <mergeCell ref="L795:M795"/>
    <mergeCell ref="O795:P795"/>
    <mergeCell ref="A796:E796"/>
    <mergeCell ref="H796:I796"/>
    <mergeCell ref="J796:K796"/>
    <mergeCell ref="L796:M796"/>
    <mergeCell ref="O796:P796"/>
    <mergeCell ref="A793:E793"/>
    <mergeCell ref="H793:I793"/>
    <mergeCell ref="J793:K793"/>
    <mergeCell ref="L793:M793"/>
    <mergeCell ref="O793:P793"/>
    <mergeCell ref="A794:E794"/>
    <mergeCell ref="H794:I794"/>
    <mergeCell ref="J794:K794"/>
    <mergeCell ref="L794:M794"/>
    <mergeCell ref="O794:P794"/>
    <mergeCell ref="A791:E791"/>
    <mergeCell ref="H791:I791"/>
    <mergeCell ref="J791:K791"/>
    <mergeCell ref="L791:M791"/>
    <mergeCell ref="O791:P791"/>
    <mergeCell ref="A792:E792"/>
    <mergeCell ref="H792:I792"/>
    <mergeCell ref="J792:K792"/>
    <mergeCell ref="L792:M792"/>
    <mergeCell ref="O792:P792"/>
    <mergeCell ref="A789:E789"/>
    <mergeCell ref="H789:I789"/>
    <mergeCell ref="J789:K789"/>
    <mergeCell ref="L789:M789"/>
    <mergeCell ref="O789:P789"/>
    <mergeCell ref="A790:E790"/>
    <mergeCell ref="H790:I790"/>
    <mergeCell ref="J790:K790"/>
    <mergeCell ref="L790:M790"/>
    <mergeCell ref="O790:P790"/>
    <mergeCell ref="A787:E787"/>
    <mergeCell ref="H787:I787"/>
    <mergeCell ref="J787:K787"/>
    <mergeCell ref="L787:M787"/>
    <mergeCell ref="O787:P787"/>
    <mergeCell ref="A788:E788"/>
    <mergeCell ref="H788:I788"/>
    <mergeCell ref="J788:K788"/>
    <mergeCell ref="L788:M788"/>
    <mergeCell ref="O788:P788"/>
    <mergeCell ref="A785:E785"/>
    <mergeCell ref="H785:I785"/>
    <mergeCell ref="J785:K785"/>
    <mergeCell ref="L785:M785"/>
    <mergeCell ref="O785:P785"/>
    <mergeCell ref="A786:E786"/>
    <mergeCell ref="H786:I786"/>
    <mergeCell ref="J786:K786"/>
    <mergeCell ref="L786:M786"/>
    <mergeCell ref="O786:P786"/>
    <mergeCell ref="A783:E783"/>
    <mergeCell ref="H783:I783"/>
    <mergeCell ref="J783:K783"/>
    <mergeCell ref="L783:M783"/>
    <mergeCell ref="O783:P783"/>
    <mergeCell ref="A784:E784"/>
    <mergeCell ref="H784:I784"/>
    <mergeCell ref="J784:K784"/>
    <mergeCell ref="L784:M784"/>
    <mergeCell ref="O784:P784"/>
    <mergeCell ref="A781:E781"/>
    <mergeCell ref="H781:I781"/>
    <mergeCell ref="J781:K781"/>
    <mergeCell ref="L781:M781"/>
    <mergeCell ref="O781:P781"/>
    <mergeCell ref="A782:E782"/>
    <mergeCell ref="H782:I782"/>
    <mergeCell ref="J782:K782"/>
    <mergeCell ref="L782:M782"/>
    <mergeCell ref="O782:P782"/>
    <mergeCell ref="A779:E779"/>
    <mergeCell ref="H779:I779"/>
    <mergeCell ref="J779:K779"/>
    <mergeCell ref="L779:M779"/>
    <mergeCell ref="O779:P779"/>
    <mergeCell ref="A780:E780"/>
    <mergeCell ref="H780:I780"/>
    <mergeCell ref="J780:K780"/>
    <mergeCell ref="L780:M780"/>
    <mergeCell ref="O780:P780"/>
    <mergeCell ref="A777:E777"/>
    <mergeCell ref="H777:I777"/>
    <mergeCell ref="J777:K777"/>
    <mergeCell ref="L777:M777"/>
    <mergeCell ref="O777:P777"/>
    <mergeCell ref="A778:E778"/>
    <mergeCell ref="H778:I778"/>
    <mergeCell ref="J778:K778"/>
    <mergeCell ref="L778:M778"/>
    <mergeCell ref="O778:P778"/>
    <mergeCell ref="A775:E775"/>
    <mergeCell ref="H775:I775"/>
    <mergeCell ref="J775:K775"/>
    <mergeCell ref="L775:M775"/>
    <mergeCell ref="O775:P775"/>
    <mergeCell ref="A776:E776"/>
    <mergeCell ref="H776:I776"/>
    <mergeCell ref="J776:K776"/>
    <mergeCell ref="L776:M776"/>
    <mergeCell ref="O776:P776"/>
    <mergeCell ref="A773:E773"/>
    <mergeCell ref="H773:I773"/>
    <mergeCell ref="J773:K773"/>
    <mergeCell ref="L773:M773"/>
    <mergeCell ref="O773:P773"/>
    <mergeCell ref="A774:E774"/>
    <mergeCell ref="H774:I774"/>
    <mergeCell ref="J774:K774"/>
    <mergeCell ref="L774:M774"/>
    <mergeCell ref="O774:P774"/>
    <mergeCell ref="A771:E771"/>
    <mergeCell ref="H771:I771"/>
    <mergeCell ref="J771:K771"/>
    <mergeCell ref="L771:M771"/>
    <mergeCell ref="O771:P771"/>
    <mergeCell ref="A772:E772"/>
    <mergeCell ref="H772:I772"/>
    <mergeCell ref="J772:K772"/>
    <mergeCell ref="L772:M772"/>
    <mergeCell ref="O772:P772"/>
    <mergeCell ref="A769:E769"/>
    <mergeCell ref="H769:I769"/>
    <mergeCell ref="J769:K769"/>
    <mergeCell ref="L769:M769"/>
    <mergeCell ref="O769:P769"/>
    <mergeCell ref="A770:E770"/>
    <mergeCell ref="H770:I770"/>
    <mergeCell ref="J770:K770"/>
    <mergeCell ref="L770:M770"/>
    <mergeCell ref="O770:P770"/>
    <mergeCell ref="A767:E767"/>
    <mergeCell ref="H767:I767"/>
    <mergeCell ref="J767:K767"/>
    <mergeCell ref="L767:M767"/>
    <mergeCell ref="O767:P767"/>
    <mergeCell ref="A768:E768"/>
    <mergeCell ref="H768:I768"/>
    <mergeCell ref="J768:K768"/>
    <mergeCell ref="L768:M768"/>
    <mergeCell ref="O768:P768"/>
    <mergeCell ref="A765:E765"/>
    <mergeCell ref="H765:I765"/>
    <mergeCell ref="J765:K765"/>
    <mergeCell ref="L765:M765"/>
    <mergeCell ref="O765:P765"/>
    <mergeCell ref="A766:E766"/>
    <mergeCell ref="H766:I766"/>
    <mergeCell ref="J766:K766"/>
    <mergeCell ref="L766:M766"/>
    <mergeCell ref="O766:P766"/>
    <mergeCell ref="A763:E763"/>
    <mergeCell ref="H763:I763"/>
    <mergeCell ref="J763:K763"/>
    <mergeCell ref="L763:M763"/>
    <mergeCell ref="O763:P763"/>
    <mergeCell ref="A764:E764"/>
    <mergeCell ref="H764:I764"/>
    <mergeCell ref="J764:K764"/>
    <mergeCell ref="L764:M764"/>
    <mergeCell ref="O764:P764"/>
    <mergeCell ref="A761:E761"/>
    <mergeCell ref="H761:I761"/>
    <mergeCell ref="J761:K761"/>
    <mergeCell ref="L761:M761"/>
    <mergeCell ref="O761:P761"/>
    <mergeCell ref="A762:E762"/>
    <mergeCell ref="H762:I762"/>
    <mergeCell ref="J762:K762"/>
    <mergeCell ref="L762:M762"/>
    <mergeCell ref="O762:P762"/>
    <mergeCell ref="A759:E759"/>
    <mergeCell ref="H759:I759"/>
    <mergeCell ref="J759:K759"/>
    <mergeCell ref="L759:M759"/>
    <mergeCell ref="O759:P759"/>
    <mergeCell ref="A760:E760"/>
    <mergeCell ref="H760:I760"/>
    <mergeCell ref="J760:K760"/>
    <mergeCell ref="L760:M760"/>
    <mergeCell ref="O760:P760"/>
    <mergeCell ref="A757:E757"/>
    <mergeCell ref="H757:I757"/>
    <mergeCell ref="J757:K757"/>
    <mergeCell ref="L757:M757"/>
    <mergeCell ref="O757:P757"/>
    <mergeCell ref="A758:E758"/>
    <mergeCell ref="H758:I758"/>
    <mergeCell ref="J758:K758"/>
    <mergeCell ref="L758:M758"/>
    <mergeCell ref="O758:P758"/>
    <mergeCell ref="A755:E755"/>
    <mergeCell ref="H755:I755"/>
    <mergeCell ref="J755:K755"/>
    <mergeCell ref="L755:M755"/>
    <mergeCell ref="O755:P755"/>
    <mergeCell ref="A756:E756"/>
    <mergeCell ref="H756:I756"/>
    <mergeCell ref="J756:K756"/>
    <mergeCell ref="L756:M756"/>
    <mergeCell ref="O756:P756"/>
    <mergeCell ref="A753:E753"/>
    <mergeCell ref="H753:I753"/>
    <mergeCell ref="J753:K753"/>
    <mergeCell ref="L753:M753"/>
    <mergeCell ref="O753:P753"/>
    <mergeCell ref="A754:E754"/>
    <mergeCell ref="H754:I754"/>
    <mergeCell ref="J754:K754"/>
    <mergeCell ref="L754:M754"/>
    <mergeCell ref="O754:P754"/>
    <mergeCell ref="A751:E751"/>
    <mergeCell ref="H751:I751"/>
    <mergeCell ref="J751:K751"/>
    <mergeCell ref="L751:M751"/>
    <mergeCell ref="O751:P751"/>
    <mergeCell ref="A752:E752"/>
    <mergeCell ref="H752:I752"/>
    <mergeCell ref="J752:K752"/>
    <mergeCell ref="L752:M752"/>
    <mergeCell ref="O752:P752"/>
    <mergeCell ref="A749:E749"/>
    <mergeCell ref="H749:I749"/>
    <mergeCell ref="J749:K749"/>
    <mergeCell ref="L749:M749"/>
    <mergeCell ref="O749:P749"/>
    <mergeCell ref="A750:E750"/>
    <mergeCell ref="H750:I750"/>
    <mergeCell ref="J750:K750"/>
    <mergeCell ref="L750:M750"/>
    <mergeCell ref="O750:P750"/>
    <mergeCell ref="A747:E747"/>
    <mergeCell ref="H747:I747"/>
    <mergeCell ref="J747:K747"/>
    <mergeCell ref="L747:M747"/>
    <mergeCell ref="O747:P747"/>
    <mergeCell ref="A748:E748"/>
    <mergeCell ref="H748:I748"/>
    <mergeCell ref="J748:K748"/>
    <mergeCell ref="L748:M748"/>
    <mergeCell ref="O748:P748"/>
    <mergeCell ref="A745:E745"/>
    <mergeCell ref="H745:I745"/>
    <mergeCell ref="J745:K745"/>
    <mergeCell ref="L745:M745"/>
    <mergeCell ref="O745:P745"/>
    <mergeCell ref="A746:E746"/>
    <mergeCell ref="H746:I746"/>
    <mergeCell ref="J746:K746"/>
    <mergeCell ref="L746:M746"/>
    <mergeCell ref="O746:P746"/>
    <mergeCell ref="A743:E743"/>
    <mergeCell ref="H743:I743"/>
    <mergeCell ref="J743:K743"/>
    <mergeCell ref="L743:M743"/>
    <mergeCell ref="O743:P743"/>
    <mergeCell ref="A744:E744"/>
    <mergeCell ref="H744:I744"/>
    <mergeCell ref="J744:K744"/>
    <mergeCell ref="L744:M744"/>
    <mergeCell ref="O744:P744"/>
    <mergeCell ref="A741:E741"/>
    <mergeCell ref="H741:I741"/>
    <mergeCell ref="J741:K741"/>
    <mergeCell ref="L741:M741"/>
    <mergeCell ref="O741:P741"/>
    <mergeCell ref="A742:E742"/>
    <mergeCell ref="H742:I742"/>
    <mergeCell ref="J742:K742"/>
    <mergeCell ref="L742:M742"/>
    <mergeCell ref="O742:P742"/>
    <mergeCell ref="A739:E739"/>
    <mergeCell ref="H739:I739"/>
    <mergeCell ref="J739:K739"/>
    <mergeCell ref="L739:M739"/>
    <mergeCell ref="O739:P739"/>
    <mergeCell ref="A740:E740"/>
    <mergeCell ref="H740:I740"/>
    <mergeCell ref="J740:K740"/>
    <mergeCell ref="L740:M740"/>
    <mergeCell ref="O740:P740"/>
    <mergeCell ref="A737:E737"/>
    <mergeCell ref="H737:I737"/>
    <mergeCell ref="J737:K737"/>
    <mergeCell ref="L737:M737"/>
    <mergeCell ref="O737:P737"/>
    <mergeCell ref="A738:E738"/>
    <mergeCell ref="H738:I738"/>
    <mergeCell ref="J738:K738"/>
    <mergeCell ref="L738:M738"/>
    <mergeCell ref="O738:P738"/>
    <mergeCell ref="A735:E735"/>
    <mergeCell ref="H735:I735"/>
    <mergeCell ref="J735:K735"/>
    <mergeCell ref="L735:M735"/>
    <mergeCell ref="O735:P735"/>
    <mergeCell ref="A736:E736"/>
    <mergeCell ref="H736:I736"/>
    <mergeCell ref="J736:K736"/>
    <mergeCell ref="L736:M736"/>
    <mergeCell ref="O736:P736"/>
    <mergeCell ref="A733:E733"/>
    <mergeCell ref="H733:I733"/>
    <mergeCell ref="J733:K733"/>
    <mergeCell ref="L733:M733"/>
    <mergeCell ref="O733:P733"/>
    <mergeCell ref="A734:E734"/>
    <mergeCell ref="H734:I734"/>
    <mergeCell ref="J734:K734"/>
    <mergeCell ref="L734:M734"/>
    <mergeCell ref="O734:P734"/>
    <mergeCell ref="A731:E731"/>
    <mergeCell ref="H731:I731"/>
    <mergeCell ref="J731:K731"/>
    <mergeCell ref="L731:M731"/>
    <mergeCell ref="O731:P731"/>
    <mergeCell ref="A732:E732"/>
    <mergeCell ref="H732:I732"/>
    <mergeCell ref="J732:K732"/>
    <mergeCell ref="L732:M732"/>
    <mergeCell ref="O732:P732"/>
    <mergeCell ref="A729:E729"/>
    <mergeCell ref="H729:I729"/>
    <mergeCell ref="J729:K729"/>
    <mergeCell ref="L729:M729"/>
    <mergeCell ref="O729:P729"/>
    <mergeCell ref="A730:E730"/>
    <mergeCell ref="H730:I730"/>
    <mergeCell ref="J730:K730"/>
    <mergeCell ref="L730:M730"/>
    <mergeCell ref="O730:P730"/>
    <mergeCell ref="A727:E727"/>
    <mergeCell ref="H727:I727"/>
    <mergeCell ref="J727:K727"/>
    <mergeCell ref="L727:M727"/>
    <mergeCell ref="O727:P727"/>
    <mergeCell ref="A728:E728"/>
    <mergeCell ref="H728:I728"/>
    <mergeCell ref="J728:K728"/>
    <mergeCell ref="L728:M728"/>
    <mergeCell ref="O728:P728"/>
    <mergeCell ref="A725:E725"/>
    <mergeCell ref="H725:I725"/>
    <mergeCell ref="J725:K725"/>
    <mergeCell ref="L725:M725"/>
    <mergeCell ref="O725:P725"/>
    <mergeCell ref="A726:E726"/>
    <mergeCell ref="H726:I726"/>
    <mergeCell ref="J726:K726"/>
    <mergeCell ref="L726:M726"/>
    <mergeCell ref="O726:P726"/>
    <mergeCell ref="A723:E723"/>
    <mergeCell ref="H723:I723"/>
    <mergeCell ref="J723:K723"/>
    <mergeCell ref="L723:M723"/>
    <mergeCell ref="O723:P723"/>
    <mergeCell ref="A724:E724"/>
    <mergeCell ref="H724:I724"/>
    <mergeCell ref="J724:K724"/>
    <mergeCell ref="L724:M724"/>
    <mergeCell ref="O724:P724"/>
    <mergeCell ref="A721:E721"/>
    <mergeCell ref="H721:I721"/>
    <mergeCell ref="J721:K721"/>
    <mergeCell ref="L721:M721"/>
    <mergeCell ref="O721:P721"/>
    <mergeCell ref="A722:E722"/>
    <mergeCell ref="H722:I722"/>
    <mergeCell ref="J722:K722"/>
    <mergeCell ref="L722:M722"/>
    <mergeCell ref="O722:P722"/>
    <mergeCell ref="A719:E719"/>
    <mergeCell ref="H719:I719"/>
    <mergeCell ref="J719:K719"/>
    <mergeCell ref="L719:M719"/>
    <mergeCell ref="O719:P719"/>
    <mergeCell ref="A720:E720"/>
    <mergeCell ref="H720:I720"/>
    <mergeCell ref="J720:K720"/>
    <mergeCell ref="L720:M720"/>
    <mergeCell ref="O720:P720"/>
    <mergeCell ref="A717:E717"/>
    <mergeCell ref="H717:I717"/>
    <mergeCell ref="J717:K717"/>
    <mergeCell ref="L717:M717"/>
    <mergeCell ref="O717:P717"/>
    <mergeCell ref="A718:E718"/>
    <mergeCell ref="H718:I718"/>
    <mergeCell ref="J718:K718"/>
    <mergeCell ref="L718:M718"/>
    <mergeCell ref="O718:P718"/>
    <mergeCell ref="A715:E715"/>
    <mergeCell ref="H715:I715"/>
    <mergeCell ref="J715:K715"/>
    <mergeCell ref="L715:M715"/>
    <mergeCell ref="O715:P715"/>
    <mergeCell ref="A716:E716"/>
    <mergeCell ref="H716:I716"/>
    <mergeCell ref="J716:K716"/>
    <mergeCell ref="L716:M716"/>
    <mergeCell ref="O716:P716"/>
    <mergeCell ref="A713:E713"/>
    <mergeCell ref="H713:I713"/>
    <mergeCell ref="J713:K713"/>
    <mergeCell ref="L713:M713"/>
    <mergeCell ref="O713:P713"/>
    <mergeCell ref="A714:E714"/>
    <mergeCell ref="H714:I714"/>
    <mergeCell ref="J714:K714"/>
    <mergeCell ref="L714:M714"/>
    <mergeCell ref="O714:P714"/>
    <mergeCell ref="A711:E711"/>
    <mergeCell ref="H711:I711"/>
    <mergeCell ref="L711:M711"/>
    <mergeCell ref="O711:P711"/>
    <mergeCell ref="A712:E712"/>
    <mergeCell ref="H712:I712"/>
    <mergeCell ref="J712:K712"/>
    <mergeCell ref="L712:M712"/>
    <mergeCell ref="O712:P712"/>
    <mergeCell ref="A709:E709"/>
    <mergeCell ref="H709:I709"/>
    <mergeCell ref="L709:M709"/>
    <mergeCell ref="O709:P709"/>
    <mergeCell ref="A710:E710"/>
    <mergeCell ref="H710:I710"/>
    <mergeCell ref="L710:M710"/>
    <mergeCell ref="O710:P710"/>
    <mergeCell ref="A707:E707"/>
    <mergeCell ref="H707:I707"/>
    <mergeCell ref="L707:M707"/>
    <mergeCell ref="O707:P707"/>
    <mergeCell ref="A708:E708"/>
    <mergeCell ref="H708:I708"/>
    <mergeCell ref="L708:M708"/>
    <mergeCell ref="O708:P708"/>
    <mergeCell ref="A705:E705"/>
    <mergeCell ref="H705:I705"/>
    <mergeCell ref="L705:M705"/>
    <mergeCell ref="O705:P705"/>
    <mergeCell ref="A706:E706"/>
    <mergeCell ref="H706:I706"/>
    <mergeCell ref="L706:M706"/>
    <mergeCell ref="O706:P706"/>
    <mergeCell ref="A703:E703"/>
    <mergeCell ref="H703:I703"/>
    <mergeCell ref="L703:M703"/>
    <mergeCell ref="N703:P703"/>
    <mergeCell ref="A704:E704"/>
    <mergeCell ref="H704:I704"/>
    <mergeCell ref="L704:M704"/>
    <mergeCell ref="O704:P704"/>
    <mergeCell ref="A701:E701"/>
    <mergeCell ref="H701:I701"/>
    <mergeCell ref="L701:M701"/>
    <mergeCell ref="O701:P701"/>
    <mergeCell ref="A702:E702"/>
    <mergeCell ref="H702:I702"/>
    <mergeCell ref="L702:M702"/>
    <mergeCell ref="O702:P702"/>
    <mergeCell ref="A699:E699"/>
    <mergeCell ref="H699:I699"/>
    <mergeCell ref="L699:M699"/>
    <mergeCell ref="O699:P699"/>
    <mergeCell ref="A700:E700"/>
    <mergeCell ref="H700:I700"/>
    <mergeCell ref="L700:M700"/>
    <mergeCell ref="O700:P700"/>
    <mergeCell ref="A697:E697"/>
    <mergeCell ref="H697:I697"/>
    <mergeCell ref="L697:M697"/>
    <mergeCell ref="N697:P697"/>
    <mergeCell ref="A698:E698"/>
    <mergeCell ref="H698:I698"/>
    <mergeCell ref="L698:M698"/>
    <mergeCell ref="O698:P698"/>
    <mergeCell ref="A695:E695"/>
    <mergeCell ref="H695:I695"/>
    <mergeCell ref="J695:K695"/>
    <mergeCell ref="L695:M695"/>
    <mergeCell ref="O695:P695"/>
    <mergeCell ref="A696:E696"/>
    <mergeCell ref="H696:I696"/>
    <mergeCell ref="L696:M696"/>
    <mergeCell ref="A693:E693"/>
    <mergeCell ref="H693:I693"/>
    <mergeCell ref="J693:K693"/>
    <mergeCell ref="L693:M693"/>
    <mergeCell ref="O693:P693"/>
    <mergeCell ref="A694:E694"/>
    <mergeCell ref="H694:I694"/>
    <mergeCell ref="J694:K694"/>
    <mergeCell ref="L694:M694"/>
    <mergeCell ref="O694:P694"/>
    <mergeCell ref="A691:E691"/>
    <mergeCell ref="H691:I691"/>
    <mergeCell ref="J691:K691"/>
    <mergeCell ref="L691:M691"/>
    <mergeCell ref="O691:P691"/>
    <mergeCell ref="A692:E692"/>
    <mergeCell ref="H692:I692"/>
    <mergeCell ref="J692:K692"/>
    <mergeCell ref="L692:M692"/>
    <mergeCell ref="N692:P692"/>
    <mergeCell ref="A689:E689"/>
    <mergeCell ref="H689:I689"/>
    <mergeCell ref="J689:K689"/>
    <mergeCell ref="L689:M689"/>
    <mergeCell ref="O689:P689"/>
    <mergeCell ref="A690:E690"/>
    <mergeCell ref="H690:I690"/>
    <mergeCell ref="J690:K690"/>
    <mergeCell ref="L690:M690"/>
    <mergeCell ref="O690:P690"/>
    <mergeCell ref="A684:E684"/>
    <mergeCell ref="H684:I684"/>
    <mergeCell ref="J684:K684"/>
    <mergeCell ref="L684:M684"/>
    <mergeCell ref="O684:P684"/>
    <mergeCell ref="A682:E682"/>
    <mergeCell ref="H682:I682"/>
    <mergeCell ref="J682:K682"/>
    <mergeCell ref="L682:M682"/>
    <mergeCell ref="O682:P682"/>
    <mergeCell ref="A687:E687"/>
    <mergeCell ref="H687:I687"/>
    <mergeCell ref="J687:K687"/>
    <mergeCell ref="L687:M687"/>
    <mergeCell ref="O687:P687"/>
    <mergeCell ref="A688:E688"/>
    <mergeCell ref="H688:I688"/>
    <mergeCell ref="J688:K688"/>
    <mergeCell ref="L688:M688"/>
    <mergeCell ref="O688:P688"/>
    <mergeCell ref="A685:E685"/>
    <mergeCell ref="H685:I685"/>
    <mergeCell ref="J685:K685"/>
    <mergeCell ref="L685:M685"/>
    <mergeCell ref="N685:P685"/>
    <mergeCell ref="A686:E686"/>
    <mergeCell ref="H686:I686"/>
    <mergeCell ref="J686:K686"/>
    <mergeCell ref="L686:M686"/>
    <mergeCell ref="O686:P686"/>
    <mergeCell ref="A681:E681"/>
    <mergeCell ref="H681:I681"/>
    <mergeCell ref="J681:K681"/>
    <mergeCell ref="L681:M681"/>
    <mergeCell ref="O681:P681"/>
    <mergeCell ref="A679:E679"/>
    <mergeCell ref="H679:I679"/>
    <mergeCell ref="J679:K679"/>
    <mergeCell ref="L679:M679"/>
    <mergeCell ref="O679:P679"/>
    <mergeCell ref="A680:E680"/>
    <mergeCell ref="H680:I680"/>
    <mergeCell ref="J680:K680"/>
    <mergeCell ref="L680:M680"/>
    <mergeCell ref="O680:P680"/>
    <mergeCell ref="A683:E683"/>
    <mergeCell ref="H683:I683"/>
    <mergeCell ref="J683:K683"/>
    <mergeCell ref="L683:M683"/>
    <mergeCell ref="O683:P683"/>
    <mergeCell ref="A677:E677"/>
    <mergeCell ref="H677:I677"/>
    <mergeCell ref="J677:K677"/>
    <mergeCell ref="L677:M677"/>
    <mergeCell ref="O677:P677"/>
    <mergeCell ref="A678:E678"/>
    <mergeCell ref="H678:I678"/>
    <mergeCell ref="J678:K678"/>
    <mergeCell ref="L678:M678"/>
    <mergeCell ref="O678:P678"/>
    <mergeCell ref="A675:E675"/>
    <mergeCell ref="H675:I675"/>
    <mergeCell ref="J675:K675"/>
    <mergeCell ref="L675:M675"/>
    <mergeCell ref="O675:P675"/>
    <mergeCell ref="A676:E676"/>
    <mergeCell ref="H676:I676"/>
    <mergeCell ref="J676:K676"/>
    <mergeCell ref="L676:M676"/>
    <mergeCell ref="O676:P676"/>
    <mergeCell ref="A673:E673"/>
    <mergeCell ref="H673:I673"/>
    <mergeCell ref="J673:K673"/>
    <mergeCell ref="L673:M673"/>
    <mergeCell ref="O673:P673"/>
    <mergeCell ref="A674:E674"/>
    <mergeCell ref="H674:I674"/>
    <mergeCell ref="J674:K674"/>
    <mergeCell ref="L674:M674"/>
    <mergeCell ref="O674:P674"/>
    <mergeCell ref="A671:E671"/>
    <mergeCell ref="H671:I671"/>
    <mergeCell ref="J671:K671"/>
    <mergeCell ref="L671:M671"/>
    <mergeCell ref="O671:P671"/>
    <mergeCell ref="A672:E672"/>
    <mergeCell ref="H672:I672"/>
    <mergeCell ref="J672:K672"/>
    <mergeCell ref="L672:M672"/>
    <mergeCell ref="O672:P672"/>
    <mergeCell ref="A669:E669"/>
    <mergeCell ref="H669:I669"/>
    <mergeCell ref="J669:K669"/>
    <mergeCell ref="L669:M669"/>
    <mergeCell ref="O669:P669"/>
    <mergeCell ref="A670:E670"/>
    <mergeCell ref="H670:I670"/>
    <mergeCell ref="J670:K670"/>
    <mergeCell ref="L670:M670"/>
    <mergeCell ref="O670:P670"/>
    <mergeCell ref="A667:E667"/>
    <mergeCell ref="H667:I667"/>
    <mergeCell ref="J667:K667"/>
    <mergeCell ref="L667:M667"/>
    <mergeCell ref="O667:P667"/>
    <mergeCell ref="A668:E668"/>
    <mergeCell ref="H668:I668"/>
    <mergeCell ref="J668:K668"/>
    <mergeCell ref="L668:M668"/>
    <mergeCell ref="O668:P668"/>
    <mergeCell ref="A665:E665"/>
    <mergeCell ref="H665:I665"/>
    <mergeCell ref="J665:K665"/>
    <mergeCell ref="L665:M665"/>
    <mergeCell ref="O665:P665"/>
    <mergeCell ref="A666:E666"/>
    <mergeCell ref="H666:I666"/>
    <mergeCell ref="J666:K666"/>
    <mergeCell ref="L666:M666"/>
    <mergeCell ref="O666:P666"/>
    <mergeCell ref="A663:E663"/>
    <mergeCell ref="H663:I663"/>
    <mergeCell ref="J663:K663"/>
    <mergeCell ref="L663:M663"/>
    <mergeCell ref="O663:P663"/>
    <mergeCell ref="A664:E664"/>
    <mergeCell ref="H664:I664"/>
    <mergeCell ref="J664:K664"/>
    <mergeCell ref="L664:M664"/>
    <mergeCell ref="O664:P664"/>
    <mergeCell ref="A661:E661"/>
    <mergeCell ref="H661:I661"/>
    <mergeCell ref="J661:K661"/>
    <mergeCell ref="L661:M661"/>
    <mergeCell ref="O661:P661"/>
    <mergeCell ref="A662:E662"/>
    <mergeCell ref="H662:I662"/>
    <mergeCell ref="J662:K662"/>
    <mergeCell ref="L662:M662"/>
    <mergeCell ref="O662:P662"/>
    <mergeCell ref="A655:E655"/>
    <mergeCell ref="H655:I655"/>
    <mergeCell ref="J655:K655"/>
    <mergeCell ref="L655:M655"/>
    <mergeCell ref="O655:P655"/>
    <mergeCell ref="A656:E656"/>
    <mergeCell ref="H656:I656"/>
    <mergeCell ref="J656:K656"/>
    <mergeCell ref="L656:M656"/>
    <mergeCell ref="O656:P656"/>
    <mergeCell ref="A657:E657"/>
    <mergeCell ref="H657:I657"/>
    <mergeCell ref="J657:K657"/>
    <mergeCell ref="L657:M657"/>
    <mergeCell ref="O657:P657"/>
    <mergeCell ref="A658:E658"/>
    <mergeCell ref="H658:I658"/>
    <mergeCell ref="J658:K658"/>
    <mergeCell ref="L658:M658"/>
    <mergeCell ref="O658:P658"/>
    <mergeCell ref="A659:E659"/>
    <mergeCell ref="H659:I659"/>
    <mergeCell ref="H653:I653"/>
    <mergeCell ref="J653:K653"/>
    <mergeCell ref="L653:M653"/>
    <mergeCell ref="O653:P653"/>
    <mergeCell ref="A654:E654"/>
    <mergeCell ref="H654:I654"/>
    <mergeCell ref="J654:K654"/>
    <mergeCell ref="L654:M654"/>
    <mergeCell ref="O654:P654"/>
    <mergeCell ref="A651:E651"/>
    <mergeCell ref="H651:I651"/>
    <mergeCell ref="J651:K651"/>
    <mergeCell ref="L651:M651"/>
    <mergeCell ref="O651:P651"/>
    <mergeCell ref="A652:E652"/>
    <mergeCell ref="H652:I652"/>
    <mergeCell ref="J652:K652"/>
    <mergeCell ref="L652:M652"/>
    <mergeCell ref="O652:P652"/>
    <mergeCell ref="A649:E649"/>
    <mergeCell ref="H649:I649"/>
    <mergeCell ref="J649:K649"/>
    <mergeCell ref="L649:M649"/>
    <mergeCell ref="O649:P649"/>
    <mergeCell ref="A650:E650"/>
    <mergeCell ref="H650:I650"/>
    <mergeCell ref="J650:K650"/>
    <mergeCell ref="L650:M650"/>
    <mergeCell ref="O650:P650"/>
    <mergeCell ref="A647:E647"/>
    <mergeCell ref="H647:I647"/>
    <mergeCell ref="J647:K647"/>
    <mergeCell ref="L647:M647"/>
    <mergeCell ref="O647:P647"/>
    <mergeCell ref="A648:E648"/>
    <mergeCell ref="H648:I648"/>
    <mergeCell ref="J648:K648"/>
    <mergeCell ref="L648:M648"/>
    <mergeCell ref="O648:P648"/>
    <mergeCell ref="A645:E645"/>
    <mergeCell ref="H645:I645"/>
    <mergeCell ref="J645:K645"/>
    <mergeCell ref="L645:M645"/>
    <mergeCell ref="O645:P645"/>
    <mergeCell ref="A646:E646"/>
    <mergeCell ref="H646:I646"/>
    <mergeCell ref="J646:K646"/>
    <mergeCell ref="L646:M646"/>
    <mergeCell ref="O646:P646"/>
    <mergeCell ref="A643:E643"/>
    <mergeCell ref="H643:I643"/>
    <mergeCell ref="J643:K643"/>
    <mergeCell ref="L643:M643"/>
    <mergeCell ref="O643:P643"/>
    <mergeCell ref="A644:E644"/>
    <mergeCell ref="H644:I644"/>
    <mergeCell ref="J644:K644"/>
    <mergeCell ref="L644:M644"/>
    <mergeCell ref="O644:P644"/>
    <mergeCell ref="A641:E641"/>
    <mergeCell ref="H641:I641"/>
    <mergeCell ref="J641:K641"/>
    <mergeCell ref="L641:M641"/>
    <mergeCell ref="O641:P641"/>
    <mergeCell ref="A642:E642"/>
    <mergeCell ref="H642:I642"/>
    <mergeCell ref="J642:K642"/>
    <mergeCell ref="L642:M642"/>
    <mergeCell ref="O642:P642"/>
    <mergeCell ref="A639:E639"/>
    <mergeCell ref="H639:I639"/>
    <mergeCell ref="J639:K639"/>
    <mergeCell ref="L639:M639"/>
    <mergeCell ref="O639:P639"/>
    <mergeCell ref="A640:E640"/>
    <mergeCell ref="H640:I640"/>
    <mergeCell ref="J640:K640"/>
    <mergeCell ref="L640:M640"/>
    <mergeCell ref="O640:P640"/>
    <mergeCell ref="A637:E637"/>
    <mergeCell ref="H637:I637"/>
    <mergeCell ref="J637:K637"/>
    <mergeCell ref="L637:M637"/>
    <mergeCell ref="O637:P637"/>
    <mergeCell ref="A638:E638"/>
    <mergeCell ref="H638:I638"/>
    <mergeCell ref="J638:K638"/>
    <mergeCell ref="L638:M638"/>
    <mergeCell ref="O638:P638"/>
    <mergeCell ref="A635:E635"/>
    <mergeCell ref="H635:I635"/>
    <mergeCell ref="J635:K635"/>
    <mergeCell ref="L635:M635"/>
    <mergeCell ref="O635:P635"/>
    <mergeCell ref="A636:E636"/>
    <mergeCell ref="H636:I636"/>
    <mergeCell ref="J636:K636"/>
    <mergeCell ref="L636:M636"/>
    <mergeCell ref="O636:P636"/>
    <mergeCell ref="A633:E633"/>
    <mergeCell ref="H633:I633"/>
    <mergeCell ref="J633:K633"/>
    <mergeCell ref="L633:M633"/>
    <mergeCell ref="O633:P633"/>
    <mergeCell ref="A634:E634"/>
    <mergeCell ref="H634:I634"/>
    <mergeCell ref="J634:K634"/>
    <mergeCell ref="L634:M634"/>
    <mergeCell ref="O634:P634"/>
    <mergeCell ref="A631:E631"/>
    <mergeCell ref="H631:I631"/>
    <mergeCell ref="J631:K631"/>
    <mergeCell ref="L631:M631"/>
    <mergeCell ref="O631:P631"/>
    <mergeCell ref="A632:E632"/>
    <mergeCell ref="H632:I632"/>
    <mergeCell ref="J632:K632"/>
    <mergeCell ref="L632:M632"/>
    <mergeCell ref="O632:P632"/>
    <mergeCell ref="A629:E629"/>
    <mergeCell ref="H629:I629"/>
    <mergeCell ref="J629:K629"/>
    <mergeCell ref="L629:M629"/>
    <mergeCell ref="O629:P629"/>
    <mergeCell ref="A630:E630"/>
    <mergeCell ref="H630:I630"/>
    <mergeCell ref="J630:K630"/>
    <mergeCell ref="L630:M630"/>
    <mergeCell ref="O630:P630"/>
    <mergeCell ref="A627:E627"/>
    <mergeCell ref="H627:I627"/>
    <mergeCell ref="J627:K627"/>
    <mergeCell ref="L627:M627"/>
    <mergeCell ref="O627:P627"/>
    <mergeCell ref="A628:E628"/>
    <mergeCell ref="H628:I628"/>
    <mergeCell ref="J628:K628"/>
    <mergeCell ref="L628:M628"/>
    <mergeCell ref="O628:P628"/>
    <mergeCell ref="A625:E625"/>
    <mergeCell ref="H625:I625"/>
    <mergeCell ref="J625:K625"/>
    <mergeCell ref="L625:M625"/>
    <mergeCell ref="O625:P625"/>
    <mergeCell ref="A626:E626"/>
    <mergeCell ref="H626:I626"/>
    <mergeCell ref="J626:K626"/>
    <mergeCell ref="L626:M626"/>
    <mergeCell ref="O626:P626"/>
    <mergeCell ref="A623:E623"/>
    <mergeCell ref="H623:I623"/>
    <mergeCell ref="J623:K623"/>
    <mergeCell ref="L623:M623"/>
    <mergeCell ref="O623:P623"/>
    <mergeCell ref="A624:E624"/>
    <mergeCell ref="H624:I624"/>
    <mergeCell ref="J624:K624"/>
    <mergeCell ref="L624:M624"/>
    <mergeCell ref="O624:P624"/>
    <mergeCell ref="A621:E621"/>
    <mergeCell ref="H621:I621"/>
    <mergeCell ref="J621:K621"/>
    <mergeCell ref="L621:M621"/>
    <mergeCell ref="O621:P621"/>
    <mergeCell ref="A622:E622"/>
    <mergeCell ref="H622:I622"/>
    <mergeCell ref="J622:K622"/>
    <mergeCell ref="L622:M622"/>
    <mergeCell ref="O622:P622"/>
    <mergeCell ref="A617:E617"/>
    <mergeCell ref="H617:I617"/>
    <mergeCell ref="J617:K617"/>
    <mergeCell ref="L617:M617"/>
    <mergeCell ref="O617:P617"/>
    <mergeCell ref="A620:E620"/>
    <mergeCell ref="H620:I620"/>
    <mergeCell ref="J620:K620"/>
    <mergeCell ref="L620:M620"/>
    <mergeCell ref="O620:P620"/>
    <mergeCell ref="A619:E619"/>
    <mergeCell ref="H619:I619"/>
    <mergeCell ref="J619:K619"/>
    <mergeCell ref="L619:M619"/>
    <mergeCell ref="O619:P619"/>
    <mergeCell ref="A615:E615"/>
    <mergeCell ref="H615:I615"/>
    <mergeCell ref="J615:K615"/>
    <mergeCell ref="L615:M615"/>
    <mergeCell ref="O615:P615"/>
    <mergeCell ref="A616:E616"/>
    <mergeCell ref="H616:I616"/>
    <mergeCell ref="J616:K616"/>
    <mergeCell ref="L616:M616"/>
    <mergeCell ref="O616:P616"/>
    <mergeCell ref="A613:E613"/>
    <mergeCell ref="H613:I613"/>
    <mergeCell ref="J613:K613"/>
    <mergeCell ref="L613:M613"/>
    <mergeCell ref="O613:P613"/>
    <mergeCell ref="A614:E614"/>
    <mergeCell ref="H614:I614"/>
    <mergeCell ref="J614:K614"/>
    <mergeCell ref="L614:M614"/>
    <mergeCell ref="O614:P614"/>
    <mergeCell ref="A611:E611"/>
    <mergeCell ref="H611:I611"/>
    <mergeCell ref="J611:K611"/>
    <mergeCell ref="L611:M611"/>
    <mergeCell ref="O611:P611"/>
    <mergeCell ref="A612:E612"/>
    <mergeCell ref="H612:I612"/>
    <mergeCell ref="J612:K612"/>
    <mergeCell ref="L612:M612"/>
    <mergeCell ref="O612:P612"/>
    <mergeCell ref="A609:E609"/>
    <mergeCell ref="H609:I609"/>
    <mergeCell ref="J609:K609"/>
    <mergeCell ref="L609:M609"/>
    <mergeCell ref="O609:P609"/>
    <mergeCell ref="A610:E610"/>
    <mergeCell ref="H610:I610"/>
    <mergeCell ref="J610:K610"/>
    <mergeCell ref="L610:M610"/>
    <mergeCell ref="O610:P610"/>
    <mergeCell ref="A607:E607"/>
    <mergeCell ref="H607:I607"/>
    <mergeCell ref="J607:K607"/>
    <mergeCell ref="L607:M607"/>
    <mergeCell ref="O607:P607"/>
    <mergeCell ref="A608:E608"/>
    <mergeCell ref="H608:I608"/>
    <mergeCell ref="J608:K608"/>
    <mergeCell ref="L608:M608"/>
    <mergeCell ref="O608:P608"/>
    <mergeCell ref="A605:E605"/>
    <mergeCell ref="H605:I605"/>
    <mergeCell ref="J605:K605"/>
    <mergeCell ref="L605:M605"/>
    <mergeCell ref="O605:P605"/>
    <mergeCell ref="A606:E606"/>
    <mergeCell ref="H606:I606"/>
    <mergeCell ref="J606:K606"/>
    <mergeCell ref="L606:M606"/>
    <mergeCell ref="O606:P606"/>
    <mergeCell ref="A603:E603"/>
    <mergeCell ref="H603:I603"/>
    <mergeCell ref="J603:K603"/>
    <mergeCell ref="L603:M603"/>
    <mergeCell ref="O603:P603"/>
    <mergeCell ref="A604:E604"/>
    <mergeCell ref="H604:I604"/>
    <mergeCell ref="J604:K604"/>
    <mergeCell ref="L604:M604"/>
    <mergeCell ref="O604:P604"/>
    <mergeCell ref="A601:E601"/>
    <mergeCell ref="H601:I601"/>
    <mergeCell ref="J601:K601"/>
    <mergeCell ref="L601:M601"/>
    <mergeCell ref="O601:P601"/>
    <mergeCell ref="A602:E602"/>
    <mergeCell ref="H602:I602"/>
    <mergeCell ref="J602:K602"/>
    <mergeCell ref="L602:M602"/>
    <mergeCell ref="O602:P602"/>
    <mergeCell ref="A599:E599"/>
    <mergeCell ref="H599:I599"/>
    <mergeCell ref="J599:K599"/>
    <mergeCell ref="L599:M599"/>
    <mergeCell ref="O599:P599"/>
    <mergeCell ref="A600:E600"/>
    <mergeCell ref="H600:I600"/>
    <mergeCell ref="J600:K600"/>
    <mergeCell ref="L600:M600"/>
    <mergeCell ref="O600:P600"/>
    <mergeCell ref="A597:E597"/>
    <mergeCell ref="H597:I597"/>
    <mergeCell ref="J597:K597"/>
    <mergeCell ref="L597:M597"/>
    <mergeCell ref="O597:P597"/>
    <mergeCell ref="A598:E598"/>
    <mergeCell ref="H598:I598"/>
    <mergeCell ref="J598:K598"/>
    <mergeCell ref="L598:M598"/>
    <mergeCell ref="O598:P598"/>
    <mergeCell ref="A595:E595"/>
    <mergeCell ref="H595:I595"/>
    <mergeCell ref="J595:K595"/>
    <mergeCell ref="L595:M595"/>
    <mergeCell ref="O595:P595"/>
    <mergeCell ref="A596:E596"/>
    <mergeCell ref="H596:I596"/>
    <mergeCell ref="J596:K596"/>
    <mergeCell ref="L596:M596"/>
    <mergeCell ref="O596:P596"/>
    <mergeCell ref="A592:E592"/>
    <mergeCell ref="H592:I592"/>
    <mergeCell ref="J592:K592"/>
    <mergeCell ref="L592:M592"/>
    <mergeCell ref="O592:P592"/>
    <mergeCell ref="A594:E594"/>
    <mergeCell ref="H594:I594"/>
    <mergeCell ref="J594:K594"/>
    <mergeCell ref="L594:M594"/>
    <mergeCell ref="O594:P594"/>
    <mergeCell ref="H593:I593"/>
    <mergeCell ref="J593:K593"/>
    <mergeCell ref="L593:M593"/>
    <mergeCell ref="O593:P593"/>
    <mergeCell ref="A593:E593"/>
    <mergeCell ref="A590:E590"/>
    <mergeCell ref="H590:I590"/>
    <mergeCell ref="J590:K590"/>
    <mergeCell ref="L590:M590"/>
    <mergeCell ref="O590:P590"/>
    <mergeCell ref="A591:E591"/>
    <mergeCell ref="H591:I591"/>
    <mergeCell ref="J591:K591"/>
    <mergeCell ref="L591:M591"/>
    <mergeCell ref="O591:P591"/>
    <mergeCell ref="A588:E588"/>
    <mergeCell ref="H588:I588"/>
    <mergeCell ref="J588:K588"/>
    <mergeCell ref="L588:M588"/>
    <mergeCell ref="O588:P588"/>
    <mergeCell ref="A589:E589"/>
    <mergeCell ref="H589:I589"/>
    <mergeCell ref="J589:K589"/>
    <mergeCell ref="L589:M589"/>
    <mergeCell ref="O589:P589"/>
    <mergeCell ref="A586:E586"/>
    <mergeCell ref="H586:I586"/>
    <mergeCell ref="J586:K586"/>
    <mergeCell ref="L586:M586"/>
    <mergeCell ref="O586:P586"/>
    <mergeCell ref="A587:E587"/>
    <mergeCell ref="H587:I587"/>
    <mergeCell ref="J587:K587"/>
    <mergeCell ref="L587:M587"/>
    <mergeCell ref="O587:P587"/>
    <mergeCell ref="A584:E584"/>
    <mergeCell ref="H584:I584"/>
    <mergeCell ref="J584:K584"/>
    <mergeCell ref="L584:M584"/>
    <mergeCell ref="O584:P584"/>
    <mergeCell ref="A585:E585"/>
    <mergeCell ref="H585:I585"/>
    <mergeCell ref="J585:K585"/>
    <mergeCell ref="L585:M585"/>
    <mergeCell ref="O585:P585"/>
    <mergeCell ref="A582:E582"/>
    <mergeCell ref="H582:I582"/>
    <mergeCell ref="J582:K582"/>
    <mergeCell ref="L582:M582"/>
    <mergeCell ref="O582:P582"/>
    <mergeCell ref="A583:E583"/>
    <mergeCell ref="H583:I583"/>
    <mergeCell ref="J583:K583"/>
    <mergeCell ref="L583:M583"/>
    <mergeCell ref="O583:P583"/>
    <mergeCell ref="A580:E580"/>
    <mergeCell ref="H580:I580"/>
    <mergeCell ref="J580:K580"/>
    <mergeCell ref="L580:M580"/>
    <mergeCell ref="O580:P580"/>
    <mergeCell ref="A581:E581"/>
    <mergeCell ref="H581:I581"/>
    <mergeCell ref="J581:K581"/>
    <mergeCell ref="L581:M581"/>
    <mergeCell ref="O581:P581"/>
    <mergeCell ref="A578:E578"/>
    <mergeCell ref="H578:I578"/>
    <mergeCell ref="J578:K578"/>
    <mergeCell ref="L578:M578"/>
    <mergeCell ref="O578:P578"/>
    <mergeCell ref="A579:E579"/>
    <mergeCell ref="H579:I579"/>
    <mergeCell ref="J579:K579"/>
    <mergeCell ref="L579:M579"/>
    <mergeCell ref="O579:P579"/>
    <mergeCell ref="A576:E576"/>
    <mergeCell ref="H576:I576"/>
    <mergeCell ref="J576:K576"/>
    <mergeCell ref="L576:M576"/>
    <mergeCell ref="O576:P576"/>
    <mergeCell ref="A577:E577"/>
    <mergeCell ref="H577:I577"/>
    <mergeCell ref="J577:K577"/>
    <mergeCell ref="L577:M577"/>
    <mergeCell ref="O577:P577"/>
    <mergeCell ref="A574:E574"/>
    <mergeCell ref="H574:I574"/>
    <mergeCell ref="J574:K574"/>
    <mergeCell ref="L574:M574"/>
    <mergeCell ref="O574:P574"/>
    <mergeCell ref="A575:E575"/>
    <mergeCell ref="H575:I575"/>
    <mergeCell ref="J575:K575"/>
    <mergeCell ref="L575:M575"/>
    <mergeCell ref="O575:P575"/>
    <mergeCell ref="A572:E572"/>
    <mergeCell ref="H572:I572"/>
    <mergeCell ref="J572:K572"/>
    <mergeCell ref="L572:M572"/>
    <mergeCell ref="O572:P572"/>
    <mergeCell ref="A573:E573"/>
    <mergeCell ref="H573:I573"/>
    <mergeCell ref="J573:K573"/>
    <mergeCell ref="L573:M573"/>
    <mergeCell ref="O573:P573"/>
    <mergeCell ref="A568:E568"/>
    <mergeCell ref="H568:I568"/>
    <mergeCell ref="J568:K568"/>
    <mergeCell ref="L568:M568"/>
    <mergeCell ref="O568:P568"/>
    <mergeCell ref="A569:E569"/>
    <mergeCell ref="H569:I569"/>
    <mergeCell ref="J569:K569"/>
    <mergeCell ref="L569:M569"/>
    <mergeCell ref="O569:P569"/>
    <mergeCell ref="A566:E566"/>
    <mergeCell ref="H566:I566"/>
    <mergeCell ref="J566:K566"/>
    <mergeCell ref="L566:M566"/>
    <mergeCell ref="O566:P566"/>
    <mergeCell ref="A567:E567"/>
    <mergeCell ref="H567:I567"/>
    <mergeCell ref="J567:K567"/>
    <mergeCell ref="L567:M567"/>
    <mergeCell ref="O567:P567"/>
    <mergeCell ref="A564:E564"/>
    <mergeCell ref="H564:I564"/>
    <mergeCell ref="J564:K564"/>
    <mergeCell ref="L564:M564"/>
    <mergeCell ref="O564:P564"/>
    <mergeCell ref="A565:E565"/>
    <mergeCell ref="H565:I565"/>
    <mergeCell ref="J565:K565"/>
    <mergeCell ref="L565:M565"/>
    <mergeCell ref="O565:P565"/>
    <mergeCell ref="A562:E562"/>
    <mergeCell ref="H562:I562"/>
    <mergeCell ref="J562:K562"/>
    <mergeCell ref="L562:M562"/>
    <mergeCell ref="O562:P562"/>
    <mergeCell ref="A563:E563"/>
    <mergeCell ref="H563:I563"/>
    <mergeCell ref="J563:K563"/>
    <mergeCell ref="L563:M563"/>
    <mergeCell ref="O563:P563"/>
    <mergeCell ref="A557:E557"/>
    <mergeCell ref="H557:I557"/>
    <mergeCell ref="J557:K557"/>
    <mergeCell ref="L557:M557"/>
    <mergeCell ref="O557:P557"/>
    <mergeCell ref="A555:E555"/>
    <mergeCell ref="H555:I555"/>
    <mergeCell ref="J555:K555"/>
    <mergeCell ref="L555:M555"/>
    <mergeCell ref="O555:P555"/>
    <mergeCell ref="A560:E560"/>
    <mergeCell ref="H560:I560"/>
    <mergeCell ref="J560:K560"/>
    <mergeCell ref="L560:M560"/>
    <mergeCell ref="O560:P560"/>
    <mergeCell ref="A561:E561"/>
    <mergeCell ref="H561:I561"/>
    <mergeCell ref="J561:K561"/>
    <mergeCell ref="L561:M561"/>
    <mergeCell ref="O561:P561"/>
    <mergeCell ref="A558:E558"/>
    <mergeCell ref="H558:I558"/>
    <mergeCell ref="J558:K558"/>
    <mergeCell ref="L558:M558"/>
    <mergeCell ref="O558:P558"/>
    <mergeCell ref="A559:E559"/>
    <mergeCell ref="H559:I559"/>
    <mergeCell ref="J559:K559"/>
    <mergeCell ref="L559:M559"/>
    <mergeCell ref="O559:P559"/>
    <mergeCell ref="A552:E552"/>
    <mergeCell ref="H552:I552"/>
    <mergeCell ref="J552:K552"/>
    <mergeCell ref="L552:M552"/>
    <mergeCell ref="O552:P552"/>
    <mergeCell ref="A554:E554"/>
    <mergeCell ref="H554:I554"/>
    <mergeCell ref="J554:K554"/>
    <mergeCell ref="L554:M554"/>
    <mergeCell ref="O554:P554"/>
    <mergeCell ref="A553:E553"/>
    <mergeCell ref="H553:I553"/>
    <mergeCell ref="J553:K553"/>
    <mergeCell ref="L553:M553"/>
    <mergeCell ref="O553:P553"/>
    <mergeCell ref="A556:E556"/>
    <mergeCell ref="H556:I556"/>
    <mergeCell ref="J556:K556"/>
    <mergeCell ref="L556:M556"/>
    <mergeCell ref="O556:P556"/>
    <mergeCell ref="A550:E550"/>
    <mergeCell ref="H550:I550"/>
    <mergeCell ref="J550:K550"/>
    <mergeCell ref="L550:M550"/>
    <mergeCell ref="O550:P550"/>
    <mergeCell ref="A551:E551"/>
    <mergeCell ref="H551:I551"/>
    <mergeCell ref="J551:K551"/>
    <mergeCell ref="L551:M551"/>
    <mergeCell ref="O551:P551"/>
    <mergeCell ref="A548:E548"/>
    <mergeCell ref="H548:I548"/>
    <mergeCell ref="J548:K548"/>
    <mergeCell ref="L548:M548"/>
    <mergeCell ref="O548:P548"/>
    <mergeCell ref="A549:E549"/>
    <mergeCell ref="H549:I549"/>
    <mergeCell ref="J549:K549"/>
    <mergeCell ref="L549:M549"/>
    <mergeCell ref="O549:P549"/>
    <mergeCell ref="J535:K535"/>
    <mergeCell ref="L535:M535"/>
    <mergeCell ref="O535:P535"/>
    <mergeCell ref="A536:E536"/>
    <mergeCell ref="H536:I536"/>
    <mergeCell ref="J536:K536"/>
    <mergeCell ref="L536:M536"/>
    <mergeCell ref="O536:P536"/>
    <mergeCell ref="A533:E533"/>
    <mergeCell ref="H533:I533"/>
    <mergeCell ref="J533:K533"/>
    <mergeCell ref="L533:M533"/>
    <mergeCell ref="O533:P533"/>
    <mergeCell ref="A534:E534"/>
    <mergeCell ref="J534:K534"/>
    <mergeCell ref="L534:M534"/>
    <mergeCell ref="O534:P534"/>
    <mergeCell ref="A531:E531"/>
    <mergeCell ref="H531:I531"/>
    <mergeCell ref="J531:K531"/>
    <mergeCell ref="L531:M531"/>
    <mergeCell ref="O531:P531"/>
    <mergeCell ref="A532:E532"/>
    <mergeCell ref="H532:I532"/>
    <mergeCell ref="J532:K532"/>
    <mergeCell ref="L532:M532"/>
    <mergeCell ref="O532:P532"/>
    <mergeCell ref="A529:E529"/>
    <mergeCell ref="H529:I529"/>
    <mergeCell ref="J529:K529"/>
    <mergeCell ref="L529:M529"/>
    <mergeCell ref="O529:P529"/>
    <mergeCell ref="A530:E530"/>
    <mergeCell ref="H530:I530"/>
    <mergeCell ref="J530:K530"/>
    <mergeCell ref="L530:M530"/>
    <mergeCell ref="O530:P530"/>
    <mergeCell ref="A527:E527"/>
    <mergeCell ref="H527:I527"/>
    <mergeCell ref="J527:K527"/>
    <mergeCell ref="L527:M527"/>
    <mergeCell ref="O527:P527"/>
    <mergeCell ref="A528:E528"/>
    <mergeCell ref="H528:I528"/>
    <mergeCell ref="J528:K528"/>
    <mergeCell ref="L528:M528"/>
    <mergeCell ref="O528:P528"/>
    <mergeCell ref="A525:E525"/>
    <mergeCell ref="H525:I525"/>
    <mergeCell ref="J525:K525"/>
    <mergeCell ref="L525:M525"/>
    <mergeCell ref="O525:P525"/>
    <mergeCell ref="A526:E526"/>
    <mergeCell ref="H526:I526"/>
    <mergeCell ref="J526:K526"/>
    <mergeCell ref="L526:M526"/>
    <mergeCell ref="O526:P526"/>
    <mergeCell ref="A523:E523"/>
    <mergeCell ref="H523:I523"/>
    <mergeCell ref="J523:K523"/>
    <mergeCell ref="L523:M523"/>
    <mergeCell ref="O523:P523"/>
    <mergeCell ref="A524:E524"/>
    <mergeCell ref="H524:I524"/>
    <mergeCell ref="J524:K524"/>
    <mergeCell ref="L524:M524"/>
    <mergeCell ref="O524:P524"/>
    <mergeCell ref="A521:E521"/>
    <mergeCell ref="H521:I521"/>
    <mergeCell ref="J521:K521"/>
    <mergeCell ref="L521:M521"/>
    <mergeCell ref="O521:P521"/>
    <mergeCell ref="A522:E522"/>
    <mergeCell ref="H522:I522"/>
    <mergeCell ref="J522:K522"/>
    <mergeCell ref="L522:M522"/>
    <mergeCell ref="O522:P522"/>
    <mergeCell ref="A519:E519"/>
    <mergeCell ref="H519:I519"/>
    <mergeCell ref="J519:K519"/>
    <mergeCell ref="L519:M519"/>
    <mergeCell ref="O519:P519"/>
    <mergeCell ref="A520:E520"/>
    <mergeCell ref="H520:I520"/>
    <mergeCell ref="J520:K520"/>
    <mergeCell ref="L520:M520"/>
    <mergeCell ref="O520:P520"/>
    <mergeCell ref="A517:E517"/>
    <mergeCell ref="H517:I517"/>
    <mergeCell ref="J517:K517"/>
    <mergeCell ref="L517:M517"/>
    <mergeCell ref="O517:P517"/>
    <mergeCell ref="A518:E518"/>
    <mergeCell ref="H518:I518"/>
    <mergeCell ref="J518:K518"/>
    <mergeCell ref="L518:M518"/>
    <mergeCell ref="O518:P518"/>
    <mergeCell ref="A515:E515"/>
    <mergeCell ref="H515:I515"/>
    <mergeCell ref="J515:K515"/>
    <mergeCell ref="L515:M515"/>
    <mergeCell ref="O515:P515"/>
    <mergeCell ref="A516:E516"/>
    <mergeCell ref="H516:I516"/>
    <mergeCell ref="J516:K516"/>
    <mergeCell ref="L516:M516"/>
    <mergeCell ref="O516:P516"/>
    <mergeCell ref="A513:E513"/>
    <mergeCell ref="H513:I513"/>
    <mergeCell ref="J513:K513"/>
    <mergeCell ref="L513:M513"/>
    <mergeCell ref="O513:P513"/>
    <mergeCell ref="A514:E514"/>
    <mergeCell ref="H514:I514"/>
    <mergeCell ref="J514:K514"/>
    <mergeCell ref="L514:M514"/>
    <mergeCell ref="O514:P514"/>
    <mergeCell ref="A511:E511"/>
    <mergeCell ref="H511:I511"/>
    <mergeCell ref="J511:K511"/>
    <mergeCell ref="L511:M511"/>
    <mergeCell ref="O511:P511"/>
    <mergeCell ref="A512:E512"/>
    <mergeCell ref="H512:I512"/>
    <mergeCell ref="J512:K512"/>
    <mergeCell ref="L512:M512"/>
    <mergeCell ref="O512:P512"/>
    <mergeCell ref="A509:E509"/>
    <mergeCell ref="H509:I509"/>
    <mergeCell ref="J509:K509"/>
    <mergeCell ref="L509:M509"/>
    <mergeCell ref="O509:P509"/>
    <mergeCell ref="A510:E510"/>
    <mergeCell ref="H510:I510"/>
    <mergeCell ref="J510:K510"/>
    <mergeCell ref="L510:M510"/>
    <mergeCell ref="O510:P510"/>
    <mergeCell ref="A507:E507"/>
    <mergeCell ref="H507:I507"/>
    <mergeCell ref="J507:K507"/>
    <mergeCell ref="L507:M507"/>
    <mergeCell ref="O507:P507"/>
    <mergeCell ref="A508:E508"/>
    <mergeCell ref="H508:I508"/>
    <mergeCell ref="J508:K508"/>
    <mergeCell ref="L508:M508"/>
    <mergeCell ref="O508:P508"/>
    <mergeCell ref="A505:E505"/>
    <mergeCell ref="H505:I505"/>
    <mergeCell ref="J505:K505"/>
    <mergeCell ref="L505:M505"/>
    <mergeCell ref="O505:P505"/>
    <mergeCell ref="A506:E506"/>
    <mergeCell ref="H506:I506"/>
    <mergeCell ref="J506:K506"/>
    <mergeCell ref="L506:M506"/>
    <mergeCell ref="O506:P506"/>
    <mergeCell ref="A503:E503"/>
    <mergeCell ref="H503:I503"/>
    <mergeCell ref="J503:K503"/>
    <mergeCell ref="L503:M503"/>
    <mergeCell ref="O503:P503"/>
    <mergeCell ref="A504:E504"/>
    <mergeCell ref="H504:I504"/>
    <mergeCell ref="J504:K504"/>
    <mergeCell ref="L504:M504"/>
    <mergeCell ref="O504:P504"/>
    <mergeCell ref="A501:E501"/>
    <mergeCell ref="H501:I501"/>
    <mergeCell ref="J501:K501"/>
    <mergeCell ref="L501:M501"/>
    <mergeCell ref="O501:P501"/>
    <mergeCell ref="A502:E502"/>
    <mergeCell ref="H502:I502"/>
    <mergeCell ref="J502:K502"/>
    <mergeCell ref="L502:M502"/>
    <mergeCell ref="O502:P502"/>
    <mergeCell ref="A499:E499"/>
    <mergeCell ref="H499:I499"/>
    <mergeCell ref="J499:K499"/>
    <mergeCell ref="L499:M499"/>
    <mergeCell ref="O499:P499"/>
    <mergeCell ref="A500:E500"/>
    <mergeCell ref="H500:I500"/>
    <mergeCell ref="J500:K500"/>
    <mergeCell ref="L500:M500"/>
    <mergeCell ref="O500:P500"/>
    <mergeCell ref="A497:E497"/>
    <mergeCell ref="H497:I497"/>
    <mergeCell ref="J497:K497"/>
    <mergeCell ref="L497:M497"/>
    <mergeCell ref="O497:P497"/>
    <mergeCell ref="A498:E498"/>
    <mergeCell ref="H498:I498"/>
    <mergeCell ref="J498:K498"/>
    <mergeCell ref="L498:M498"/>
    <mergeCell ref="O498:P498"/>
    <mergeCell ref="A495:E495"/>
    <mergeCell ref="H495:I495"/>
    <mergeCell ref="J495:K495"/>
    <mergeCell ref="L495:M495"/>
    <mergeCell ref="O495:P495"/>
    <mergeCell ref="A496:E496"/>
    <mergeCell ref="H496:I496"/>
    <mergeCell ref="J496:K496"/>
    <mergeCell ref="L496:M496"/>
    <mergeCell ref="O496:P496"/>
    <mergeCell ref="A493:E493"/>
    <mergeCell ref="H493:I493"/>
    <mergeCell ref="J493:K493"/>
    <mergeCell ref="L493:M493"/>
    <mergeCell ref="O493:P493"/>
    <mergeCell ref="A494:E494"/>
    <mergeCell ref="H494:I494"/>
    <mergeCell ref="J494:K494"/>
    <mergeCell ref="L494:M494"/>
    <mergeCell ref="O494:P494"/>
    <mergeCell ref="A491:E491"/>
    <mergeCell ref="H491:I491"/>
    <mergeCell ref="J491:K491"/>
    <mergeCell ref="L491:M491"/>
    <mergeCell ref="O491:P491"/>
    <mergeCell ref="A492:E492"/>
    <mergeCell ref="H492:I492"/>
    <mergeCell ref="J492:K492"/>
    <mergeCell ref="L492:M492"/>
    <mergeCell ref="O492:P492"/>
    <mergeCell ref="A489:E489"/>
    <mergeCell ref="H489:I489"/>
    <mergeCell ref="J489:K489"/>
    <mergeCell ref="L489:M489"/>
    <mergeCell ref="O489:P489"/>
    <mergeCell ref="A490:E490"/>
    <mergeCell ref="H490:I490"/>
    <mergeCell ref="J490:K490"/>
    <mergeCell ref="L490:M490"/>
    <mergeCell ref="O490:P490"/>
    <mergeCell ref="A487:E487"/>
    <mergeCell ref="H487:I487"/>
    <mergeCell ref="J487:K487"/>
    <mergeCell ref="L487:M487"/>
    <mergeCell ref="O487:P487"/>
    <mergeCell ref="A488:E488"/>
    <mergeCell ref="H488:I488"/>
    <mergeCell ref="J488:K488"/>
    <mergeCell ref="L488:M488"/>
    <mergeCell ref="O488:P488"/>
    <mergeCell ref="A485:E485"/>
    <mergeCell ref="H485:I485"/>
    <mergeCell ref="J485:K485"/>
    <mergeCell ref="L485:M485"/>
    <mergeCell ref="O485:P485"/>
    <mergeCell ref="A486:E486"/>
    <mergeCell ref="H486:I486"/>
    <mergeCell ref="J486:K486"/>
    <mergeCell ref="L486:M486"/>
    <mergeCell ref="O486:P486"/>
    <mergeCell ref="A483:E483"/>
    <mergeCell ref="H483:I483"/>
    <mergeCell ref="J483:K483"/>
    <mergeCell ref="L483:M483"/>
    <mergeCell ref="O483:P483"/>
    <mergeCell ref="A484:E484"/>
    <mergeCell ref="H484:I484"/>
    <mergeCell ref="J484:K484"/>
    <mergeCell ref="L484:M484"/>
    <mergeCell ref="O484:P484"/>
    <mergeCell ref="A481:E481"/>
    <mergeCell ref="H481:I481"/>
    <mergeCell ref="J481:K481"/>
    <mergeCell ref="L481:M481"/>
    <mergeCell ref="O481:P481"/>
    <mergeCell ref="A482:E482"/>
    <mergeCell ref="H482:I482"/>
    <mergeCell ref="J482:K482"/>
    <mergeCell ref="L482:M482"/>
    <mergeCell ref="O482:P482"/>
    <mergeCell ref="A478:E478"/>
    <mergeCell ref="H478:I478"/>
    <mergeCell ref="J478:K478"/>
    <mergeCell ref="L478:M478"/>
    <mergeCell ref="O478:P478"/>
    <mergeCell ref="A480:E480"/>
    <mergeCell ref="H480:I480"/>
    <mergeCell ref="J480:K480"/>
    <mergeCell ref="L480:M480"/>
    <mergeCell ref="O480:P480"/>
    <mergeCell ref="A479:E479"/>
    <mergeCell ref="J479:K479"/>
    <mergeCell ref="L479:M479"/>
    <mergeCell ref="O479:P479"/>
    <mergeCell ref="H479:I479"/>
    <mergeCell ref="A476:E476"/>
    <mergeCell ref="H476:I476"/>
    <mergeCell ref="J476:K476"/>
    <mergeCell ref="L476:M476"/>
    <mergeCell ref="O476:P476"/>
    <mergeCell ref="A477:E477"/>
    <mergeCell ref="H477:I477"/>
    <mergeCell ref="J477:K477"/>
    <mergeCell ref="L477:M477"/>
    <mergeCell ref="O477:P477"/>
    <mergeCell ref="A474:E474"/>
    <mergeCell ref="H474:I474"/>
    <mergeCell ref="J474:K474"/>
    <mergeCell ref="L474:M474"/>
    <mergeCell ref="O474:P474"/>
    <mergeCell ref="A475:E475"/>
    <mergeCell ref="H475:I475"/>
    <mergeCell ref="J475:K475"/>
    <mergeCell ref="L475:M475"/>
    <mergeCell ref="O475:P475"/>
    <mergeCell ref="A469:E469"/>
    <mergeCell ref="H469:I469"/>
    <mergeCell ref="J469:K469"/>
    <mergeCell ref="L469:M469"/>
    <mergeCell ref="O469:P469"/>
    <mergeCell ref="A467:E467"/>
    <mergeCell ref="H467:I467"/>
    <mergeCell ref="J467:K467"/>
    <mergeCell ref="L467:M467"/>
    <mergeCell ref="O467:P467"/>
    <mergeCell ref="A472:E472"/>
    <mergeCell ref="H472:I472"/>
    <mergeCell ref="J472:K472"/>
    <mergeCell ref="L472:M472"/>
    <mergeCell ref="O472:P472"/>
    <mergeCell ref="A473:E473"/>
    <mergeCell ref="H473:I473"/>
    <mergeCell ref="J473:K473"/>
    <mergeCell ref="L473:M473"/>
    <mergeCell ref="O473:P473"/>
    <mergeCell ref="A470:E470"/>
    <mergeCell ref="H470:I470"/>
    <mergeCell ref="J470:K470"/>
    <mergeCell ref="L470:M470"/>
    <mergeCell ref="O470:P470"/>
    <mergeCell ref="A471:E471"/>
    <mergeCell ref="H471:I471"/>
    <mergeCell ref="J471:K471"/>
    <mergeCell ref="L471:M471"/>
    <mergeCell ref="O471:P471"/>
    <mergeCell ref="A466:E466"/>
    <mergeCell ref="H466:I466"/>
    <mergeCell ref="J466:K466"/>
    <mergeCell ref="L466:M466"/>
    <mergeCell ref="O466:P466"/>
    <mergeCell ref="A464:E464"/>
    <mergeCell ref="H464:I464"/>
    <mergeCell ref="J464:K464"/>
    <mergeCell ref="L464:M464"/>
    <mergeCell ref="O464:P464"/>
    <mergeCell ref="A465:E465"/>
    <mergeCell ref="H465:I465"/>
    <mergeCell ref="J465:K465"/>
    <mergeCell ref="L465:M465"/>
    <mergeCell ref="O465:P465"/>
    <mergeCell ref="A468:E468"/>
    <mergeCell ref="H468:I468"/>
    <mergeCell ref="J468:K468"/>
    <mergeCell ref="L468:M468"/>
    <mergeCell ref="O468:P468"/>
    <mergeCell ref="A462:E462"/>
    <mergeCell ref="H462:I462"/>
    <mergeCell ref="J462:K462"/>
    <mergeCell ref="L462:M462"/>
    <mergeCell ref="O462:P462"/>
    <mergeCell ref="A463:E463"/>
    <mergeCell ref="H463:I463"/>
    <mergeCell ref="J463:K463"/>
    <mergeCell ref="L463:M463"/>
    <mergeCell ref="O463:P463"/>
    <mergeCell ref="A438:E438"/>
    <mergeCell ref="H438:I438"/>
    <mergeCell ref="J438:K438"/>
    <mergeCell ref="L438:M438"/>
    <mergeCell ref="O438:P438"/>
    <mergeCell ref="A439:E439"/>
    <mergeCell ref="H439:I439"/>
    <mergeCell ref="J439:K439"/>
    <mergeCell ref="L439:M439"/>
    <mergeCell ref="O439:P439"/>
    <mergeCell ref="A440:E440"/>
    <mergeCell ref="A442:E442"/>
    <mergeCell ref="A443:E443"/>
    <mergeCell ref="A444:E444"/>
    <mergeCell ref="H440:I440"/>
    <mergeCell ref="H441:I441"/>
    <mergeCell ref="H442:I442"/>
    <mergeCell ref="H443:I443"/>
    <mergeCell ref="H444:I444"/>
    <mergeCell ref="J440:K440"/>
    <mergeCell ref="J442:K442"/>
    <mergeCell ref="J443:K443"/>
    <mergeCell ref="H435:I435"/>
    <mergeCell ref="J435:K435"/>
    <mergeCell ref="L435:M435"/>
    <mergeCell ref="O435:P435"/>
    <mergeCell ref="A432:E432"/>
    <mergeCell ref="H432:I432"/>
    <mergeCell ref="J432:K432"/>
    <mergeCell ref="L432:M432"/>
    <mergeCell ref="O432:P432"/>
    <mergeCell ref="A433:E433"/>
    <mergeCell ref="H433:I433"/>
    <mergeCell ref="J433:K433"/>
    <mergeCell ref="L433:M433"/>
    <mergeCell ref="O433:P433"/>
    <mergeCell ref="A430:E430"/>
    <mergeCell ref="J430:K430"/>
    <mergeCell ref="L430:M430"/>
    <mergeCell ref="O430:P430"/>
    <mergeCell ref="A431:E431"/>
    <mergeCell ref="J431:K431"/>
    <mergeCell ref="L431:M431"/>
    <mergeCell ref="O431:P431"/>
    <mergeCell ref="A428:E428"/>
    <mergeCell ref="J428:K428"/>
    <mergeCell ref="L428:M428"/>
    <mergeCell ref="O428:P428"/>
    <mergeCell ref="A429:E429"/>
    <mergeCell ref="J429:K429"/>
    <mergeCell ref="L429:M429"/>
    <mergeCell ref="O429:P429"/>
    <mergeCell ref="A426:E426"/>
    <mergeCell ref="J426:K426"/>
    <mergeCell ref="L426:M426"/>
    <mergeCell ref="O426:P426"/>
    <mergeCell ref="A427:E427"/>
    <mergeCell ref="H427:I427"/>
    <mergeCell ref="J427:K427"/>
    <mergeCell ref="L427:M427"/>
    <mergeCell ref="O427:P427"/>
    <mergeCell ref="A424:E424"/>
    <mergeCell ref="J424:K424"/>
    <mergeCell ref="L424:M424"/>
    <mergeCell ref="O424:P424"/>
    <mergeCell ref="A425:E425"/>
    <mergeCell ref="J425:K425"/>
    <mergeCell ref="L425:M425"/>
    <mergeCell ref="O425:P425"/>
    <mergeCell ref="A422:E422"/>
    <mergeCell ref="J422:K422"/>
    <mergeCell ref="L422:M422"/>
    <mergeCell ref="O422:P422"/>
    <mergeCell ref="A423:E423"/>
    <mergeCell ref="J423:K423"/>
    <mergeCell ref="L423:M423"/>
    <mergeCell ref="O423:P423"/>
    <mergeCell ref="A420:E420"/>
    <mergeCell ref="H420:I420"/>
    <mergeCell ref="J420:K420"/>
    <mergeCell ref="L420:M420"/>
    <mergeCell ref="O420:P420"/>
    <mergeCell ref="A421:E421"/>
    <mergeCell ref="H421:I421"/>
    <mergeCell ref="J421:K421"/>
    <mergeCell ref="L421:M421"/>
    <mergeCell ref="O421:P421"/>
    <mergeCell ref="A418:E418"/>
    <mergeCell ref="H418:I418"/>
    <mergeCell ref="J418:K418"/>
    <mergeCell ref="L418:M418"/>
    <mergeCell ref="O418:P418"/>
    <mergeCell ref="A419:E419"/>
    <mergeCell ref="H419:I419"/>
    <mergeCell ref="J419:K419"/>
    <mergeCell ref="L419:M419"/>
    <mergeCell ref="O419:P419"/>
    <mergeCell ref="A416:E416"/>
    <mergeCell ref="H416:I416"/>
    <mergeCell ref="J416:K416"/>
    <mergeCell ref="L416:M416"/>
    <mergeCell ref="O416:P416"/>
    <mergeCell ref="A417:E417"/>
    <mergeCell ref="H417:I417"/>
    <mergeCell ref="J417:K417"/>
    <mergeCell ref="L417:M417"/>
    <mergeCell ref="O417:P417"/>
    <mergeCell ref="A414:E414"/>
    <mergeCell ref="H414:I414"/>
    <mergeCell ref="J414:K414"/>
    <mergeCell ref="L414:M414"/>
    <mergeCell ref="O414:P414"/>
    <mergeCell ref="A415:E415"/>
    <mergeCell ref="H415:I415"/>
    <mergeCell ref="J415:K415"/>
    <mergeCell ref="L415:M415"/>
    <mergeCell ref="O415:P415"/>
    <mergeCell ref="A412:E412"/>
    <mergeCell ref="H412:I412"/>
    <mergeCell ref="J412:K412"/>
    <mergeCell ref="L412:M412"/>
    <mergeCell ref="O412:P412"/>
    <mergeCell ref="A413:E413"/>
    <mergeCell ref="H413:I413"/>
    <mergeCell ref="J413:K413"/>
    <mergeCell ref="L413:M413"/>
    <mergeCell ref="O413:P413"/>
    <mergeCell ref="A401:E401"/>
    <mergeCell ref="H401:I401"/>
    <mergeCell ref="J401:K401"/>
    <mergeCell ref="L401:M401"/>
    <mergeCell ref="O401:P401"/>
    <mergeCell ref="A402:E402"/>
    <mergeCell ref="H402:I402"/>
    <mergeCell ref="J402:K402"/>
    <mergeCell ref="L402:M402"/>
    <mergeCell ref="O402:P402"/>
    <mergeCell ref="A404:E404"/>
    <mergeCell ref="H404:I404"/>
    <mergeCell ref="J404:K404"/>
    <mergeCell ref="L404:M404"/>
    <mergeCell ref="O404:P404"/>
    <mergeCell ref="A405:E405"/>
    <mergeCell ref="H405:I405"/>
    <mergeCell ref="J405:K405"/>
    <mergeCell ref="L405:M405"/>
    <mergeCell ref="O405:P405"/>
    <mergeCell ref="A403:E403"/>
    <mergeCell ref="H403:I403"/>
    <mergeCell ref="J403:K403"/>
    <mergeCell ref="L403:M403"/>
    <mergeCell ref="O403:P403"/>
    <mergeCell ref="A399:E399"/>
    <mergeCell ref="H399:I399"/>
    <mergeCell ref="J399:K399"/>
    <mergeCell ref="L399:M399"/>
    <mergeCell ref="O399:P399"/>
    <mergeCell ref="A400:E400"/>
    <mergeCell ref="H400:I400"/>
    <mergeCell ref="J400:K400"/>
    <mergeCell ref="L400:M400"/>
    <mergeCell ref="O400:P400"/>
    <mergeCell ref="A397:E397"/>
    <mergeCell ref="H397:I397"/>
    <mergeCell ref="J397:K397"/>
    <mergeCell ref="L397:M397"/>
    <mergeCell ref="O397:P397"/>
    <mergeCell ref="A398:E398"/>
    <mergeCell ref="H398:I398"/>
    <mergeCell ref="J398:K398"/>
    <mergeCell ref="L398:M398"/>
    <mergeCell ref="O398:P398"/>
    <mergeCell ref="A396:E396"/>
    <mergeCell ref="H396:I396"/>
    <mergeCell ref="J396:K396"/>
    <mergeCell ref="L396:M396"/>
    <mergeCell ref="O396:P396"/>
    <mergeCell ref="A392:E392"/>
    <mergeCell ref="H392:I392"/>
    <mergeCell ref="J392:K392"/>
    <mergeCell ref="L392:M392"/>
    <mergeCell ref="O392:P392"/>
    <mergeCell ref="A393:E393"/>
    <mergeCell ref="H393:I393"/>
    <mergeCell ref="J393:K393"/>
    <mergeCell ref="L393:M393"/>
    <mergeCell ref="O393:P393"/>
    <mergeCell ref="A394:E394"/>
    <mergeCell ref="J394:K394"/>
    <mergeCell ref="H394:I394"/>
    <mergeCell ref="L394:M394"/>
    <mergeCell ref="O394:P394"/>
    <mergeCell ref="A391:E391"/>
    <mergeCell ref="H391:I391"/>
    <mergeCell ref="J391:K391"/>
    <mergeCell ref="L391:M391"/>
    <mergeCell ref="O391:P391"/>
    <mergeCell ref="A388:E388"/>
    <mergeCell ref="H388:I388"/>
    <mergeCell ref="J388:K388"/>
    <mergeCell ref="L388:M388"/>
    <mergeCell ref="O388:P388"/>
    <mergeCell ref="A389:E389"/>
    <mergeCell ref="H389:I389"/>
    <mergeCell ref="J389:K389"/>
    <mergeCell ref="L389:M389"/>
    <mergeCell ref="O389:P389"/>
    <mergeCell ref="A395:E395"/>
    <mergeCell ref="H395:I395"/>
    <mergeCell ref="J395:K395"/>
    <mergeCell ref="L395:M395"/>
    <mergeCell ref="O395:P395"/>
    <mergeCell ref="A387:E387"/>
    <mergeCell ref="H387:I387"/>
    <mergeCell ref="J387:K387"/>
    <mergeCell ref="L387:M387"/>
    <mergeCell ref="O387:P387"/>
    <mergeCell ref="A379:E379"/>
    <mergeCell ref="H379:I379"/>
    <mergeCell ref="J379:K379"/>
    <mergeCell ref="L379:M379"/>
    <mergeCell ref="O379:P379"/>
    <mergeCell ref="A380:E380"/>
    <mergeCell ref="H380:I380"/>
    <mergeCell ref="J380:K380"/>
    <mergeCell ref="L380:M380"/>
    <mergeCell ref="O380:P380"/>
    <mergeCell ref="A390:E390"/>
    <mergeCell ref="H390:I390"/>
    <mergeCell ref="J390:K390"/>
    <mergeCell ref="L390:M390"/>
    <mergeCell ref="O390:P390"/>
    <mergeCell ref="A378:E378"/>
    <mergeCell ref="H378:I378"/>
    <mergeCell ref="J378:K378"/>
    <mergeCell ref="L378:M378"/>
    <mergeCell ref="O378:P378"/>
    <mergeCell ref="A375:E375"/>
    <mergeCell ref="H375:I375"/>
    <mergeCell ref="J375:K375"/>
    <mergeCell ref="L375:M375"/>
    <mergeCell ref="O375:P375"/>
    <mergeCell ref="A376:E376"/>
    <mergeCell ref="H376:I376"/>
    <mergeCell ref="J376:K376"/>
    <mergeCell ref="L376:M376"/>
    <mergeCell ref="O376:P376"/>
    <mergeCell ref="A386:E386"/>
    <mergeCell ref="H386:I386"/>
    <mergeCell ref="J386:K386"/>
    <mergeCell ref="L386:M386"/>
    <mergeCell ref="O386:P386"/>
    <mergeCell ref="A374:E374"/>
    <mergeCell ref="H374:I374"/>
    <mergeCell ref="J374:K374"/>
    <mergeCell ref="L374:M374"/>
    <mergeCell ref="O374:P374"/>
    <mergeCell ref="A371:E371"/>
    <mergeCell ref="H371:I371"/>
    <mergeCell ref="J371:K371"/>
    <mergeCell ref="L371:M371"/>
    <mergeCell ref="O371:P371"/>
    <mergeCell ref="A372:E372"/>
    <mergeCell ref="H372:I372"/>
    <mergeCell ref="J372:K372"/>
    <mergeCell ref="L372:M372"/>
    <mergeCell ref="O372:P372"/>
    <mergeCell ref="A377:E377"/>
    <mergeCell ref="H377:I377"/>
    <mergeCell ref="J377:K377"/>
    <mergeCell ref="L377:M377"/>
    <mergeCell ref="O377:P377"/>
    <mergeCell ref="A370:E370"/>
    <mergeCell ref="H370:I370"/>
    <mergeCell ref="J370:K370"/>
    <mergeCell ref="L370:M370"/>
    <mergeCell ref="O370:P370"/>
    <mergeCell ref="A367:E367"/>
    <mergeCell ref="H367:I367"/>
    <mergeCell ref="J367:K367"/>
    <mergeCell ref="L367:M367"/>
    <mergeCell ref="O367:P367"/>
    <mergeCell ref="A368:E368"/>
    <mergeCell ref="H368:I368"/>
    <mergeCell ref="J368:K368"/>
    <mergeCell ref="L368:M368"/>
    <mergeCell ref="O368:P368"/>
    <mergeCell ref="A373:E373"/>
    <mergeCell ref="H373:I373"/>
    <mergeCell ref="J373:K373"/>
    <mergeCell ref="L373:M373"/>
    <mergeCell ref="O373:P373"/>
    <mergeCell ref="A366:E366"/>
    <mergeCell ref="H366:I366"/>
    <mergeCell ref="J366:K366"/>
    <mergeCell ref="L366:M366"/>
    <mergeCell ref="O366:P366"/>
    <mergeCell ref="A363:E363"/>
    <mergeCell ref="H363:I363"/>
    <mergeCell ref="J363:K363"/>
    <mergeCell ref="L363:M363"/>
    <mergeCell ref="O363:P363"/>
    <mergeCell ref="A364:E364"/>
    <mergeCell ref="H364:I364"/>
    <mergeCell ref="J364:K364"/>
    <mergeCell ref="L364:M364"/>
    <mergeCell ref="O364:P364"/>
    <mergeCell ref="A369:E369"/>
    <mergeCell ref="H369:I369"/>
    <mergeCell ref="J369:K369"/>
    <mergeCell ref="L369:M369"/>
    <mergeCell ref="O369:P369"/>
    <mergeCell ref="A362:E362"/>
    <mergeCell ref="H362:I362"/>
    <mergeCell ref="J362:K362"/>
    <mergeCell ref="L362:M362"/>
    <mergeCell ref="O362:P362"/>
    <mergeCell ref="A358:E358"/>
    <mergeCell ref="H358:I358"/>
    <mergeCell ref="J358:K358"/>
    <mergeCell ref="L358:M358"/>
    <mergeCell ref="O358:P358"/>
    <mergeCell ref="A360:E360"/>
    <mergeCell ref="H360:I360"/>
    <mergeCell ref="J360:K360"/>
    <mergeCell ref="L360:M360"/>
    <mergeCell ref="O360:P360"/>
    <mergeCell ref="A365:E365"/>
    <mergeCell ref="H365:I365"/>
    <mergeCell ref="J365:K365"/>
    <mergeCell ref="L365:M365"/>
    <mergeCell ref="O365:P365"/>
    <mergeCell ref="A357:E357"/>
    <mergeCell ref="H357:I357"/>
    <mergeCell ref="J357:K357"/>
    <mergeCell ref="L357:M357"/>
    <mergeCell ref="O357:P357"/>
    <mergeCell ref="A354:E354"/>
    <mergeCell ref="H354:I354"/>
    <mergeCell ref="J354:K354"/>
    <mergeCell ref="L354:M354"/>
    <mergeCell ref="O354:P354"/>
    <mergeCell ref="A355:E355"/>
    <mergeCell ref="H355:I355"/>
    <mergeCell ref="J355:K355"/>
    <mergeCell ref="L355:M355"/>
    <mergeCell ref="O355:P355"/>
    <mergeCell ref="A361:E361"/>
    <mergeCell ref="H361:I361"/>
    <mergeCell ref="J361:K361"/>
    <mergeCell ref="L361:M361"/>
    <mergeCell ref="O361:P361"/>
    <mergeCell ref="A353:E353"/>
    <mergeCell ref="H353:I353"/>
    <mergeCell ref="J353:K353"/>
    <mergeCell ref="L353:M353"/>
    <mergeCell ref="O353:P353"/>
    <mergeCell ref="H343:I343"/>
    <mergeCell ref="J343:K343"/>
    <mergeCell ref="L343:M343"/>
    <mergeCell ref="O343:P343"/>
    <mergeCell ref="A351:E351"/>
    <mergeCell ref="H351:I351"/>
    <mergeCell ref="J351:K351"/>
    <mergeCell ref="L351:M351"/>
    <mergeCell ref="O351:P351"/>
    <mergeCell ref="A356:E356"/>
    <mergeCell ref="H356:I356"/>
    <mergeCell ref="J356:K356"/>
    <mergeCell ref="L356:M356"/>
    <mergeCell ref="O356:P356"/>
    <mergeCell ref="H345:I345"/>
    <mergeCell ref="H346:I346"/>
    <mergeCell ref="H349:I349"/>
    <mergeCell ref="J345:K345"/>
    <mergeCell ref="J346:K346"/>
    <mergeCell ref="J349:K349"/>
    <mergeCell ref="A345:E345"/>
    <mergeCell ref="A346:E346"/>
    <mergeCell ref="A349:E349"/>
    <mergeCell ref="A348:E348"/>
    <mergeCell ref="L345:M345"/>
    <mergeCell ref="L346:M346"/>
    <mergeCell ref="O345:P345"/>
    <mergeCell ref="A342:E342"/>
    <mergeCell ref="H342:I342"/>
    <mergeCell ref="J342:K342"/>
    <mergeCell ref="L342:M342"/>
    <mergeCell ref="O342:P342"/>
    <mergeCell ref="A338:E338"/>
    <mergeCell ref="H338:I338"/>
    <mergeCell ref="J338:K338"/>
    <mergeCell ref="L338:M338"/>
    <mergeCell ref="O338:P338"/>
    <mergeCell ref="A339:E339"/>
    <mergeCell ref="H339:I339"/>
    <mergeCell ref="J339:K339"/>
    <mergeCell ref="L339:M339"/>
    <mergeCell ref="O339:P339"/>
    <mergeCell ref="A352:E352"/>
    <mergeCell ref="H352:I352"/>
    <mergeCell ref="J352:K352"/>
    <mergeCell ref="L352:M352"/>
    <mergeCell ref="O352:P352"/>
    <mergeCell ref="A344:E344"/>
    <mergeCell ref="J344:K344"/>
    <mergeCell ref="O344:P344"/>
    <mergeCell ref="L344:M344"/>
    <mergeCell ref="H344:I344"/>
    <mergeCell ref="O346:P346"/>
    <mergeCell ref="J348:K348"/>
    <mergeCell ref="H348:I348"/>
    <mergeCell ref="O348:P348"/>
    <mergeCell ref="O349:P349"/>
    <mergeCell ref="A347:E347"/>
    <mergeCell ref="H347:I347"/>
    <mergeCell ref="A337:E337"/>
    <mergeCell ref="H337:I337"/>
    <mergeCell ref="J337:K337"/>
    <mergeCell ref="L337:M337"/>
    <mergeCell ref="O337:P337"/>
    <mergeCell ref="A334:E334"/>
    <mergeCell ref="H334:I334"/>
    <mergeCell ref="J334:K334"/>
    <mergeCell ref="L334:M334"/>
    <mergeCell ref="O334:P334"/>
    <mergeCell ref="A335:E335"/>
    <mergeCell ref="H335:I335"/>
    <mergeCell ref="J335:K335"/>
    <mergeCell ref="L335:M335"/>
    <mergeCell ref="O335:P335"/>
    <mergeCell ref="A341:E341"/>
    <mergeCell ref="H341:I341"/>
    <mergeCell ref="J341:K341"/>
    <mergeCell ref="L341:M341"/>
    <mergeCell ref="O341:P341"/>
    <mergeCell ref="A333:E333"/>
    <mergeCell ref="H333:I333"/>
    <mergeCell ref="J333:K333"/>
    <mergeCell ref="L333:M333"/>
    <mergeCell ref="O333:P333"/>
    <mergeCell ref="A330:E330"/>
    <mergeCell ref="H330:I330"/>
    <mergeCell ref="J330:K330"/>
    <mergeCell ref="L330:M330"/>
    <mergeCell ref="O330:P330"/>
    <mergeCell ref="A331:E331"/>
    <mergeCell ref="H331:I331"/>
    <mergeCell ref="J331:K331"/>
    <mergeCell ref="L331:M331"/>
    <mergeCell ref="O331:P331"/>
    <mergeCell ref="A336:E336"/>
    <mergeCell ref="H336:I336"/>
    <mergeCell ref="J336:K336"/>
    <mergeCell ref="L336:M336"/>
    <mergeCell ref="O336:P336"/>
    <mergeCell ref="A329:E329"/>
    <mergeCell ref="H329:I329"/>
    <mergeCell ref="J329:K329"/>
    <mergeCell ref="L329:M329"/>
    <mergeCell ref="O329:P329"/>
    <mergeCell ref="A326:E326"/>
    <mergeCell ref="H326:I326"/>
    <mergeCell ref="J326:K326"/>
    <mergeCell ref="L326:M326"/>
    <mergeCell ref="O326:P326"/>
    <mergeCell ref="A327:E327"/>
    <mergeCell ref="H327:I327"/>
    <mergeCell ref="J327:K327"/>
    <mergeCell ref="L327:M327"/>
    <mergeCell ref="O327:P327"/>
    <mergeCell ref="A332:E332"/>
    <mergeCell ref="H332:I332"/>
    <mergeCell ref="J332:K332"/>
    <mergeCell ref="L332:M332"/>
    <mergeCell ref="O332:P332"/>
    <mergeCell ref="A325:E325"/>
    <mergeCell ref="H325:I325"/>
    <mergeCell ref="J325:K325"/>
    <mergeCell ref="L325:M325"/>
    <mergeCell ref="O325:P325"/>
    <mergeCell ref="A323:E323"/>
    <mergeCell ref="H323:I323"/>
    <mergeCell ref="J323:K323"/>
    <mergeCell ref="L323:M323"/>
    <mergeCell ref="O323:P323"/>
    <mergeCell ref="A324:E324"/>
    <mergeCell ref="H324:I324"/>
    <mergeCell ref="J324:K324"/>
    <mergeCell ref="L324:M324"/>
    <mergeCell ref="O324:P324"/>
    <mergeCell ref="A328:E328"/>
    <mergeCell ref="H328:I328"/>
    <mergeCell ref="J328:K328"/>
    <mergeCell ref="L328:M328"/>
    <mergeCell ref="O328:P328"/>
    <mergeCell ref="A321:E321"/>
    <mergeCell ref="H321:I321"/>
    <mergeCell ref="J321:K321"/>
    <mergeCell ref="L321:M321"/>
    <mergeCell ref="O321:P321"/>
    <mergeCell ref="A322:E322"/>
    <mergeCell ref="H322:I322"/>
    <mergeCell ref="J322:K322"/>
    <mergeCell ref="L322:M322"/>
    <mergeCell ref="O322:P322"/>
    <mergeCell ref="A319:E319"/>
    <mergeCell ref="H319:I319"/>
    <mergeCell ref="J319:K319"/>
    <mergeCell ref="L319:M319"/>
    <mergeCell ref="O319:P319"/>
    <mergeCell ref="A320:E320"/>
    <mergeCell ref="H320:I320"/>
    <mergeCell ref="J320:K320"/>
    <mergeCell ref="L320:M320"/>
    <mergeCell ref="O320:P320"/>
    <mergeCell ref="A317:E317"/>
    <mergeCell ref="H317:I317"/>
    <mergeCell ref="J317:K317"/>
    <mergeCell ref="L317:M317"/>
    <mergeCell ref="O317:P317"/>
    <mergeCell ref="A318:E318"/>
    <mergeCell ref="H318:I318"/>
    <mergeCell ref="J318:K318"/>
    <mergeCell ref="L318:M318"/>
    <mergeCell ref="O318:P318"/>
    <mergeCell ref="A315:E315"/>
    <mergeCell ref="H315:I315"/>
    <mergeCell ref="J315:K315"/>
    <mergeCell ref="L315:M315"/>
    <mergeCell ref="O315:P315"/>
    <mergeCell ref="A316:E316"/>
    <mergeCell ref="H316:I316"/>
    <mergeCell ref="J316:K316"/>
    <mergeCell ref="L316:M316"/>
    <mergeCell ref="O316:P316"/>
    <mergeCell ref="A313:E313"/>
    <mergeCell ref="H313:I313"/>
    <mergeCell ref="J313:K313"/>
    <mergeCell ref="L313:M313"/>
    <mergeCell ref="O313:P313"/>
    <mergeCell ref="A314:E314"/>
    <mergeCell ref="H314:I314"/>
    <mergeCell ref="J314:K314"/>
    <mergeCell ref="L314:M314"/>
    <mergeCell ref="O314:P314"/>
    <mergeCell ref="A311:E311"/>
    <mergeCell ref="H311:I311"/>
    <mergeCell ref="J311:K311"/>
    <mergeCell ref="L311:M311"/>
    <mergeCell ref="O311:P311"/>
    <mergeCell ref="A312:E312"/>
    <mergeCell ref="H312:I312"/>
    <mergeCell ref="J312:K312"/>
    <mergeCell ref="L312:M312"/>
    <mergeCell ref="O312:P312"/>
    <mergeCell ref="A309:E309"/>
    <mergeCell ref="H309:I309"/>
    <mergeCell ref="J309:K309"/>
    <mergeCell ref="L309:M309"/>
    <mergeCell ref="O309:P309"/>
    <mergeCell ref="A310:E310"/>
    <mergeCell ref="H310:I310"/>
    <mergeCell ref="J310:K310"/>
    <mergeCell ref="L310:M310"/>
    <mergeCell ref="O310:P310"/>
    <mergeCell ref="A307:E307"/>
    <mergeCell ref="H307:I307"/>
    <mergeCell ref="J307:K307"/>
    <mergeCell ref="L307:M307"/>
    <mergeCell ref="O307:P307"/>
    <mergeCell ref="A308:E308"/>
    <mergeCell ref="H308:I308"/>
    <mergeCell ref="J308:K308"/>
    <mergeCell ref="L308:M308"/>
    <mergeCell ref="O308:P308"/>
    <mergeCell ref="A304:E304"/>
    <mergeCell ref="H304:I304"/>
    <mergeCell ref="J304:K304"/>
    <mergeCell ref="O304:P304"/>
    <mergeCell ref="A306:E306"/>
    <mergeCell ref="H306:I306"/>
    <mergeCell ref="J306:K306"/>
    <mergeCell ref="L306:M306"/>
    <mergeCell ref="O306:P306"/>
    <mergeCell ref="A302:E302"/>
    <mergeCell ref="H302:I302"/>
    <mergeCell ref="J302:K302"/>
    <mergeCell ref="O302:P302"/>
    <mergeCell ref="A303:E303"/>
    <mergeCell ref="H303:I303"/>
    <mergeCell ref="J303:K303"/>
    <mergeCell ref="O303:P303"/>
    <mergeCell ref="A300:E300"/>
    <mergeCell ref="H300:I300"/>
    <mergeCell ref="J300:K300"/>
    <mergeCell ref="O300:P300"/>
    <mergeCell ref="A301:E301"/>
    <mergeCell ref="H301:I301"/>
    <mergeCell ref="J301:K301"/>
    <mergeCell ref="O301:P301"/>
    <mergeCell ref="A298:E298"/>
    <mergeCell ref="H298:I298"/>
    <mergeCell ref="J298:K298"/>
    <mergeCell ref="O298:P298"/>
    <mergeCell ref="A299:E299"/>
    <mergeCell ref="H299:I299"/>
    <mergeCell ref="J299:K299"/>
    <mergeCell ref="O299:P299"/>
    <mergeCell ref="A296:E296"/>
    <mergeCell ref="H296:I296"/>
    <mergeCell ref="J296:K296"/>
    <mergeCell ref="O296:P296"/>
    <mergeCell ref="A297:E297"/>
    <mergeCell ref="H297:I297"/>
    <mergeCell ref="J297:K297"/>
    <mergeCell ref="O297:P297"/>
    <mergeCell ref="A294:E294"/>
    <mergeCell ref="H294:I294"/>
    <mergeCell ref="J294:K294"/>
    <mergeCell ref="O294:P294"/>
    <mergeCell ref="A295:E295"/>
    <mergeCell ref="H295:I295"/>
    <mergeCell ref="J295:K295"/>
    <mergeCell ref="O295:P295"/>
    <mergeCell ref="A292:E292"/>
    <mergeCell ref="H292:I292"/>
    <mergeCell ref="J292:K292"/>
    <mergeCell ref="O292:P292"/>
    <mergeCell ref="A293:E293"/>
    <mergeCell ref="H293:I293"/>
    <mergeCell ref="J293:K293"/>
    <mergeCell ref="O293:P293"/>
    <mergeCell ref="A290:E290"/>
    <mergeCell ref="H290:I290"/>
    <mergeCell ref="J290:K290"/>
    <mergeCell ref="O290:P290"/>
    <mergeCell ref="A291:E291"/>
    <mergeCell ref="H291:I291"/>
    <mergeCell ref="J291:K291"/>
    <mergeCell ref="O291:P291"/>
    <mergeCell ref="A288:E288"/>
    <mergeCell ref="H288:I288"/>
    <mergeCell ref="J288:K288"/>
    <mergeCell ref="O288:P288"/>
    <mergeCell ref="A289:E289"/>
    <mergeCell ref="H289:I289"/>
    <mergeCell ref="J289:K289"/>
    <mergeCell ref="O289:P289"/>
    <mergeCell ref="A286:E286"/>
    <mergeCell ref="H286:I286"/>
    <mergeCell ref="J286:K286"/>
    <mergeCell ref="O286:P286"/>
    <mergeCell ref="A287:E287"/>
    <mergeCell ref="H287:I287"/>
    <mergeCell ref="J287:K287"/>
    <mergeCell ref="O287:P287"/>
    <mergeCell ref="A284:E284"/>
    <mergeCell ref="H284:I284"/>
    <mergeCell ref="J284:K284"/>
    <mergeCell ref="O284:P284"/>
    <mergeCell ref="A285:E285"/>
    <mergeCell ref="H285:I285"/>
    <mergeCell ref="J285:K285"/>
    <mergeCell ref="O285:P285"/>
    <mergeCell ref="A282:E282"/>
    <mergeCell ref="H282:I282"/>
    <mergeCell ref="J282:K282"/>
    <mergeCell ref="O282:P282"/>
    <mergeCell ref="A283:E283"/>
    <mergeCell ref="H283:I283"/>
    <mergeCell ref="J283:K283"/>
    <mergeCell ref="O283:P283"/>
    <mergeCell ref="A280:E280"/>
    <mergeCell ref="H280:I280"/>
    <mergeCell ref="J280:K280"/>
    <mergeCell ref="O280:P280"/>
    <mergeCell ref="A281:E281"/>
    <mergeCell ref="H281:I281"/>
    <mergeCell ref="J281:K281"/>
    <mergeCell ref="O281:P281"/>
    <mergeCell ref="A278:E278"/>
    <mergeCell ref="H278:I278"/>
    <mergeCell ref="J278:K278"/>
    <mergeCell ref="O278:P278"/>
    <mergeCell ref="A279:E279"/>
    <mergeCell ref="H279:I279"/>
    <mergeCell ref="J279:K279"/>
    <mergeCell ref="O279:P279"/>
    <mergeCell ref="A275:E275"/>
    <mergeCell ref="H275:I275"/>
    <mergeCell ref="J275:K275"/>
    <mergeCell ref="O275:P275"/>
    <mergeCell ref="A273:E273"/>
    <mergeCell ref="H273:I273"/>
    <mergeCell ref="J273:K273"/>
    <mergeCell ref="O273:P273"/>
    <mergeCell ref="A274:E274"/>
    <mergeCell ref="H274:I274"/>
    <mergeCell ref="J274:K274"/>
    <mergeCell ref="O274:P274"/>
    <mergeCell ref="A277:E277"/>
    <mergeCell ref="H277:I277"/>
    <mergeCell ref="J277:K277"/>
    <mergeCell ref="O277:P277"/>
    <mergeCell ref="A271:E271"/>
    <mergeCell ref="H271:I271"/>
    <mergeCell ref="J271:K271"/>
    <mergeCell ref="O271:P271"/>
    <mergeCell ref="A272:E272"/>
    <mergeCell ref="H272:I272"/>
    <mergeCell ref="J272:K272"/>
    <mergeCell ref="O272:P272"/>
    <mergeCell ref="A269:E269"/>
    <mergeCell ref="H269:I269"/>
    <mergeCell ref="J269:K269"/>
    <mergeCell ref="O269:P269"/>
    <mergeCell ref="A270:E270"/>
    <mergeCell ref="H270:I270"/>
    <mergeCell ref="J270:K270"/>
    <mergeCell ref="O270:P270"/>
    <mergeCell ref="A267:E267"/>
    <mergeCell ref="H267:I267"/>
    <mergeCell ref="J267:K267"/>
    <mergeCell ref="O267:P267"/>
    <mergeCell ref="A268:E268"/>
    <mergeCell ref="H268:I268"/>
    <mergeCell ref="J268:K268"/>
    <mergeCell ref="O268:P268"/>
    <mergeCell ref="A260:E260"/>
    <mergeCell ref="H260:I260"/>
    <mergeCell ref="J260:K260"/>
    <mergeCell ref="L260:M260"/>
    <mergeCell ref="O260:P260"/>
    <mergeCell ref="O266:P266"/>
    <mergeCell ref="A258:E258"/>
    <mergeCell ref="H258:I258"/>
    <mergeCell ref="J258:K258"/>
    <mergeCell ref="L258:M258"/>
    <mergeCell ref="O258:P258"/>
    <mergeCell ref="A259:E259"/>
    <mergeCell ref="H259:I259"/>
    <mergeCell ref="J259:K259"/>
    <mergeCell ref="L259:M259"/>
    <mergeCell ref="O259:P259"/>
    <mergeCell ref="O261:P261"/>
    <mergeCell ref="H262:I262"/>
    <mergeCell ref="J262:K262"/>
    <mergeCell ref="L262:M262"/>
    <mergeCell ref="O262:P262"/>
    <mergeCell ref="H263:I263"/>
    <mergeCell ref="A256:E256"/>
    <mergeCell ref="H256:I256"/>
    <mergeCell ref="J256:K256"/>
    <mergeCell ref="L256:M256"/>
    <mergeCell ref="O256:P256"/>
    <mergeCell ref="A257:E257"/>
    <mergeCell ref="H257:I257"/>
    <mergeCell ref="J257:K257"/>
    <mergeCell ref="L257:M257"/>
    <mergeCell ref="O257:P257"/>
    <mergeCell ref="J263:K263"/>
    <mergeCell ref="L263:M263"/>
    <mergeCell ref="O263:P263"/>
    <mergeCell ref="A254:E254"/>
    <mergeCell ref="H254:I254"/>
    <mergeCell ref="J254:K254"/>
    <mergeCell ref="L254:M254"/>
    <mergeCell ref="O254:P254"/>
    <mergeCell ref="A255:E255"/>
    <mergeCell ref="H255:I255"/>
    <mergeCell ref="J255:K255"/>
    <mergeCell ref="L255:M255"/>
    <mergeCell ref="O255:P255"/>
    <mergeCell ref="A252:E252"/>
    <mergeCell ref="H252:I252"/>
    <mergeCell ref="J252:K252"/>
    <mergeCell ref="L252:M252"/>
    <mergeCell ref="O252:P252"/>
    <mergeCell ref="A253:E253"/>
    <mergeCell ref="H253:I253"/>
    <mergeCell ref="J253:K253"/>
    <mergeCell ref="L253:M253"/>
    <mergeCell ref="O253:P253"/>
    <mergeCell ref="A250:E250"/>
    <mergeCell ref="H250:I250"/>
    <mergeCell ref="J250:K250"/>
    <mergeCell ref="L250:M250"/>
    <mergeCell ref="O250:P250"/>
    <mergeCell ref="A251:E251"/>
    <mergeCell ref="H251:I251"/>
    <mergeCell ref="J251:K251"/>
    <mergeCell ref="L251:M251"/>
    <mergeCell ref="O251:P251"/>
    <mergeCell ref="A248:E248"/>
    <mergeCell ref="H248:I248"/>
    <mergeCell ref="J248:K248"/>
    <mergeCell ref="L248:M248"/>
    <mergeCell ref="O248:P248"/>
    <mergeCell ref="A249:E249"/>
    <mergeCell ref="H249:I249"/>
    <mergeCell ref="J249:K249"/>
    <mergeCell ref="L249:M249"/>
    <mergeCell ref="O249:P249"/>
    <mergeCell ref="A246:E246"/>
    <mergeCell ref="H246:I246"/>
    <mergeCell ref="J246:K246"/>
    <mergeCell ref="L246:M246"/>
    <mergeCell ref="O246:P246"/>
    <mergeCell ref="A247:E247"/>
    <mergeCell ref="H247:I247"/>
    <mergeCell ref="J247:K247"/>
    <mergeCell ref="L247:M247"/>
    <mergeCell ref="O247:P247"/>
    <mergeCell ref="A244:E244"/>
    <mergeCell ref="H244:I244"/>
    <mergeCell ref="J244:K244"/>
    <mergeCell ref="L244:M244"/>
    <mergeCell ref="O244:P244"/>
    <mergeCell ref="A245:E245"/>
    <mergeCell ref="H245:I245"/>
    <mergeCell ref="J245:K245"/>
    <mergeCell ref="L245:M245"/>
    <mergeCell ref="O245:P245"/>
    <mergeCell ref="A242:E242"/>
    <mergeCell ref="H242:I242"/>
    <mergeCell ref="J242:K242"/>
    <mergeCell ref="L242:M242"/>
    <mergeCell ref="O242:P242"/>
    <mergeCell ref="A243:E243"/>
    <mergeCell ref="H243:I243"/>
    <mergeCell ref="J243:K243"/>
    <mergeCell ref="L243:M243"/>
    <mergeCell ref="O243:P243"/>
    <mergeCell ref="A240:E240"/>
    <mergeCell ref="H240:I240"/>
    <mergeCell ref="J240:K240"/>
    <mergeCell ref="L240:M240"/>
    <mergeCell ref="O240:P240"/>
    <mergeCell ref="A241:E241"/>
    <mergeCell ref="H241:I241"/>
    <mergeCell ref="J241:K241"/>
    <mergeCell ref="L241:M241"/>
    <mergeCell ref="O241:P241"/>
    <mergeCell ref="A238:E238"/>
    <mergeCell ref="H238:I238"/>
    <mergeCell ref="J238:K238"/>
    <mergeCell ref="L238:M238"/>
    <mergeCell ref="O238:P238"/>
    <mergeCell ref="A239:E239"/>
    <mergeCell ref="H239:I239"/>
    <mergeCell ref="J239:K239"/>
    <mergeCell ref="L239:M239"/>
    <mergeCell ref="O239:P239"/>
    <mergeCell ref="A236:E236"/>
    <mergeCell ref="H236:I236"/>
    <mergeCell ref="J236:K236"/>
    <mergeCell ref="L236:M236"/>
    <mergeCell ref="O236:P236"/>
    <mergeCell ref="A237:E237"/>
    <mergeCell ref="H237:I237"/>
    <mergeCell ref="J237:K237"/>
    <mergeCell ref="L237:M237"/>
    <mergeCell ref="O237:P237"/>
    <mergeCell ref="A234:E234"/>
    <mergeCell ref="H234:I234"/>
    <mergeCell ref="J234:K234"/>
    <mergeCell ref="L234:M234"/>
    <mergeCell ref="O234:P234"/>
    <mergeCell ref="A235:E235"/>
    <mergeCell ref="H235:I235"/>
    <mergeCell ref="J235:K235"/>
    <mergeCell ref="L235:M235"/>
    <mergeCell ref="O235:P235"/>
    <mergeCell ref="A232:E232"/>
    <mergeCell ref="H232:I232"/>
    <mergeCell ref="J232:K232"/>
    <mergeCell ref="L232:M232"/>
    <mergeCell ref="O232:P232"/>
    <mergeCell ref="A233:E233"/>
    <mergeCell ref="H233:I233"/>
    <mergeCell ref="J233:K233"/>
    <mergeCell ref="L233:M233"/>
    <mergeCell ref="O233:P233"/>
    <mergeCell ref="A230:E230"/>
    <mergeCell ref="H230:I230"/>
    <mergeCell ref="J230:K230"/>
    <mergeCell ref="L230:M230"/>
    <mergeCell ref="O230:P230"/>
    <mergeCell ref="A231:E231"/>
    <mergeCell ref="H231:I231"/>
    <mergeCell ref="J231:K231"/>
    <mergeCell ref="L231:M231"/>
    <mergeCell ref="O231:P231"/>
    <mergeCell ref="A228:E228"/>
    <mergeCell ref="H228:I228"/>
    <mergeCell ref="J228:K228"/>
    <mergeCell ref="L228:M228"/>
    <mergeCell ref="O228:P228"/>
    <mergeCell ref="A229:E229"/>
    <mergeCell ref="H229:I229"/>
    <mergeCell ref="J229:K229"/>
    <mergeCell ref="L229:M229"/>
    <mergeCell ref="O229:P229"/>
    <mergeCell ref="A226:E226"/>
    <mergeCell ref="H226:I226"/>
    <mergeCell ref="J226:K226"/>
    <mergeCell ref="L226:M226"/>
    <mergeCell ref="O226:P226"/>
    <mergeCell ref="A227:E227"/>
    <mergeCell ref="H227:I227"/>
    <mergeCell ref="J227:K227"/>
    <mergeCell ref="L227:M227"/>
    <mergeCell ref="O227:P227"/>
    <mergeCell ref="H221:I221"/>
    <mergeCell ref="L221:M221"/>
    <mergeCell ref="A219:E219"/>
    <mergeCell ref="H219:I219"/>
    <mergeCell ref="J219:K219"/>
    <mergeCell ref="L219:M219"/>
    <mergeCell ref="H220:I220"/>
    <mergeCell ref="L220:M220"/>
    <mergeCell ref="A224:E224"/>
    <mergeCell ref="H224:I224"/>
    <mergeCell ref="J224:K224"/>
    <mergeCell ref="L224:M224"/>
    <mergeCell ref="O224:P224"/>
    <mergeCell ref="A225:E225"/>
    <mergeCell ref="H225:I225"/>
    <mergeCell ref="J225:K225"/>
    <mergeCell ref="L225:M225"/>
    <mergeCell ref="O225:P225"/>
    <mergeCell ref="H222:I222"/>
    <mergeCell ref="J222:K222"/>
    <mergeCell ref="L222:M222"/>
    <mergeCell ref="O222:P222"/>
    <mergeCell ref="H223:I223"/>
    <mergeCell ref="J223:K223"/>
    <mergeCell ref="L223:M223"/>
    <mergeCell ref="O223:P223"/>
    <mergeCell ref="A217:E217"/>
    <mergeCell ref="H217:I217"/>
    <mergeCell ref="J217:K217"/>
    <mergeCell ref="L217:M217"/>
    <mergeCell ref="O217:P217"/>
    <mergeCell ref="A218:E218"/>
    <mergeCell ref="H218:I218"/>
    <mergeCell ref="J218:K218"/>
    <mergeCell ref="L218:M218"/>
    <mergeCell ref="O218:P218"/>
    <mergeCell ref="A194:E194"/>
    <mergeCell ref="H194:I194"/>
    <mergeCell ref="J194:K194"/>
    <mergeCell ref="L194:M194"/>
    <mergeCell ref="O194:P194"/>
    <mergeCell ref="A195:E195"/>
    <mergeCell ref="H195:I195"/>
    <mergeCell ref="J195:K195"/>
    <mergeCell ref="L195:M195"/>
    <mergeCell ref="O195:P195"/>
    <mergeCell ref="A196:E196"/>
    <mergeCell ref="A197:E197"/>
    <mergeCell ref="A198:E198"/>
    <mergeCell ref="A200:E200"/>
    <mergeCell ref="A202:E202"/>
    <mergeCell ref="A203:E203"/>
    <mergeCell ref="A204:E204"/>
    <mergeCell ref="J196:K196"/>
    <mergeCell ref="O192:P192"/>
    <mergeCell ref="A193:E193"/>
    <mergeCell ref="H193:I193"/>
    <mergeCell ref="J193:K193"/>
    <mergeCell ref="L193:M193"/>
    <mergeCell ref="O193:P193"/>
    <mergeCell ref="A190:E190"/>
    <mergeCell ref="H190:I190"/>
    <mergeCell ref="J190:K190"/>
    <mergeCell ref="L190:M190"/>
    <mergeCell ref="O190:P190"/>
    <mergeCell ref="A191:E191"/>
    <mergeCell ref="H191:I191"/>
    <mergeCell ref="J191:K191"/>
    <mergeCell ref="L191:M191"/>
    <mergeCell ref="O191:P191"/>
    <mergeCell ref="A188:E188"/>
    <mergeCell ref="H188:I188"/>
    <mergeCell ref="J188:K188"/>
    <mergeCell ref="L188:M188"/>
    <mergeCell ref="O188:P188"/>
    <mergeCell ref="A189:E189"/>
    <mergeCell ref="H189:I189"/>
    <mergeCell ref="J189:K189"/>
    <mergeCell ref="L189:M189"/>
    <mergeCell ref="O189:P189"/>
    <mergeCell ref="A186:E186"/>
    <mergeCell ref="H186:I186"/>
    <mergeCell ref="J186:K186"/>
    <mergeCell ref="L186:M186"/>
    <mergeCell ref="O186:P186"/>
    <mergeCell ref="A187:E187"/>
    <mergeCell ref="H187:I187"/>
    <mergeCell ref="J187:K187"/>
    <mergeCell ref="L187:M187"/>
    <mergeCell ref="O187:P187"/>
    <mergeCell ref="A184:E184"/>
    <mergeCell ref="H184:I184"/>
    <mergeCell ref="J184:K184"/>
    <mergeCell ref="L184:M184"/>
    <mergeCell ref="O184:P184"/>
    <mergeCell ref="A185:E185"/>
    <mergeCell ref="H185:I185"/>
    <mergeCell ref="J185:K185"/>
    <mergeCell ref="L185:M185"/>
    <mergeCell ref="O185:P185"/>
    <mergeCell ref="A182:E182"/>
    <mergeCell ref="H182:I182"/>
    <mergeCell ref="J182:K182"/>
    <mergeCell ref="L182:M182"/>
    <mergeCell ref="O182:P182"/>
    <mergeCell ref="A183:E183"/>
    <mergeCell ref="H183:I183"/>
    <mergeCell ref="J183:K183"/>
    <mergeCell ref="L183:M183"/>
    <mergeCell ref="O183:P183"/>
    <mergeCell ref="A180:E180"/>
    <mergeCell ref="H180:I180"/>
    <mergeCell ref="J180:K180"/>
    <mergeCell ref="L180:M180"/>
    <mergeCell ref="O180:P180"/>
    <mergeCell ref="A181:E181"/>
    <mergeCell ref="H181:I181"/>
    <mergeCell ref="J181:K181"/>
    <mergeCell ref="L181:M181"/>
    <mergeCell ref="O181:P181"/>
    <mergeCell ref="A178:E178"/>
    <mergeCell ref="H178:I178"/>
    <mergeCell ref="L178:M178"/>
    <mergeCell ref="O178:P178"/>
    <mergeCell ref="A179:E179"/>
    <mergeCell ref="H179:I179"/>
    <mergeCell ref="J179:K179"/>
    <mergeCell ref="L179:M179"/>
    <mergeCell ref="O179:P179"/>
    <mergeCell ref="A163:E163"/>
    <mergeCell ref="H163:I163"/>
    <mergeCell ref="J163:K163"/>
    <mergeCell ref="O163:P163"/>
    <mergeCell ref="A176:E176"/>
    <mergeCell ref="A177:E177"/>
    <mergeCell ref="H177:I177"/>
    <mergeCell ref="J177:K177"/>
    <mergeCell ref="L177:M177"/>
    <mergeCell ref="O177:P177"/>
    <mergeCell ref="A170:E170"/>
    <mergeCell ref="A171:E171"/>
    <mergeCell ref="A172:E172"/>
    <mergeCell ref="A173:E173"/>
    <mergeCell ref="A174:E174"/>
    <mergeCell ref="A175:E175"/>
    <mergeCell ref="A164:E164"/>
    <mergeCell ref="A165:E165"/>
    <mergeCell ref="A166:E166"/>
    <mergeCell ref="A167:E167"/>
    <mergeCell ref="A168:E168"/>
    <mergeCell ref="A169:E169"/>
    <mergeCell ref="A161:E161"/>
    <mergeCell ref="H161:I161"/>
    <mergeCell ref="J161:K161"/>
    <mergeCell ref="O161:P161"/>
    <mergeCell ref="A162:E162"/>
    <mergeCell ref="H162:I162"/>
    <mergeCell ref="J162:K162"/>
    <mergeCell ref="L162:M162"/>
    <mergeCell ref="O162:P162"/>
    <mergeCell ref="A159:E159"/>
    <mergeCell ref="H159:I159"/>
    <mergeCell ref="J159:K159"/>
    <mergeCell ref="O159:P159"/>
    <mergeCell ref="A160:E160"/>
    <mergeCell ref="H160:I160"/>
    <mergeCell ref="J160:K160"/>
    <mergeCell ref="O160:P160"/>
    <mergeCell ref="A157:E157"/>
    <mergeCell ref="H157:I157"/>
    <mergeCell ref="J157:K157"/>
    <mergeCell ref="O157:P157"/>
    <mergeCell ref="A158:E158"/>
    <mergeCell ref="H158:I158"/>
    <mergeCell ref="J158:K158"/>
    <mergeCell ref="L158:M158"/>
    <mergeCell ref="O158:P158"/>
    <mergeCell ref="A155:E155"/>
    <mergeCell ref="A156:E156"/>
    <mergeCell ref="H156:I156"/>
    <mergeCell ref="J156:K156"/>
    <mergeCell ref="L156:M156"/>
    <mergeCell ref="O156:P156"/>
    <mergeCell ref="A149:E149"/>
    <mergeCell ref="A150:E150"/>
    <mergeCell ref="A151:E151"/>
    <mergeCell ref="A152:E152"/>
    <mergeCell ref="A153:E153"/>
    <mergeCell ref="A154:E154"/>
    <mergeCell ref="A143:E143"/>
    <mergeCell ref="A144:E144"/>
    <mergeCell ref="A145:E145"/>
    <mergeCell ref="A146:E146"/>
    <mergeCell ref="A147:E147"/>
    <mergeCell ref="A148:E148"/>
    <mergeCell ref="A140:E140"/>
    <mergeCell ref="H140:I140"/>
    <mergeCell ref="A141:E141"/>
    <mergeCell ref="H141:I141"/>
    <mergeCell ref="A142:E142"/>
    <mergeCell ref="H142:I142"/>
    <mergeCell ref="L137:M137"/>
    <mergeCell ref="O137:P137"/>
    <mergeCell ref="A138:E138"/>
    <mergeCell ref="H138:I138"/>
    <mergeCell ref="A139:E139"/>
    <mergeCell ref="H139:I139"/>
    <mergeCell ref="J139:K139"/>
    <mergeCell ref="L139:M139"/>
    <mergeCell ref="O139:P139"/>
    <mergeCell ref="J138:K138"/>
    <mergeCell ref="J141:K141"/>
    <mergeCell ref="A134:E134"/>
    <mergeCell ref="A135:E135"/>
    <mergeCell ref="A136:E136"/>
    <mergeCell ref="A137:E137"/>
    <mergeCell ref="H137:I137"/>
    <mergeCell ref="J137:K137"/>
    <mergeCell ref="A130:E130"/>
    <mergeCell ref="A131:E131"/>
    <mergeCell ref="A132:E132"/>
    <mergeCell ref="A133:E133"/>
    <mergeCell ref="H133:I133"/>
    <mergeCell ref="J133:K133"/>
    <mergeCell ref="H127:I127"/>
    <mergeCell ref="J127:K127"/>
    <mergeCell ref="L127:M127"/>
    <mergeCell ref="O127:P127"/>
    <mergeCell ref="A128:E128"/>
    <mergeCell ref="A129:E129"/>
    <mergeCell ref="A107:E107"/>
    <mergeCell ref="J107:K107"/>
    <mergeCell ref="L107:M107"/>
    <mergeCell ref="O107:P107"/>
    <mergeCell ref="A114:E114"/>
    <mergeCell ref="J114:K114"/>
    <mergeCell ref="L114:M114"/>
    <mergeCell ref="O114:P114"/>
    <mergeCell ref="H109:I109"/>
    <mergeCell ref="J109:K109"/>
    <mergeCell ref="L109:M109"/>
    <mergeCell ref="O109:P109"/>
    <mergeCell ref="H110:I110"/>
    <mergeCell ref="J110:K110"/>
    <mergeCell ref="L110:M110"/>
    <mergeCell ref="O110:P110"/>
    <mergeCell ref="H111:I111"/>
    <mergeCell ref="J111:K111"/>
    <mergeCell ref="L111:M111"/>
    <mergeCell ref="O111:P111"/>
    <mergeCell ref="H112:I112"/>
    <mergeCell ref="J112:K112"/>
    <mergeCell ref="A105:E105"/>
    <mergeCell ref="J105:K105"/>
    <mergeCell ref="L105:M105"/>
    <mergeCell ref="O105:P105"/>
    <mergeCell ref="A106:E106"/>
    <mergeCell ref="J106:K106"/>
    <mergeCell ref="L106:M106"/>
    <mergeCell ref="O106:P106"/>
    <mergeCell ref="A102:E102"/>
    <mergeCell ref="L102:M102"/>
    <mergeCell ref="O102:P102"/>
    <mergeCell ref="L103:M103"/>
    <mergeCell ref="O103:P103"/>
    <mergeCell ref="A104:E104"/>
    <mergeCell ref="H104:I104"/>
    <mergeCell ref="J104:K104"/>
    <mergeCell ref="L104:M104"/>
    <mergeCell ref="O104:P104"/>
    <mergeCell ref="A90:C90"/>
    <mergeCell ref="J90:K90"/>
    <mergeCell ref="A93:E93"/>
    <mergeCell ref="A94:E94"/>
    <mergeCell ref="A82:C82"/>
    <mergeCell ref="J84:K84"/>
    <mergeCell ref="A85:E85"/>
    <mergeCell ref="A86:E86"/>
    <mergeCell ref="A88:C88"/>
    <mergeCell ref="J88:K88"/>
    <mergeCell ref="A99:E99"/>
    <mergeCell ref="L99:M99"/>
    <mergeCell ref="O99:P99"/>
    <mergeCell ref="L100:M100"/>
    <mergeCell ref="O100:P100"/>
    <mergeCell ref="A101:E101"/>
    <mergeCell ref="H101:I101"/>
    <mergeCell ref="J101:K101"/>
    <mergeCell ref="L101:M101"/>
    <mergeCell ref="O101:P101"/>
    <mergeCell ref="A96:E96"/>
    <mergeCell ref="H96:I96"/>
    <mergeCell ref="J96:K96"/>
    <mergeCell ref="L96:M96"/>
    <mergeCell ref="O96:P96"/>
    <mergeCell ref="A98:E98"/>
    <mergeCell ref="H98:I98"/>
    <mergeCell ref="J98:K98"/>
    <mergeCell ref="L98:M98"/>
    <mergeCell ref="O98:P98"/>
    <mergeCell ref="A79:E79"/>
    <mergeCell ref="O79:P79"/>
    <mergeCell ref="A80:E80"/>
    <mergeCell ref="O80:P80"/>
    <mergeCell ref="A69:E69"/>
    <mergeCell ref="H69:I69"/>
    <mergeCell ref="J69:K69"/>
    <mergeCell ref="L69:M69"/>
    <mergeCell ref="O69:P69"/>
    <mergeCell ref="A70:E70"/>
    <mergeCell ref="L64:M64"/>
    <mergeCell ref="O64:P64"/>
    <mergeCell ref="A65:E65"/>
    <mergeCell ref="A66:E66"/>
    <mergeCell ref="A67:E67"/>
    <mergeCell ref="A68:E68"/>
    <mergeCell ref="A89:C89"/>
    <mergeCell ref="J89:K89"/>
    <mergeCell ref="J72:K72"/>
    <mergeCell ref="L72:M72"/>
    <mergeCell ref="O72:P72"/>
    <mergeCell ref="J73:K73"/>
    <mergeCell ref="L73:M73"/>
    <mergeCell ref="O73:P73"/>
    <mergeCell ref="A60:E60"/>
    <mergeCell ref="A61:E61"/>
    <mergeCell ref="A62:E62"/>
    <mergeCell ref="A64:E64"/>
    <mergeCell ref="H64:I64"/>
    <mergeCell ref="J64:K64"/>
    <mergeCell ref="L56:M56"/>
    <mergeCell ref="O56:P56"/>
    <mergeCell ref="A57:E57"/>
    <mergeCell ref="A59:E59"/>
    <mergeCell ref="H59:I59"/>
    <mergeCell ref="J59:K59"/>
    <mergeCell ref="L59:M59"/>
    <mergeCell ref="O59:P59"/>
    <mergeCell ref="A53:E53"/>
    <mergeCell ref="A54:E54"/>
    <mergeCell ref="A55:E55"/>
    <mergeCell ref="A56:E56"/>
    <mergeCell ref="H56:I56"/>
    <mergeCell ref="J56:K56"/>
    <mergeCell ref="A45:E45"/>
    <mergeCell ref="H45:I45"/>
    <mergeCell ref="A41:E41"/>
    <mergeCell ref="H41:I41"/>
    <mergeCell ref="H42:I42"/>
    <mergeCell ref="A43:E43"/>
    <mergeCell ref="H43:I43"/>
    <mergeCell ref="J43:K43"/>
    <mergeCell ref="L38:M38"/>
    <mergeCell ref="O38:P38"/>
    <mergeCell ref="A39:E39"/>
    <mergeCell ref="H39:I39"/>
    <mergeCell ref="A40:E40"/>
    <mergeCell ref="H40:I40"/>
    <mergeCell ref="A51:E51"/>
    <mergeCell ref="A52:E52"/>
    <mergeCell ref="H52:I52"/>
    <mergeCell ref="J52:K52"/>
    <mergeCell ref="L52:M52"/>
    <mergeCell ref="O52:P52"/>
    <mergeCell ref="O47:P47"/>
    <mergeCell ref="A48:E48"/>
    <mergeCell ref="H48:I48"/>
    <mergeCell ref="A49:E49"/>
    <mergeCell ref="H49:I49"/>
    <mergeCell ref="A50:E50"/>
    <mergeCell ref="A46:E46"/>
    <mergeCell ref="H46:I46"/>
    <mergeCell ref="A47:E47"/>
    <mergeCell ref="H47:I47"/>
    <mergeCell ref="J47:K47"/>
    <mergeCell ref="L47:M47"/>
    <mergeCell ref="H35:I35"/>
    <mergeCell ref="J35:K35"/>
    <mergeCell ref="L35:M35"/>
    <mergeCell ref="O35:P35"/>
    <mergeCell ref="O27:P27"/>
    <mergeCell ref="A30:F30"/>
    <mergeCell ref="H30:I30"/>
    <mergeCell ref="L30:M30"/>
    <mergeCell ref="O30:P30"/>
    <mergeCell ref="A32:F32"/>
    <mergeCell ref="H32:I32"/>
    <mergeCell ref="J32:K32"/>
    <mergeCell ref="L32:M32"/>
    <mergeCell ref="O32:P32"/>
    <mergeCell ref="L43:M43"/>
    <mergeCell ref="O43:P43"/>
    <mergeCell ref="A44:E44"/>
    <mergeCell ref="H44:I44"/>
    <mergeCell ref="A33:F33"/>
    <mergeCell ref="H33:I33"/>
    <mergeCell ref="J33:K33"/>
    <mergeCell ref="L33:M33"/>
    <mergeCell ref="O33:P33"/>
    <mergeCell ref="C14:J14"/>
    <mergeCell ref="L14:M14"/>
    <mergeCell ref="C15:J15"/>
    <mergeCell ref="L15:M15"/>
    <mergeCell ref="C16:J16"/>
    <mergeCell ref="L16:M16"/>
    <mergeCell ref="A6:E6"/>
    <mergeCell ref="I6:M6"/>
    <mergeCell ref="A7:E7"/>
    <mergeCell ref="A9:C9"/>
    <mergeCell ref="I9:N9"/>
    <mergeCell ref="C11:G12"/>
    <mergeCell ref="C25:J25"/>
    <mergeCell ref="L25:M25"/>
    <mergeCell ref="C20:J20"/>
    <mergeCell ref="L20:M20"/>
    <mergeCell ref="C21:J21"/>
    <mergeCell ref="L21:M21"/>
    <mergeCell ref="C24:J24"/>
    <mergeCell ref="L24:M24"/>
    <mergeCell ref="C22:J22"/>
    <mergeCell ref="L22:M22"/>
    <mergeCell ref="O570:P570"/>
    <mergeCell ref="O571:P571"/>
    <mergeCell ref="H570:I570"/>
    <mergeCell ref="H571:I571"/>
    <mergeCell ref="A571:E571"/>
    <mergeCell ref="L570:M570"/>
    <mergeCell ref="A570:E570"/>
    <mergeCell ref="J570:K570"/>
    <mergeCell ref="J571:K571"/>
    <mergeCell ref="L571:M571"/>
    <mergeCell ref="C17:J17"/>
    <mergeCell ref="L17:M17"/>
    <mergeCell ref="C18:J18"/>
    <mergeCell ref="L18:M18"/>
    <mergeCell ref="C19:J19"/>
    <mergeCell ref="L19:M19"/>
    <mergeCell ref="A27:B28"/>
    <mergeCell ref="H27:I27"/>
    <mergeCell ref="L27:M27"/>
    <mergeCell ref="A36:E36"/>
    <mergeCell ref="H36:I36"/>
    <mergeCell ref="H37:I37"/>
    <mergeCell ref="A38:E38"/>
    <mergeCell ref="H38:I38"/>
    <mergeCell ref="J38:K38"/>
    <mergeCell ref="H34:I34"/>
    <mergeCell ref="A35:E35"/>
    <mergeCell ref="L112:M112"/>
    <mergeCell ref="O112:P112"/>
    <mergeCell ref="H261:I261"/>
    <mergeCell ref="J261:K261"/>
    <mergeCell ref="L261:M261"/>
    <mergeCell ref="A115:E115"/>
    <mergeCell ref="H115:I115"/>
    <mergeCell ref="J115:K115"/>
    <mergeCell ref="L115:M115"/>
    <mergeCell ref="O115:P115"/>
    <mergeCell ref="A116:E116"/>
    <mergeCell ref="H116:I116"/>
    <mergeCell ref="J116:K116"/>
    <mergeCell ref="L116:M116"/>
    <mergeCell ref="O116:P116"/>
    <mergeCell ref="A121:D121"/>
    <mergeCell ref="A122:D122"/>
    <mergeCell ref="A124:D124"/>
    <mergeCell ref="A125:D125"/>
    <mergeCell ref="A126:E126"/>
    <mergeCell ref="A127:E127"/>
    <mergeCell ref="A119:D119"/>
    <mergeCell ref="H119:I119"/>
    <mergeCell ref="J119:K119"/>
    <mergeCell ref="L119:M119"/>
    <mergeCell ref="O119:P119"/>
    <mergeCell ref="H120:I120"/>
    <mergeCell ref="A117:E117"/>
    <mergeCell ref="H117:I117"/>
    <mergeCell ref="J117:K117"/>
    <mergeCell ref="O117:P117"/>
    <mergeCell ref="A118:E118"/>
    <mergeCell ref="H118:I118"/>
    <mergeCell ref="J406:K406"/>
    <mergeCell ref="L406:M406"/>
    <mergeCell ref="O406:P406"/>
    <mergeCell ref="A407:E407"/>
    <mergeCell ref="H407:I407"/>
    <mergeCell ref="J407:K407"/>
    <mergeCell ref="L407:M407"/>
    <mergeCell ref="O407:P407"/>
    <mergeCell ref="H540:I540"/>
    <mergeCell ref="J540:K540"/>
    <mergeCell ref="L540:M540"/>
    <mergeCell ref="O540:P540"/>
    <mergeCell ref="H541:I541"/>
    <mergeCell ref="J541:K541"/>
    <mergeCell ref="L541:M541"/>
    <mergeCell ref="O541:P541"/>
    <mergeCell ref="H542:I542"/>
    <mergeCell ref="J542:K542"/>
    <mergeCell ref="L542:M542"/>
    <mergeCell ref="O542:P542"/>
    <mergeCell ref="A410:E410"/>
    <mergeCell ref="H410:I410"/>
    <mergeCell ref="J410:K410"/>
    <mergeCell ref="L410:M410"/>
    <mergeCell ref="O410:P410"/>
    <mergeCell ref="A411:E411"/>
    <mergeCell ref="H411:I411"/>
    <mergeCell ref="J411:K411"/>
    <mergeCell ref="L411:M411"/>
    <mergeCell ref="O411:P411"/>
    <mergeCell ref="A406:E406"/>
    <mergeCell ref="H406:I40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8d7e70-4053-43da-ae2e-3bb26002d663">
      <Terms xmlns="http://schemas.microsoft.com/office/infopath/2007/PartnerControls"/>
    </lcf76f155ced4ddcb4097134ff3c332f>
    <TaxCatchAll xmlns="adfb0090-8606-4b89-a68a-b73ca1d6b58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D3EBEF7E0ECE45AC780B83940604DE" ma:contentTypeVersion="18" ma:contentTypeDescription="Create a new document." ma:contentTypeScope="" ma:versionID="94c4b01ead9b3c379f90f021926906a6">
  <xsd:schema xmlns:xsd="http://www.w3.org/2001/XMLSchema" xmlns:xs="http://www.w3.org/2001/XMLSchema" xmlns:p="http://schemas.microsoft.com/office/2006/metadata/properties" xmlns:ns2="bc8d7e70-4053-43da-ae2e-3bb26002d663" xmlns:ns3="adfb0090-8606-4b89-a68a-b73ca1d6b587" targetNamespace="http://schemas.microsoft.com/office/2006/metadata/properties" ma:root="true" ma:fieldsID="5807ec22c3239b7e51d951e1e4bc3419" ns2:_="" ns3:_="">
    <xsd:import namespace="bc8d7e70-4053-43da-ae2e-3bb26002d663"/>
    <xsd:import namespace="adfb0090-8606-4b89-a68a-b73ca1d6b5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d7e70-4053-43da-ae2e-3bb26002d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697eca7-fe3e-4e19-bcb6-e34a1c3ca7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b0090-8606-4b89-a68a-b73ca1d6b58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3872c3-afb1-4604-9fb7-5a31e9b76bdf}" ma:internalName="TaxCatchAll" ma:showField="CatchAllData" ma:web="adfb0090-8606-4b89-a68a-b73ca1d6b5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320C46-ED84-45E2-8A37-380AA9A82BF0}">
  <ds:schemaRefs>
    <ds:schemaRef ds:uri="http://schemas.microsoft.com/office/2006/metadata/properties"/>
    <ds:schemaRef ds:uri="http://schemas.microsoft.com/office/infopath/2007/PartnerControls"/>
    <ds:schemaRef ds:uri="bc8d7e70-4053-43da-ae2e-3bb26002d663"/>
    <ds:schemaRef ds:uri="adfb0090-8606-4b89-a68a-b73ca1d6b587"/>
  </ds:schemaRefs>
</ds:datastoreItem>
</file>

<file path=customXml/itemProps2.xml><?xml version="1.0" encoding="utf-8"?>
<ds:datastoreItem xmlns:ds="http://schemas.openxmlformats.org/officeDocument/2006/customXml" ds:itemID="{6554ED7A-48DF-482B-AAA6-B863E6AF19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8d7e70-4053-43da-ae2e-3bb26002d663"/>
    <ds:schemaRef ds:uri="adfb0090-8606-4b89-a68a-b73ca1d6b5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06A959-2D76-48D2-A472-68BA98EF8D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V1</vt:lpstr>
      <vt:lpstr>Prelim_OH-Check</vt:lpstr>
      <vt:lpstr>SW Zone Sumry</vt:lpstr>
      <vt:lpstr>SW_Mataterial</vt:lpstr>
      <vt:lpstr>SW_Pit Takeoff</vt:lpstr>
      <vt:lpstr>SW_insitu Takeoff</vt:lpstr>
      <vt:lpstr>Program</vt:lpstr>
      <vt:lpstr>Staff Rates</vt:lpstr>
      <vt:lpstr>Equip&amp;HIRE</vt:lpstr>
      <vt:lpstr>Civil Rate  BOQ </vt:lpstr>
      <vt:lpstr>Program!Print_Area</vt:lpstr>
      <vt:lpstr>'SW_Pit Takeoff'!Print_Area</vt:lpstr>
      <vt:lpstr>'V1'!Print_Area</vt:lpstr>
      <vt:lpstr>Program!Print_Titles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Mitch Hannan</dc:creator>
  <cp:keywords/>
  <dc:description/>
  <cp:lastModifiedBy>Denis Zhong - TCS</cp:lastModifiedBy>
  <cp:revision/>
  <dcterms:created xsi:type="dcterms:W3CDTF">2020-01-22T18:28:27Z</dcterms:created>
  <dcterms:modified xsi:type="dcterms:W3CDTF">2026-06-11T08:53:46Z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0x0101009CD3EBEF7E0ECE45AC780B83940604DE</vt:lpwstr>
  </property>
  <property fmtid="{D5CDD505-2E9C-101B-9397-08002B2CF9AE}" pid="3" name="Order">
    <vt:r8>5967600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