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stanwell-my.sharepoint.com/personal/kaitlyn_feeney_stanwell_com/Documents/Documents/Desktop/SPS PROJECT AND ANNEX BUILDING/Files to upload to Zycus/"/>
    </mc:Choice>
  </mc:AlternateContent>
  <xr:revisionPtr revIDLastSave="0" documentId="8_{519B92CA-7E91-4B4D-AB96-9CF2EA2F779F}" xr6:coauthVersionLast="47" xr6:coauthVersionMax="47" xr10:uidLastSave="{00000000-0000-0000-0000-000000000000}"/>
  <bookViews>
    <workbookView xWindow="-108" yWindow="-108" windowWidth="27288" windowHeight="17544" tabRatio="754" xr2:uid="{A1502FDF-AB0C-48EB-AC3A-DB91A3CDD992}"/>
  </bookViews>
  <sheets>
    <sheet name="Instructions" sheetId="46" r:id="rId1"/>
    <sheet name="Pay Table" sheetId="30" r:id="rId2"/>
    <sheet name="Variation Table" sheetId="43" r:id="rId3"/>
    <sheet name="WBS" sheetId="44" r:id="rId4"/>
    <sheet name="Numbering" sheetId="17" r:id="rId5"/>
  </sheets>
  <externalReferences>
    <externalReference r:id="rId6"/>
    <externalReference r:id="rId7"/>
    <externalReference r:id="rId8"/>
    <externalReference r:id="rId9"/>
    <externalReference r:id="rId10"/>
    <externalReference r:id="rId11"/>
  </externalReferences>
  <definedNames>
    <definedName name="_______xlfn.BAHTTEXT" hidden="1">#NAME?</definedName>
    <definedName name="______CMU005" hidden="1">#REF!</definedName>
    <definedName name="______xlfn.BAHTTEXT" hidden="1">#NAME?</definedName>
    <definedName name="_____CMU005" hidden="1">#REF!</definedName>
    <definedName name="_____xlfn.BAHTTEXT" hidden="1">#NAME?</definedName>
    <definedName name="____aaaaa" hidden="1">#REF!</definedName>
    <definedName name="____CMU005" hidden="1">#REF!</definedName>
    <definedName name="____xlfn.BAHTTEXT" hidden="1">#NAME?</definedName>
    <definedName name="___CMU005" hidden="1">#REF!</definedName>
    <definedName name="___xlfn.BAHTTEXT" hidden="1">#NAME?</definedName>
    <definedName name="__1_0Swvu.Cover._.Pa" hidden="1">#REF!</definedName>
    <definedName name="__123Graph_A" hidden="1">'[1]Cash Flow'!#REF!</definedName>
    <definedName name="__123Graph_AChart1" hidden="1">'[2]Attach 4-18'!#REF!</definedName>
    <definedName name="__123Graph_AChart11" hidden="1">'[2]Attach 4-18'!#REF!</definedName>
    <definedName name="__123Graph_AChart12" hidden="1">'[2]Attach 4-18'!#REF!</definedName>
    <definedName name="__123Graph_AChart13" hidden="1">'[2]Attach 4-18'!#REF!</definedName>
    <definedName name="__123Graph_AChart4" hidden="1">'[2]Attach 4-18'!#REF!</definedName>
    <definedName name="__123Graph_ACurrent" hidden="1">'[2]Attach 4-18'!#REF!</definedName>
    <definedName name="__123Graph_ADT2" hidden="1">#REF!</definedName>
    <definedName name="__123Graph_AGRAPH1" hidden="1">#REF!</definedName>
    <definedName name="__123Graph_ANONMAN" hidden="1">[3]GRAPH_DATA!#REF!</definedName>
    <definedName name="__123Graph_ANORMAL" hidden="1">'[1]Cash Flow'!#REF!</definedName>
    <definedName name="__123Graph_ASENS" hidden="1">#REF!</definedName>
    <definedName name="__123Graph_B" hidden="1">#REF!</definedName>
    <definedName name="__123Graph_BChart1" hidden="1">'[2]Attach 4-18'!#REF!</definedName>
    <definedName name="__123Graph_BChart11" hidden="1">'[2]Attach 4-18'!#REF!</definedName>
    <definedName name="__123Graph_BChart12" hidden="1">'[2]Attach 4-18'!#REF!</definedName>
    <definedName name="__123Graph_BChart13" hidden="1">'[2]Attach 4-18'!#REF!</definedName>
    <definedName name="__123Graph_BChart4" hidden="1">'[2]Attach 4-18'!#REF!</definedName>
    <definedName name="__123Graph_BCurrent" hidden="1">'[2]Attach 4-18'!#REF!</definedName>
    <definedName name="__123Graph_BDT2" hidden="1">#REF!</definedName>
    <definedName name="__123Graph_BNONMAN" hidden="1">#REF!</definedName>
    <definedName name="__123Graph_C" hidden="1">#REF!</definedName>
    <definedName name="__123Graph_CChart1" hidden="1">'[2]Attach 4-18'!#REF!</definedName>
    <definedName name="__123Graph_CChart11" hidden="1">'[2]Attach 4-18'!#REF!</definedName>
    <definedName name="__123Graph_CChart12" hidden="1">'[2]Attach 4-18'!#REF!</definedName>
    <definedName name="__123Graph_CChart13" hidden="1">'[2]Attach 4-18'!#REF!</definedName>
    <definedName name="__123Graph_CChart4" hidden="1">'[2]Attach 4-18'!#REF!</definedName>
    <definedName name="__123Graph_CCONT" hidden="1">#REF!</definedName>
    <definedName name="__123Graph_CCOST" hidden="1">#REF!</definedName>
    <definedName name="__123Graph_CCurrent" hidden="1">'[2]Attach 4-18'!#REF!</definedName>
    <definedName name="__123Graph_CDT1" hidden="1">#REF!</definedName>
    <definedName name="__123Graph_CDT2" hidden="1">#REF!</definedName>
    <definedName name="__123Graph_CGM" hidden="1">#REF!</definedName>
    <definedName name="__123Graph_CREV" hidden="1">#REF!</definedName>
    <definedName name="__123Graph_DChart1" hidden="1">'[2]Attach 4-18'!#REF!</definedName>
    <definedName name="__123Graph_DChart11" hidden="1">'[2]Attach 4-18'!#REF!</definedName>
    <definedName name="__123Graph_DChart12" hidden="1">'[2]Attach 4-18'!#REF!</definedName>
    <definedName name="__123Graph_DChart13" hidden="1">'[2]Attach 4-18'!#REF!</definedName>
    <definedName name="__123Graph_DChart4" hidden="1">'[2]Attach 4-18'!#REF!</definedName>
    <definedName name="__123Graph_DCurrent" hidden="1">'[2]Attach 4-18'!#REF!</definedName>
    <definedName name="__123Graph_EChart1" hidden="1">'[2]Attach 4-18'!#REF!</definedName>
    <definedName name="__123Graph_EChart11" hidden="1">'[2]Attach 4-18'!#REF!</definedName>
    <definedName name="__123Graph_EChart12" hidden="1">'[2]Attach 4-18'!#REF!</definedName>
    <definedName name="__123Graph_EChart13" hidden="1">'[2]Attach 4-18'!#REF!</definedName>
    <definedName name="__123Graph_EChart4" hidden="1">'[2]Attach 4-18'!#REF!</definedName>
    <definedName name="__123Graph_ECurrent" hidden="1">'[2]Attach 4-18'!#REF!</definedName>
    <definedName name="__123Graph_FChart1" hidden="1">'[2]Attach 4-18'!#REF!</definedName>
    <definedName name="__123Graph_FChart11" hidden="1">'[2]Attach 4-18'!#REF!</definedName>
    <definedName name="__123Graph_FChart12" hidden="1">'[2]Attach 4-18'!#REF!</definedName>
    <definedName name="__123Graph_FChart13" hidden="1">'[2]Attach 4-18'!#REF!</definedName>
    <definedName name="__123Graph_FChart4" hidden="1">'[2]Attach 4-18'!#REF!</definedName>
    <definedName name="__123Graph_FCurrent" hidden="1">'[2]Attach 4-18'!#REF!</definedName>
    <definedName name="__123Graph_LBL_B" hidden="1">#REF!</definedName>
    <definedName name="__123Graph_LBL_C" hidden="1">#REF!</definedName>
    <definedName name="__123Graph_LBL_CCONT" hidden="1">#REF!</definedName>
    <definedName name="__123Graph_LBL_CCOST" hidden="1">#REF!</definedName>
    <definedName name="__123Graph_LBL_CGM" hidden="1">#REF!</definedName>
    <definedName name="__123Graph_LBL_CREV" hidden="1">#REF!</definedName>
    <definedName name="__123Graph_X" hidden="1">'[1]Cash Flow'!#REF!</definedName>
    <definedName name="__123Graph_XChart1" hidden="1">'[2]Attach 4-18'!#REF!</definedName>
    <definedName name="__123Graph_XChart11" hidden="1">'[2]Attach 4-18'!#REF!</definedName>
    <definedName name="__123Graph_XChart12" hidden="1">'[2]Attach 4-18'!#REF!</definedName>
    <definedName name="__123Graph_XChart13" hidden="1">'[2]Attach 4-18'!#REF!</definedName>
    <definedName name="__123Graph_XCONT" hidden="1">#REF!</definedName>
    <definedName name="__123Graph_XCOST" hidden="1">#REF!</definedName>
    <definedName name="__123Graph_XCurrent" hidden="1">'[2]Attach 4-18'!#REF!</definedName>
    <definedName name="__123Graph_XDT1" hidden="1">#REF!</definedName>
    <definedName name="__123Graph_XDT2" hidden="1">#REF!</definedName>
    <definedName name="__123Graph_XGM" hidden="1">#REF!</definedName>
    <definedName name="__123Graph_XGRAPH1" hidden="1">#REF!</definedName>
    <definedName name="__123Graph_XNORMAL" hidden="1">'[1]Cash Flow'!#REF!</definedName>
    <definedName name="__123Graph_XREV" hidden="1">#REF!</definedName>
    <definedName name="__CMU005" hidden="1">#REF!</definedName>
    <definedName name="__xlfn.BAHTTEXT" hidden="1">#NAME?</definedName>
    <definedName name="_1__123Graph_AChart_1A" hidden="1">'[2]Attach 4-18'!#REF!</definedName>
    <definedName name="_1__123Graph_AP_SSENS" hidden="1">#REF!</definedName>
    <definedName name="_1_0Swvu.Cover._.Pa" hidden="1">#REF!</definedName>
    <definedName name="_10__123Graph_EChart_1A" hidden="1">'[2]Attach 4-18'!#REF!</definedName>
    <definedName name="_12__123Graph_FChart_1A" hidden="1">'[2]Attach 4-18'!#REF!</definedName>
    <definedName name="_14__123Graph_XChart_1A" hidden="1">'[2]Attach 4-18'!#REF!</definedName>
    <definedName name="_2__123Graph_AChart_1A" hidden="1">'[2]Attach 4-18'!#REF!</definedName>
    <definedName name="_2__123Graph_AP_SENS" hidden="1">#REF!</definedName>
    <definedName name="_2__123Graph_BChart_1A" hidden="1">'[2]Attach 4-18'!#REF!</definedName>
    <definedName name="_2_0Swvu.Cover._.Pa" hidden="1">#REF!</definedName>
    <definedName name="_2Swvu.Cover._.Pa" hidden="1">#REF!</definedName>
    <definedName name="_3__123Graph_BP_SSENS" hidden="1">#REF!</definedName>
    <definedName name="_3__123Graph_CChart_1A" hidden="1">'[2]Attach 4-18'!#REF!</definedName>
    <definedName name="_3_0Swvu.Cover._.Pa" hidden="1">[4]Input!#REF!</definedName>
    <definedName name="_4__123Graph_BChart_1A" hidden="1">'[2]Attach 4-18'!#REF!</definedName>
    <definedName name="_4__123Graph_BP_SENS" hidden="1">#REF!</definedName>
    <definedName name="_4__123Graph_DChart_1A" hidden="1">'[2]Attach 4-18'!#REF!</definedName>
    <definedName name="_4_0Swvu.Cover._.Pa" hidden="1">#REF!</definedName>
    <definedName name="_5__123Graph_CP_SSENS" hidden="1">#REF!</definedName>
    <definedName name="_5__123Graph_EChart_1A" hidden="1">'[2]Attach 4-18'!#REF!</definedName>
    <definedName name="_6__123Graph_CChart_1A" hidden="1">'[2]Attach 4-18'!#REF!</definedName>
    <definedName name="_6__123Graph_CP_SENS" hidden="1">#REF!</definedName>
    <definedName name="_6__123Graph_FChart_1A" hidden="1">'[2]Attach 4-18'!#REF!</definedName>
    <definedName name="_6Swvu.Cover._.Pa" hidden="1">#REF!</definedName>
    <definedName name="_7__123Graph_XChart_1A" hidden="1">'[2]Attach 4-18'!#REF!</definedName>
    <definedName name="_7__123Graph_XP_SSENS" hidden="1">#REF!</definedName>
    <definedName name="_8__123Graph_DChart_1A" hidden="1">'[2]Attach 4-18'!#REF!</definedName>
    <definedName name="_8__123Graph_XP_SENS" hidden="1">#REF!</definedName>
    <definedName name="_9_0Swvu.Cover._.Pa" hidden="1">#REF!</definedName>
    <definedName name="_a1" hidden="1">#REF!</definedName>
    <definedName name="_AtRisk_FitDataRange_FIT_55B6E_1F43B" hidden="1">#REF!</definedName>
    <definedName name="_AtRisk_FitDataRange_FIT_852F7_A675C" hidden="1">#REF!</definedName>
    <definedName name="_AtRisk_FitDataRange_FIT_97B6D_32861" hidden="1">#REF!</definedName>
    <definedName name="_AtRisk_FitDataRange_FIT_ED13A_D63B6"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256</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CMU005" hidden="1">#REF!</definedName>
    <definedName name="_f2003" hidden="1">{"CorpB_Profit",#N/A,FALSE,"Reports (B)";"CorpB_cash",#N/A,FALSE,"Reports (B)";"CorpB_Cash1",#N/A,FALSE,"Reports (B)";"CorpB_Bsheet",#N/A,FALSE,"Reports (B)"}</definedName>
    <definedName name="_Fill" hidden="1">#REF!</definedName>
    <definedName name="_fill2" hidden="1">#REF!</definedName>
    <definedName name="_xlnm._FilterDatabase" localSheetId="3" hidden="1">WBS!$A$4:$Y$4</definedName>
    <definedName name="_FY2003" hidden="1">{"CorpB_Profit",#N/A,FALSE,"Reports (B)";"CorpB_cash",#N/A,FALSE,"Reports (B)";"CorpB_Cash1",#N/A,FALSE,"Reports (B)";"CorpB_Bsheet",#N/A,FALSE,"Reports (B)"}</definedName>
    <definedName name="_Key2" hidden="1">[5]EQUIP!#REF!</definedName>
    <definedName name="_key2a" hidden="1">#REF!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_Sort" hidden="1">[5]EQUIP!#REF!</definedName>
    <definedName name="_sorta" hidden="1">#REF!</definedName>
    <definedName name="_Table1_Out" hidden="1">#REF!</definedName>
    <definedName name="_Table2_Out" hidden="1">#REF!</definedName>
    <definedName name="_Table2z_Out" hidden="1">#REF!</definedName>
    <definedName name="_ZOrder" hidden="1">0</definedName>
    <definedName name="abc" hidden="1">#REF!</definedName>
    <definedName name="AccessDatabase" hidden="1">"C:\projects\mbtest1.mdb"</definedName>
    <definedName name="ACwvu.GAITHERSBURG._.OFFICE." hidden="1">#REF!</definedName>
    <definedName name="ACwvu.garo_graph." hidden="1">#REF!</definedName>
    <definedName name="ACwvu.garo_personnel." hidden="1">#REF!</definedName>
    <definedName name="ACwvu.headcount._.change." hidden="1">#REF!</definedName>
    <definedName name="ACwvu.personnel._.by._.location." hidden="1">#REF!</definedName>
    <definedName name="Analyst" hidden="1">#REF!</definedName>
    <definedName name="anscount" hidden="1">1</definedName>
    <definedName name="arg" hidden="1">#REF!</definedName>
    <definedName name="asd" hidden="1">'[2]Attach 4-18'!#REF!</definedName>
    <definedName name="AshRange" hidden="1">#REF!</definedName>
    <definedName name="b" hidden="1">#REF!</definedName>
    <definedName name="ba" hidden="1">#REF!</definedName>
    <definedName name="BAAnchor" hidden="1">#REF!</definedName>
    <definedName name="BPR"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BS_Data_Col" hidden="1">#REF!</definedName>
    <definedName name="BSpb" hidden="1">#REF!</definedName>
    <definedName name="CallingWbName" hidden="1">"RunningXCAReporting v1.81.xls"</definedName>
    <definedName name="Capitalpb" hidden="1">#REF!</definedName>
    <definedName name="CapitalStructure" hidden="1">#REF!</definedName>
    <definedName name="Cashpb" hidden="1">#REF!</definedName>
    <definedName name="CATS.Project" hidden="1">"A0083"</definedName>
    <definedName name="CBWorkbookPriority" hidden="1">-139715706</definedName>
    <definedName name="CBWorkbookPriority1" hidden="1">-674308301</definedName>
    <definedName name="Change_in_Cash" hidden="1">#REF!</definedName>
    <definedName name="Check_to_Cash" hidden="1">#REF!</definedName>
    <definedName name="CommodityCodes" hidden="1">#REF!</definedName>
    <definedName name="ContextHelpID" hidden="1">#REF!</definedName>
    <definedName name="COPAnchor" hidden="1">#REF!</definedName>
    <definedName name="COPnchor" hidden="1">#REF!</definedName>
    <definedName name="Corp_reports" hidden="1">{"CorpRS_Profit",#N/A,FALSE,"Reports (RS)";"CorpRS_Cash",#N/A,FALSE,"Reports (RS)";"CorpRS_Cash1",#N/A,FALSE,"Reports (RS)";"CorpRS_Bsheet",#N/A,FALSE,"Reports (RS)"}</definedName>
    <definedName name="Corporate" hidden="1">{"CorpB_Profit",#N/A,FALSE,"Reports (B)";"CorpB_cash",#N/A,FALSE,"Reports (B)";"CorpB_Cash1",#N/A,FALSE,"Reports (B)";"CorpB_Bsheet",#N/A,FALSE,"Reports (B)"}</definedName>
    <definedName name="Cwvu.ROLLING._.3._.MONTH._.FCST." hidden="1">#REF!,#REF!</definedName>
    <definedName name="d" hidden="1">{"CorpB_Profit",#N/A,FALSE,"Reports (B)";"CorpB_cash",#N/A,FALSE,"Reports (B)";"CorpB_Cash1",#N/A,FALSE,"Reports (B)";"CorpB_Bsheet",#N/A,FALSE,"Reports (B)"}</definedName>
    <definedName name="da" hidden="1">#REF!</definedName>
    <definedName name="david"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Dealpb" hidden="1">#REF!</definedName>
    <definedName name="Delete"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Delete2"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DepreciationPB" hidden="1">#REF!</definedName>
    <definedName name="Determ.Prob" hidden="1">#REF!</definedName>
    <definedName name="dfdsfdasf" hidden="1">{"COMPARISON",#N/A,FALSE,"Comparison"}</definedName>
    <definedName name="DME_Dirty" hidden="1">"False"</definedName>
    <definedName name="DME_LocalFile" hidden="1">"True"</definedName>
    <definedName name="dsfsdfsdf"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dvdvgds" hidden="1">{#N/A,#N/A,FALSE,"ResDev"}</definedName>
    <definedName name="DZ.Main" hidden="1">#REF!</definedName>
    <definedName name="EBG73083364CMN" hidden="1">0</definedName>
    <definedName name="ev.Calculation" hidden="1">-4135</definedName>
    <definedName name="ev.Initialized" hidden="1">FALSE</definedName>
    <definedName name="Executivepb" hidden="1">#REF!</definedName>
    <definedName name="ExitStatus" hidden="1">#REF!</definedName>
    <definedName name="f" hidden="1">{"CorpB_Profit",#N/A,FALSE,"Reports (B)";"CorpB_cash",#N/A,FALSE,"Reports (B)";"CorpB_Cash1",#N/A,FALSE,"Reports (B)";"CorpB_Bsheet",#N/A,FALSE,"Reports (B)"}</definedName>
    <definedName name="Factpb" hidden="1">#REF!</definedName>
    <definedName name="Factpb2" hidden="1">#REF!</definedName>
    <definedName name="Fill" hidden="1">#REF!</definedName>
    <definedName name="FinAnchor" hidden="1">#REF!</definedName>
    <definedName name="Financialpb" hidden="1">#REF!</definedName>
    <definedName name="Financialpb2" hidden="1">#REF!</definedName>
    <definedName name="fsdfdasf" hidden="1">{"TREAS1",#N/A,FALSE,"Cashflow Spreadsheet";"TREAS2",#N/A,FALSE,"Cashflow Spreadsheet";"TREAS3",#N/A,FALSE,"Cashflow Spreadsheet"}</definedName>
    <definedName name="fsdfsdfs"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roupWorkbookValidate_EntryPoint" hidden="1">TRUE</definedName>
    <definedName name="hello"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isYear_0" hidden="1">#REF!</definedName>
    <definedName name="HisYear_1" hidden="1">#REF!</definedName>
    <definedName name="HisYear_2" hidden="1">#REF!</definedName>
    <definedName name="HisYear_3" hidden="1">#REF!</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Delete015" hidden="1">#REF!,#REF!,#REF!,#REF!</definedName>
    <definedName name="hn.DZ_MultByFXRates" hidden="1">#REF!,#REF!,#REF!,#REF!</definedName>
    <definedName name="hn.ExtDb" hidden="1">FALSE</definedName>
    <definedName name="hn.LTM_MultByFXRates" hidden="1">#REF!,#REF!,#REF!,#REF!,#REF!,#REF!,#REF!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YearLabel" hidden="1">#REF!</definedName>
    <definedName name="HTML_CodePage" hidden="1">1252</definedName>
    <definedName name="HTML_Control" hidden="1">{"'Internet'!$B$3:$D$24"}</definedName>
    <definedName name="HTML_OBDlg2" hidden="1">FALSE</definedName>
    <definedName name="HTML_OBDlg3" hidden="1">TRUE</definedName>
    <definedName name="HTML_OBDlg4" hidden="1">TRUE</definedName>
    <definedName name="HTML_OS" hidden="1">0</definedName>
    <definedName name="HTML_PathFile" hidden="1">"C:\Eew\Internet\HTML.htm"</definedName>
    <definedName name="HTML_PathTemplate" hidden="1">"C:\Eew\Internet\Estadistica.htm"</definedName>
    <definedName name="Incomepb" hidden="1">#REF!</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40214.5348726852</definedName>
    <definedName name="IQ_NTM" hidden="1">6000</definedName>
    <definedName name="IQ_TODAY" hidden="1">0</definedName>
    <definedName name="IQ_WEEK" hidden="1">50000</definedName>
    <definedName name="IQ_YTD" hidden="1">3000</definedName>
    <definedName name="IsColHidden" hidden="1">FALSE</definedName>
    <definedName name="IsGroupWorkbook" hidden="1">TRUE</definedName>
    <definedName name="IsLTMColHidden" hidden="1">FALSE</definedName>
    <definedName name="IsSecureRevolver" hidden="1">#REF!</definedName>
    <definedName name="IsSecureSenior1" hidden="1">#REF!</definedName>
    <definedName name="IsSecureSenior2" hidden="1">#REF!</definedName>
    <definedName name="IsSecureSenior3" hidden="1">#REF!</definedName>
    <definedName name="IsSecureSenior4" hidden="1">#REF!</definedName>
    <definedName name="IsSecureSenior5" hidden="1">#REF!</definedName>
    <definedName name="IsSecureSenior6" hidden="1">#REF!</definedName>
    <definedName name="IsSecureSenior7" hidden="1">#REF!</definedName>
    <definedName name="jklj" hidden="1">#REF!</definedName>
    <definedName name="junk"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junk2"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JVs"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Left_Header" hidden="1">#REF!</definedName>
    <definedName name="limcount" hidden="1">1</definedName>
    <definedName name="ListBase" hidden="1">#REF!</definedName>
    <definedName name="ListSize" hidden="1">#REF!</definedName>
    <definedName name="MenusNeedUpdate" hidden="1">TRUE</definedName>
    <definedName name="Month_BPR"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z" hidden="1">#REF!</definedName>
    <definedName name="OBS_Data_Col" hidden="1">#REF!</definedName>
    <definedName name="OC_Inputs_Zenith_Model" hidden="1">#REF!</definedName>
    <definedName name="Openingpb" hidden="1">#REF!</definedName>
    <definedName name="Oth" hidden="1">{"CorpB_Profit",#N/A,FALSE,"Reports (B)";"CorpB_cash",#N/A,FALSE,"Reports (B)";"CorpB_Cash1",#N/A,FALSE,"Reports (B)";"CorpB_Bsheet",#N/A,FALSE,"Reports (B)"}</definedName>
    <definedName name="OWNER" hidden="1">#REF!</definedName>
    <definedName name="p.BS" hidden="1">#REF!</definedName>
    <definedName name="p.BSAssumptions" hidden="1">#REF!</definedName>
    <definedName name="p.CapStructure" hidden="1">#REF!</definedName>
    <definedName name="p.CashFlow" hidden="1">#REF!</definedName>
    <definedName name="p.Cover" hidden="1">#REF!</definedName>
    <definedName name="p.Depreciation" hidden="1">#REF!</definedName>
    <definedName name="p.Executive" hidden="1">#REF!</definedName>
    <definedName name="p.FactSheet" hidden="1">#REF!</definedName>
    <definedName name="p.IS" hidden="1">#REF!</definedName>
    <definedName name="p.ISAssumptions" hidden="1">#REF!</definedName>
    <definedName name="p.OpeningBS" hidden="1">#REF!</definedName>
    <definedName name="p.TaxCalculation" hidden="1">#REF!</definedName>
    <definedName name="Pal_Workbook_GUID" hidden="1">"B5ZR95CNPNTSI886WFTRCMZL"</definedName>
    <definedName name="Perf_Rep"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PLUG" hidden="1">#REF!</definedName>
    <definedName name="_xlnm.Print_Area" localSheetId="3">WBS!$A$1:$Y$372</definedName>
    <definedName name="_xlnm.Print_Titles" localSheetId="3">WBS!$1:$4</definedName>
    <definedName name="Printall"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PrintEnd" hidden="1">#REF!</definedName>
    <definedName name="PrintStart" hidden="1">#REF!</definedName>
    <definedName name="ProdCPPAnchor" hidden="1">#REF!</definedName>
    <definedName name="ProdCPPnchor" hidden="1">#REF!</definedName>
    <definedName name="ProdMineAnchor" hidden="1">#REF!</definedName>
    <definedName name="qwer" hidden="1">#REF!</definedName>
    <definedName name="r.CashFlow" hidden="1">#REF!</definedName>
    <definedName name="r.Leverage" hidden="1">#REF!</definedName>
    <definedName name="r.Liquidity" hidden="1">#REF!</definedName>
    <definedName name="r.Market" hidden="1">#REF!</definedName>
    <definedName name="r.Profitability" hidden="1">#REF!</definedName>
    <definedName name="r.Summary" hidden="1">#REF!</definedName>
    <definedName name="RatesAnchor" hidden="1">#REF!</definedName>
    <definedName name="remove" hidden="1">{"CorpB_Profit",#N/A,FALSE,"Reports (B)";"CorpB_cash",#N/A,FALSE,"Reports (B)";"CorpB_Cash1",#N/A,FALSE,"Reports (B)";"CorpB_Bsheet",#N/A,FALSE,"Reports (B)"}</definedName>
    <definedName name="Removeall" hidden="1">{"CorpRS_Profit",#N/A,FALSE,"Reports (RS)";"CorpRS_Cash",#N/A,FALSE,"Reports (RS)";"CorpRS_Cash1",#N/A,FALSE,"Reports (RS)";"CorpRS_Bsheet",#N/A,FALSE,"Reports (RS)"}</definedName>
    <definedName name="Reports" hidden="1">{"bprofit",#N/A,FALSE,"Reports (B)";"bcash",#N/A,FALSE,"Reports (B)";"bbsheet",#N/A,FALSE,"Reports (B)"}</definedName>
    <definedName name="Res_Dev" hidden="1">{#N/A,#N/A,FALSE,"ResDev"}</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SwapState" hidden="1">TRUE</definedName>
    <definedName name="Rows2Unhide" hidden="1">#REF!</definedName>
    <definedName name="RS_Reports" hidden="1">{"RSprofit",#N/A,FALSE,"Reports (RS)";"RScash",#N/A,FALSE,"Reports (RS)";"RSbsheet",#N/A,FALSE,"Reports (RS)"}</definedName>
    <definedName name="s" hidden="1">{"'Internet'!$B$3:$D$24"}</definedName>
    <definedName name="sadf" hidden="1">[6]Check!#REF!</definedName>
    <definedName name="SalesAnchor" hidden="1">#REF!</definedName>
    <definedName name="SAPBEXdnldView" hidden="1">"4AFJNRVEZH39VT5WGHVK9OXSE"</definedName>
    <definedName name="SAPBEXsysID" hidden="1">"OB1"</definedName>
    <definedName name="sencount" hidden="1">1</definedName>
    <definedName name="SGRange" hidden="1">#REF!</definedName>
    <definedName name="SizeRange" hidden="1">#REF!</definedName>
    <definedName name="Slicer_Category">#N/A</definedName>
    <definedName name="Slicer_L1">#N/A</definedName>
    <definedName name="Slicer_L2132">#N/A</definedName>
    <definedName name="Slicer_L3">#N/A</definedName>
    <definedName name="Slicer_LEVEL132">#N/A</definedName>
    <definedName name="Slicer_Sub_Category">#N/A</definedName>
    <definedName name="solver_adj" hidden="1">#REF!</definedName>
    <definedName name="solver_opt" hidden="1">#REF!</definedName>
    <definedName name="Step2Manual" hidden="1">#REF!</definedName>
    <definedName name="Step2NumSizes" hidden="1">#REF!</definedName>
    <definedName name="Step2Ratio" hidden="1">#REF!</definedName>
    <definedName name="Step2TopSize" hidden="1">#REF!</definedName>
    <definedName name="Step3LowSG" hidden="1">#REF!</definedName>
    <definedName name="Step3Manual" hidden="1">#REF!</definedName>
    <definedName name="Step3NumSGs" hidden="1">#REF!</definedName>
    <definedName name="Step3SGInterval" hidden="1">#REF!</definedName>
    <definedName name="Step4NumItems" hidden="1">#REF!</definedName>
    <definedName name="Step5NumItems" hidden="1">#REF!</definedName>
    <definedName name="Step6NumItems" hidden="1">#REF!</definedName>
    <definedName name="Stub" hidden="1">#REF!</definedName>
    <definedName name="Stub_Header1" hidden="1">#REF!</definedName>
    <definedName name="Stub_Header2" hidden="1">#REF!</definedName>
    <definedName name="Stub_Header3" hidden="1">#REF!</definedName>
    <definedName name="SummAnchor" hidden="1">#REF!</definedName>
    <definedName name="Swvu.GAITHERSBURG._.OFFICE." hidden="1">#REF!</definedName>
    <definedName name="Swvu.garo_graph." hidden="1">#REF!</definedName>
    <definedName name="Swvu.garo_personnel." hidden="1">#REF!</definedName>
    <definedName name="Swvu.headcount._.change." hidden="1">#REF!</definedName>
    <definedName name="Swvu.personnel._.by._.location." hidden="1">#REF!</definedName>
    <definedName name="T" hidden="1">{#N/A,#N/A,TRUE,"DC";#N/A,#N/A,TRUE,"DG";#N/A,#N/A,TRUE,"EA";#N/A,#N/A,TRUE,"FA";#N/A,#N/A,TRUE,"FD";#N/A,#N/A,TRUE,"GA";#N/A,#N/A,TRUE,"GD"}</definedName>
    <definedName name="Taxpb" hidden="1">#REF!</definedName>
    <definedName name="tba" hidden="1">#REF!</definedName>
    <definedName name="tbaa" hidden="1">#REF!</definedName>
    <definedName name="Titlepb" hidden="1">#REF!</definedName>
    <definedName name="tmp" hidden="1">#REF!</definedName>
    <definedName name="TMP__" hidden="1">#REF!</definedName>
    <definedName name="tttt" localSheetId="1" hidden="1">INDEX(codematch,1,20)</definedName>
    <definedName name="tttt" hidden="1">INDEX(codematch,1,20)</definedName>
    <definedName name="UNI_AA_VERSION" hidden="1">"150.2.0"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FORMANCES1R10C1" hidden="1">#REF!</definedName>
    <definedName name="UNIFORMANCES1R12C1" hidden="1">#REF!</definedName>
    <definedName name="uuuu" hidden="1">#REF!</definedName>
    <definedName name="vvcxvdsds"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aterfalls" hidden="1">{"bprofit",#N/A,FALSE,"Reports (B)";"bcash",#N/A,FALSE,"Reports (B)";"bbsheet",#N/A,FALSE,"Reports (B)"}</definedName>
    <definedName name="WorkbookHasToBeValidated" hidden="1">TRUE</definedName>
    <definedName name="WorkingPath" hidden="1">"C:\Documents and Settings\phuntington\My Documents\Management Accounting\Monthly Management Reports\Development\Xstrata Reporting System\QLD\v1.812"</definedName>
    <definedName name="wrn.B._.Reports." hidden="1">{"bprofit",#N/A,FALSE,"Reports (B)";"bcash",#N/A,FALSE,"Reports (B)";"bbsheet",#N/A,FALSE,"Reports (B)"}</definedName>
    <definedName name="wrn.Capital." hidden="1">{"Capital",#N/A,FALSE,"LOM Summary For OCC Mgrs"}</definedName>
    <definedName name="wrn.CASH." hidden="1">{#N/A,#N/A,FALSE,"BLUESKYE"}</definedName>
    <definedName name="wrn.cash._.flow._.report." hidden="1">{#N/A,#N/A,TRUE,"Cashflow"}</definedName>
    <definedName name="wrn.Comalco." hidden="1">{"Full",#N/A,FALSE,"Overall Summary";"Full",#N/A,FALSE,"Misc. Inputs"}</definedName>
    <definedName name="wrn.Comparison." hidden="1">{"COMPARISON",#N/A,FALSE,"Comparison"}</definedName>
    <definedName name="wrn.CorpB_Reports." hidden="1">{"CorpB_Profit",#N/A,FALSE,"Reports (B)";"CorpB_cash",#N/A,FALSE,"Reports (B)";"CorpB_Cash1",#N/A,FALSE,"Reports (B)";"CorpB_Bsheet",#N/A,FALSE,"Reports (B)"}</definedName>
    <definedName name="wrn.CorpRS_Reports." hidden="1">{"CorpRS_Profit",#N/A,FALSE,"Reports (RS)";"CorpRS_Cash",#N/A,FALSE,"Reports (RS)";"CorpRS_Cash1",#N/A,FALSE,"Reports (RS)";"CorpRS_Bsheet",#N/A,FALSE,"Reports (RS)"}</definedName>
    <definedName name="wrn.CQCA._.Joint._.Venture."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Delete"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2"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EQPLIST." hidden="1">{#N/A,#N/A,TRUE,"DC";#N/A,#N/A,TRUE,"DG";#N/A,#N/A,TRUE,"EA";#N/A,#N/A,TRUE,"FA";#N/A,#N/A,TRUE,"FD";#N/A,#N/A,TRUE,"GA";#N/A,#N/A,TRUE,"GD"}</definedName>
    <definedName name="wrn.EquipShortened." hidden="1">{#N/A,#N/A,FALSE,"Equipment List"}</definedName>
    <definedName name="wrn.Full._.Report." hidden="1">{#N/A,#N/A,FALSE,"Cover";#N/A,#N/A,FALSE,"Monthly Report";#N/A,#N/A,FALSE,"P &amp; L";#N/A,#N/A,FALSE,"Variance Analysis";#N/A,#N/A,FALSE,"Mine Summ";#N/A,#N/A,FALSE,"Production";#N/A,#N/A,FALSE,"Unit Costs";#N/A,#N/A,FALSE,"Revenue";#N/A,#N/A,FALSE,"Physical OC";#N/A,#N/A,FALSE,"Physical UG";#N/A,#N/A,FALSE,"Inventory";#N/A,#N/A,FALSE,"P &amp; L_TH";#N/A,#N/A,FALSE,"P &amp; L_CO";#N/A,#N/A,FALSE,"Earnings Reconciliation";#N/A,#N/A,FALSE,"Hyp Data";#N/A,#N/A,FALSE,"Hyp Data_TH";#N/A,#N/A,FALSE,"Hyp Data_CO"}</definedName>
    <definedName name="wrn.general." hidden="1">{#N/A,#N/A,TRUE,"0001";#N/A,#N/A,TRUE,"0002";#N/A,#N/A,TRUE,"0003";#N/A,#N/A,TRUE,"0004";#N/A,#N/A,TRUE,"0005";#N/A,#N/A,TRUE,"0006";#N/A,#N/A,TRUE,"0007";#N/A,#N/A,TRUE,"0008";#N/A,#N/A,TRUE,"0009";#N/A,#N/A,TRUE,"0010"}</definedName>
    <definedName name="wrn.Goonyella._.Riverside._.Mine._.Quantities._.and._.Equipment._.Hours." hidden="1">{#N/A,#N/A,FALSE,"GYRV Quantities Output"}</definedName>
    <definedName name="wrn.Hyperion._.Data." hidden="1">{#N/A,#N/A,FALSE,"Hyp Data";#N/A,#N/A,FALSE,"Hyp Data_TH";#N/A,#N/A,FALSE,"Hyp Data_CO"}</definedName>
    <definedName name="wrn.junk"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2"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ining._.Perfromance._.Report."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onthly._.Business._.Performance._.Review."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Report."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Normalisation._.Journal." hidden="1">{"Normalisation Journal",#N/A,FALSE,"Normalisation Jnl"}</definedName>
    <definedName name="wrn.OCC._.LOM._.Plan._.Print._.Reports." hidden="1">{#N/A,#N/A,FALSE,"15.1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Pages._.1._.to._.11." hidden="1">{#N/A,#N/A,FALSE,"Cover";#N/A,#N/A,FALSE,"Contents";#N/A,#N/A,FALSE,"Exec Sum";#N/A,#N/A,FALSE,"Operations";#N/A,#N/A,FALSE,"Operations 2";#N/A,#N/A,FALSE,"Cost - YTD";#N/A,#N/A,FALSE,"Cost - Full";#N/A,#N/A,FALSE,"Income Stmt";#N/A,#N/A,FALSE,"Profit Margin";#N/A,#N/A,FALSE,"Variance Profit";#N/A,#N/A,FALSE,"EVA"}</definedName>
    <definedName name="wrn.Pages._.12._.to._.21." hidden="1">{#N/A,#N/A,FALSE,"Safety";#N/A,#N/A,FALSE,"Quality";#N/A,#N/A,FALSE,"Inventory";#N/A,#N/A,FALSE,"Asset Use";#N/A,#N/A,FALSE,"Stripping";#N/A,#N/A,FALSE,"Stripping 2 ";#N/A,#N/A,FALSE,"Extraction";#N/A,#N/A,FALSE,"Processing";#N/A,#N/A,FALSE,"Despatch";#N/A,#N/A,FALSE,"Environment";#N/A,#N/A,FALSE,"Environment 2"}</definedName>
    <definedName name="wrn.Pages._.22._.to._.End." hidden="1">{#N/A,#N/A,FALSE,"Maintain";#N/A,#N/A,FALSE,"Personnel";#N/A,#N/A,FALSE,"Labour";#N/A,#N/A,FALSE,"Control Costs";#N/A,#N/A,FALSE,"Quality Assurance";#N/A,#N/A,FALSE,"Quality Comments"}</definedName>
    <definedName name="wrn.PERF._.REP."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rintall."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OFIT." hidden="1">{#N/A,#N/A,FALSE,"BLUESKYE"}</definedName>
    <definedName name="wrn.remove" hidden="1">{"CorpRS_Profit",#N/A,FALSE,"Reports (RS)";"CorpRS_Cash",#N/A,FALSE,"Reports (RS)";"CorpRS_Cash1",#N/A,FALSE,"Reports (RS)";"CorpRS_Bsheet",#N/A,FALSE,"Reports (RS)"}</definedName>
    <definedName name="wrn.RES._.DEV." hidden="1">{#N/A,#N/A,FALSE,"ResDev"}</definedName>
    <definedName name="wrn.RS._.Reports." hidden="1">{"RSprofit",#N/A,FALSE,"Reports (RS)";"RScash",#N/A,FALSE,"Reports (RS)";"RSbsheet",#N/A,FALSE,"Reports (RS)"}</definedName>
    <definedName name="wrn.Second._.Run." hidden="1">{"NUMBERS",#N/A,FALSE,"Cashflow Spreadsheet";"INPUT",#N/A,FALSE,"Cashflow Spreadsheet";"CALC",#N/A,FALSE,"Cashflow Spreadsheet";"IMPACT",#N/A,FALSE,"Cashflow Spreadsheet";"ORIGINAL",#N/A,FALSE,"Cashflow Spreadsheet";"ADJ",#N/A,FALSE,"Cashflow Spreadsheet";"EXPORT",#N/A,FALSE,"Cashflow Spreadsheet"}</definedName>
    <definedName name="wrn.SUMMARY." hidden="1">{#N/A,#N/A,FALSE,"EstSum";#N/A,#N/A,FALSE,"Misc. Inputs";#N/A,#N/A,FALSE,"1601 Calcs (Water Cooling)";#N/A,#N/A,FALSE,"Equipment List";#N/A,#N/A,FALSE,"Cooling Pond"}</definedName>
    <definedName name="wrn.Total." hidden="1">{"base",#N/A,FALSE,"Overall Summary";"Full",#N/A,FALSE,"EstSum";"full",#N/A,FALSE,"Misc. Inputs";"full",#N/A,FALSE,"Equipment List";"Full",#N/A,FALSE,"1601 Calcs (Water Cooling)";"Full",#N/A,FALSE,"2341 Calcs (Tube Digest)";"Full",#N/A,FALSE,"2341 Calcs (Flash Tanks)";"Full",#N/A,FALSE,"2491 Calcs (MOL Tanks)";#N/A,#N/A,FALSE,"2501 Calcs (Liq Filt)";"Full",#N/A,FALSE,"2601 Calcs (Evaporation)";"Full",#N/A,FALSE,"2651 Calcs (Process Cond Tks)";"Full",#N/A,FALSE,"3301 Calcs (HID PHE's)";"Full",#N/A,FALSE,"3321 Calcs (O.F Tank)";"Full",#N/A,FALSE,"3322 Calcs (Precip Nos)";"Full",#N/A,FALSE,"3341 Calcs (Cyclone)";"Full",#N/A,FALSE,"3351&amp;3361 Calcs (Filters)";"Full",#N/A,FALSE,"5361 Calcs (SPS)";#N/A,#N/A,FALSE,"Electrical";#N/A,#N/A,FALSE,"Silocalcs"}</definedName>
    <definedName name="wrn.Treas." hidden="1">{"TREAS1",#N/A,FALSE,"Cashflow Spreadsheet";"TREAS2",#N/A,FALSE,"Cashflow Spreadsheet";"TREAS3",#N/A,FALSE,"Cashflow Spreadsheet"}</definedName>
    <definedName name="XCA" hidden="1">"Depression"</definedName>
    <definedName name="XCAReportingSoftware" hidden="1">TRUE</definedName>
    <definedName name="xx" hidden="1">{"'Internet'!$B$3:$D$24"}</definedName>
    <definedName name="xyz" hidden="1">#REF!</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4:slicerCache r:id="rId14"/>
        <x14:slicerCache r:id="rId15"/>
        <x14:slicerCache r:id="rId16"/>
        <x14:slicerCache r:id="rId1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1" i="30" l="1"/>
  <c r="Y22" i="30"/>
  <c r="Y23" i="30"/>
  <c r="Y24" i="30"/>
  <c r="Y25" i="30"/>
  <c r="Y26" i="30"/>
  <c r="Y27" i="30"/>
  <c r="Y28" i="30"/>
  <c r="Y29" i="30"/>
  <c r="Y30" i="30"/>
  <c r="Y31" i="30"/>
  <c r="Y32" i="30"/>
  <c r="Y33" i="30"/>
  <c r="Y34" i="30"/>
  <c r="Y35" i="30"/>
  <c r="Y36" i="30"/>
  <c r="Y37" i="30"/>
  <c r="Y38" i="30"/>
  <c r="A10" i="30"/>
  <c r="B10" i="30"/>
  <c r="C10" i="30"/>
  <c r="D10" i="30"/>
  <c r="E10" i="30"/>
  <c r="G10" i="30" s="1"/>
  <c r="F10" i="30"/>
  <c r="H10" i="30"/>
  <c r="I10" i="30"/>
  <c r="A11" i="30"/>
  <c r="B11" i="30"/>
  <c r="C11" i="30"/>
  <c r="E180" i="30" s="1"/>
  <c r="D11" i="30"/>
  <c r="F11" i="30"/>
  <c r="H11" i="30"/>
  <c r="I11" i="30"/>
  <c r="A12" i="30"/>
  <c r="B12" i="30"/>
  <c r="C12" i="30"/>
  <c r="D12" i="30"/>
  <c r="E12" i="30"/>
  <c r="F12" i="30"/>
  <c r="H12" i="30"/>
  <c r="I12" i="30"/>
  <c r="A13" i="30"/>
  <c r="B13" i="30"/>
  <c r="D13" i="30" s="1"/>
  <c r="C13" i="30"/>
  <c r="F13" i="30"/>
  <c r="H13" i="30"/>
  <c r="I13" i="30"/>
  <c r="A14" i="30"/>
  <c r="B14" i="30"/>
  <c r="C14" i="30"/>
  <c r="D14" i="30"/>
  <c r="F14" i="30"/>
  <c r="H14" i="30"/>
  <c r="I14" i="30"/>
  <c r="A15" i="30"/>
  <c r="D15" i="30" s="1"/>
  <c r="B15" i="30"/>
  <c r="C15" i="30"/>
  <c r="F15" i="30"/>
  <c r="H15" i="30"/>
  <c r="I15" i="30"/>
  <c r="A16" i="30"/>
  <c r="B16" i="30"/>
  <c r="C16" i="30"/>
  <c r="E16" i="30" s="1"/>
  <c r="F16" i="30"/>
  <c r="H16" i="30"/>
  <c r="I16" i="30"/>
  <c r="A17" i="30"/>
  <c r="B17" i="30"/>
  <c r="D17" i="30" s="1"/>
  <c r="C17" i="30"/>
  <c r="F17" i="30"/>
  <c r="H17" i="30"/>
  <c r="I17" i="30"/>
  <c r="A18" i="30"/>
  <c r="B18" i="30"/>
  <c r="C18" i="30"/>
  <c r="D18" i="30"/>
  <c r="F18" i="30"/>
  <c r="H18" i="30"/>
  <c r="I18" i="30"/>
  <c r="A19" i="30"/>
  <c r="D19" i="30" s="1"/>
  <c r="B19" i="30"/>
  <c r="C19" i="30"/>
  <c r="F19" i="30"/>
  <c r="H19" i="30"/>
  <c r="I19" i="30"/>
  <c r="A20" i="30"/>
  <c r="B20" i="30"/>
  <c r="C20" i="30"/>
  <c r="D20" i="30"/>
  <c r="F20" i="30"/>
  <c r="H20" i="30"/>
  <c r="I20" i="30"/>
  <c r="A21" i="30"/>
  <c r="B21" i="30"/>
  <c r="C21" i="30"/>
  <c r="D21" i="30"/>
  <c r="F21" i="30"/>
  <c r="H21" i="30"/>
  <c r="I21" i="30"/>
  <c r="A22" i="30"/>
  <c r="B22" i="30"/>
  <c r="C22" i="30"/>
  <c r="D22" i="30" s="1"/>
  <c r="F22" i="30"/>
  <c r="H22" i="30"/>
  <c r="I22" i="30"/>
  <c r="T22" i="30" s="1"/>
  <c r="A23" i="30"/>
  <c r="B23" i="30"/>
  <c r="C23" i="30"/>
  <c r="D23" i="30"/>
  <c r="F23" i="30"/>
  <c r="H23" i="30"/>
  <c r="I23" i="30"/>
  <c r="T23" i="30" s="1"/>
  <c r="A24" i="30"/>
  <c r="B24" i="30"/>
  <c r="D24" i="30" s="1"/>
  <c r="C24" i="30"/>
  <c r="F24" i="30"/>
  <c r="H24" i="30"/>
  <c r="I24" i="30"/>
  <c r="A25" i="30"/>
  <c r="D25" i="30" s="1"/>
  <c r="B25" i="30"/>
  <c r="C25" i="30"/>
  <c r="F25" i="30"/>
  <c r="H25" i="30"/>
  <c r="I25" i="30"/>
  <c r="A26" i="30"/>
  <c r="B26" i="30"/>
  <c r="C26" i="30"/>
  <c r="E26" i="30" s="1"/>
  <c r="F26" i="30"/>
  <c r="H26" i="30"/>
  <c r="I26" i="30"/>
  <c r="A27" i="30"/>
  <c r="B27" i="30"/>
  <c r="C27" i="30"/>
  <c r="F27" i="30"/>
  <c r="H27" i="30"/>
  <c r="I27" i="30"/>
  <c r="A28" i="30"/>
  <c r="B28" i="30"/>
  <c r="C28" i="30"/>
  <c r="D28" i="30"/>
  <c r="F28" i="30"/>
  <c r="H28" i="30"/>
  <c r="I28" i="30"/>
  <c r="T28" i="30" s="1"/>
  <c r="A29" i="30"/>
  <c r="B29" i="30"/>
  <c r="C29" i="30"/>
  <c r="F29" i="30"/>
  <c r="H29" i="30"/>
  <c r="I29" i="30"/>
  <c r="A30" i="30"/>
  <c r="B30" i="30"/>
  <c r="D30" i="30" s="1"/>
  <c r="C30" i="30"/>
  <c r="E30" i="30" s="1"/>
  <c r="F30" i="30"/>
  <c r="H30" i="30"/>
  <c r="I30" i="30"/>
  <c r="A31" i="30"/>
  <c r="B31" i="30"/>
  <c r="C31" i="30"/>
  <c r="D31" i="30"/>
  <c r="F31" i="30"/>
  <c r="H31" i="30"/>
  <c r="I31" i="30"/>
  <c r="A32" i="30"/>
  <c r="B32" i="30"/>
  <c r="C32" i="30"/>
  <c r="D32" i="30"/>
  <c r="F32" i="30"/>
  <c r="H32" i="30"/>
  <c r="I32" i="30"/>
  <c r="A33" i="30"/>
  <c r="B33" i="30"/>
  <c r="C33" i="30"/>
  <c r="F33" i="30"/>
  <c r="H33" i="30"/>
  <c r="I33" i="30"/>
  <c r="A34" i="30"/>
  <c r="B34" i="30"/>
  <c r="C34" i="30"/>
  <c r="D34" i="30"/>
  <c r="F34" i="30"/>
  <c r="H34" i="30"/>
  <c r="I34" i="30"/>
  <c r="A35" i="30"/>
  <c r="D35" i="30" s="1"/>
  <c r="B35" i="30"/>
  <c r="C35" i="30"/>
  <c r="F35" i="30"/>
  <c r="H35" i="30"/>
  <c r="I35" i="30"/>
  <c r="A36" i="30"/>
  <c r="B36" i="30"/>
  <c r="C36" i="30"/>
  <c r="F36" i="30"/>
  <c r="H36" i="30"/>
  <c r="I36" i="30"/>
  <c r="A37" i="30"/>
  <c r="B37" i="30"/>
  <c r="C37" i="30"/>
  <c r="D37" i="30"/>
  <c r="F37" i="30"/>
  <c r="H37" i="30"/>
  <c r="I37" i="30"/>
  <c r="A38" i="30"/>
  <c r="B38" i="30"/>
  <c r="C38" i="30"/>
  <c r="D38" i="30"/>
  <c r="F38" i="30"/>
  <c r="H38" i="30"/>
  <c r="I38" i="30"/>
  <c r="A39" i="30"/>
  <c r="B39" i="30"/>
  <c r="C39" i="30"/>
  <c r="D39" i="30"/>
  <c r="F39" i="30"/>
  <c r="H39" i="30"/>
  <c r="I39" i="30"/>
  <c r="A40" i="30"/>
  <c r="B40" i="30"/>
  <c r="C40" i="30"/>
  <c r="D40" i="30"/>
  <c r="F40" i="30"/>
  <c r="H40" i="30"/>
  <c r="I40" i="30"/>
  <c r="A41" i="30"/>
  <c r="D41" i="30" s="1"/>
  <c r="B41" i="30"/>
  <c r="C41" i="30"/>
  <c r="F41" i="30"/>
  <c r="H41" i="30"/>
  <c r="I41" i="30"/>
  <c r="A42" i="30"/>
  <c r="B42" i="30"/>
  <c r="C42" i="30"/>
  <c r="D42" i="30" s="1"/>
  <c r="F42" i="30"/>
  <c r="H42" i="30"/>
  <c r="I42" i="30"/>
  <c r="A43" i="30"/>
  <c r="B43" i="30"/>
  <c r="C43" i="30"/>
  <c r="F43" i="30"/>
  <c r="H43" i="30"/>
  <c r="I43" i="30"/>
  <c r="A44" i="30"/>
  <c r="B44" i="30"/>
  <c r="D44" i="30" s="1"/>
  <c r="C44" i="30"/>
  <c r="F44" i="30"/>
  <c r="H44" i="30"/>
  <c r="I44" i="30"/>
  <c r="A45" i="30"/>
  <c r="B45" i="30"/>
  <c r="C45" i="30"/>
  <c r="F45" i="30"/>
  <c r="H45" i="30"/>
  <c r="I45" i="30"/>
  <c r="A46" i="30"/>
  <c r="B46" i="30"/>
  <c r="C46" i="30"/>
  <c r="F46" i="30"/>
  <c r="H46" i="30"/>
  <c r="I46" i="30"/>
  <c r="A47" i="30"/>
  <c r="B47" i="30"/>
  <c r="C47" i="30"/>
  <c r="F47" i="30"/>
  <c r="H47" i="30"/>
  <c r="I47" i="30"/>
  <c r="A48" i="30"/>
  <c r="B48" i="30"/>
  <c r="C48" i="30"/>
  <c r="D48" i="30"/>
  <c r="F48" i="30"/>
  <c r="H48" i="30"/>
  <c r="I48" i="30"/>
  <c r="A49" i="30"/>
  <c r="B49" i="30"/>
  <c r="C49" i="30"/>
  <c r="D49" i="30"/>
  <c r="F49" i="30"/>
  <c r="H49" i="30"/>
  <c r="I49" i="30"/>
  <c r="A50" i="30"/>
  <c r="B50" i="30"/>
  <c r="C50" i="30"/>
  <c r="F50" i="30"/>
  <c r="H50" i="30"/>
  <c r="I50" i="30"/>
  <c r="A51" i="30"/>
  <c r="B51" i="30"/>
  <c r="C51" i="30"/>
  <c r="D51" i="30"/>
  <c r="F51" i="30"/>
  <c r="H51" i="30"/>
  <c r="I51" i="30"/>
  <c r="A52" i="30"/>
  <c r="B52" i="30"/>
  <c r="C52" i="30"/>
  <c r="F52" i="30"/>
  <c r="H52" i="30"/>
  <c r="I52" i="30"/>
  <c r="A53" i="30"/>
  <c r="B53" i="30"/>
  <c r="C53" i="30"/>
  <c r="D53" i="30"/>
  <c r="F53" i="30"/>
  <c r="H53" i="30"/>
  <c r="I53" i="30"/>
  <c r="A54" i="30"/>
  <c r="B54" i="30"/>
  <c r="C54" i="30"/>
  <c r="D54" i="30"/>
  <c r="F54" i="30"/>
  <c r="H54" i="30"/>
  <c r="I54" i="30"/>
  <c r="A55" i="30"/>
  <c r="D55" i="30" s="1"/>
  <c r="B55" i="30"/>
  <c r="C55" i="30"/>
  <c r="F55" i="30"/>
  <c r="H55" i="30"/>
  <c r="I55" i="30"/>
  <c r="A56" i="30"/>
  <c r="B56" i="30"/>
  <c r="C56" i="30"/>
  <c r="D56" i="30"/>
  <c r="F56" i="30"/>
  <c r="H56" i="30"/>
  <c r="I56" i="30"/>
  <c r="A57" i="30"/>
  <c r="B57" i="30"/>
  <c r="C57" i="30"/>
  <c r="D57" i="30"/>
  <c r="F57" i="30"/>
  <c r="H57" i="30"/>
  <c r="I57" i="30"/>
  <c r="A58" i="30"/>
  <c r="B58" i="30"/>
  <c r="C58" i="30"/>
  <c r="D58" i="30" s="1"/>
  <c r="F58" i="30"/>
  <c r="H58" i="30"/>
  <c r="I58" i="30"/>
  <c r="A59" i="30"/>
  <c r="B59" i="30"/>
  <c r="C59" i="30"/>
  <c r="D59" i="30"/>
  <c r="F59" i="30"/>
  <c r="H59" i="30"/>
  <c r="I59" i="30"/>
  <c r="A60" i="30"/>
  <c r="B60" i="30"/>
  <c r="D60" i="30" s="1"/>
  <c r="C60" i="30"/>
  <c r="F60" i="30"/>
  <c r="H60" i="30"/>
  <c r="I60" i="30"/>
  <c r="A61" i="30"/>
  <c r="D61" i="30" s="1"/>
  <c r="B61" i="30"/>
  <c r="C61" i="30"/>
  <c r="F61" i="30"/>
  <c r="H61" i="30"/>
  <c r="I61" i="30"/>
  <c r="A62" i="30"/>
  <c r="B62" i="30"/>
  <c r="C62" i="30"/>
  <c r="F62" i="30"/>
  <c r="H62" i="30"/>
  <c r="I62" i="30"/>
  <c r="A63" i="30"/>
  <c r="B63" i="30"/>
  <c r="C63" i="30"/>
  <c r="F63" i="30"/>
  <c r="H63" i="30"/>
  <c r="I63" i="30"/>
  <c r="A64" i="30"/>
  <c r="B64" i="30"/>
  <c r="C64" i="30"/>
  <c r="D64" i="30"/>
  <c r="F64" i="30"/>
  <c r="H64" i="30"/>
  <c r="I64" i="30"/>
  <c r="A65" i="30"/>
  <c r="B65" i="30"/>
  <c r="C65" i="30"/>
  <c r="F65" i="30"/>
  <c r="H65" i="30"/>
  <c r="I65" i="30"/>
  <c r="A66" i="30"/>
  <c r="B66" i="30"/>
  <c r="C66" i="30"/>
  <c r="D66" i="30"/>
  <c r="F66" i="30"/>
  <c r="H66" i="30"/>
  <c r="I66" i="30"/>
  <c r="A67" i="30"/>
  <c r="B67" i="30"/>
  <c r="C67" i="30"/>
  <c r="F67" i="30"/>
  <c r="H67" i="30"/>
  <c r="I67" i="30"/>
  <c r="A68" i="30"/>
  <c r="B68" i="30"/>
  <c r="C68" i="30"/>
  <c r="E68" i="30" s="1"/>
  <c r="D68" i="30"/>
  <c r="F68" i="30"/>
  <c r="H68" i="30"/>
  <c r="I68" i="30"/>
  <c r="A69" i="30"/>
  <c r="B69" i="30"/>
  <c r="C69" i="30"/>
  <c r="F69" i="30"/>
  <c r="H69" i="30"/>
  <c r="I69" i="30"/>
  <c r="A70" i="30"/>
  <c r="B70" i="30"/>
  <c r="C70" i="30"/>
  <c r="D70" i="30"/>
  <c r="F70" i="30"/>
  <c r="H70" i="30"/>
  <c r="I70" i="30"/>
  <c r="A71" i="30"/>
  <c r="B71" i="30"/>
  <c r="C71" i="30"/>
  <c r="F71" i="30"/>
  <c r="H71" i="30"/>
  <c r="I71" i="30"/>
  <c r="A72" i="30"/>
  <c r="B72" i="30"/>
  <c r="D72" i="30" s="1"/>
  <c r="C72" i="30"/>
  <c r="F72" i="30"/>
  <c r="H72" i="30"/>
  <c r="I72" i="30"/>
  <c r="A73" i="30"/>
  <c r="B73" i="30"/>
  <c r="C73" i="30"/>
  <c r="D73" i="30"/>
  <c r="F73" i="30"/>
  <c r="H73" i="30"/>
  <c r="I73" i="30"/>
  <c r="A74" i="30"/>
  <c r="B74" i="30"/>
  <c r="C74" i="30"/>
  <c r="E74" i="30" s="1"/>
  <c r="D74" i="30"/>
  <c r="F74" i="30"/>
  <c r="H74" i="30"/>
  <c r="I74" i="30"/>
  <c r="A75" i="30"/>
  <c r="B75" i="30"/>
  <c r="C75" i="30"/>
  <c r="D75" i="30"/>
  <c r="F75" i="30"/>
  <c r="H75" i="30"/>
  <c r="I75" i="30"/>
  <c r="A76" i="30"/>
  <c r="B76" i="30"/>
  <c r="C76" i="30"/>
  <c r="D76" i="30"/>
  <c r="F76" i="30"/>
  <c r="H76" i="30"/>
  <c r="I76" i="30"/>
  <c r="A77" i="30"/>
  <c r="D77" i="30" s="1"/>
  <c r="B77" i="30"/>
  <c r="C77" i="30"/>
  <c r="F77" i="30"/>
  <c r="H77" i="30"/>
  <c r="I77" i="30"/>
  <c r="A78" i="30"/>
  <c r="B78" i="30"/>
  <c r="C78" i="30"/>
  <c r="D78" i="30" s="1"/>
  <c r="F78" i="30"/>
  <c r="H78" i="30"/>
  <c r="I78" i="30"/>
  <c r="A79" i="30"/>
  <c r="B79" i="30"/>
  <c r="C79" i="30"/>
  <c r="F79" i="30"/>
  <c r="H79" i="30"/>
  <c r="I79" i="30"/>
  <c r="A80" i="30"/>
  <c r="B80" i="30"/>
  <c r="D80" i="30" s="1"/>
  <c r="C80" i="30"/>
  <c r="F80" i="30"/>
  <c r="H80" i="30"/>
  <c r="I80" i="30"/>
  <c r="A81" i="30"/>
  <c r="B81" i="30"/>
  <c r="C81" i="30"/>
  <c r="F81" i="30"/>
  <c r="H81" i="30"/>
  <c r="I81" i="30"/>
  <c r="A82" i="30"/>
  <c r="B82" i="30"/>
  <c r="D82" i="30" s="1"/>
  <c r="C82" i="30"/>
  <c r="F82" i="30"/>
  <c r="H82" i="30"/>
  <c r="I82" i="30"/>
  <c r="A83" i="30"/>
  <c r="B83" i="30"/>
  <c r="C83" i="30"/>
  <c r="D83" i="30"/>
  <c r="F83" i="30"/>
  <c r="H83" i="30"/>
  <c r="I83" i="30"/>
  <c r="A84" i="30"/>
  <c r="B84" i="30"/>
  <c r="C84" i="30"/>
  <c r="D84" i="30"/>
  <c r="F84" i="30"/>
  <c r="H84" i="30"/>
  <c r="I84" i="30"/>
  <c r="A85" i="30"/>
  <c r="B85" i="30"/>
  <c r="C85" i="30"/>
  <c r="D85" i="30"/>
  <c r="F85" i="30"/>
  <c r="H85" i="30"/>
  <c r="I85" i="30"/>
  <c r="A86" i="30"/>
  <c r="B86" i="30"/>
  <c r="C86" i="30"/>
  <c r="F86" i="30"/>
  <c r="H86" i="30"/>
  <c r="I86" i="30"/>
  <c r="A87" i="30"/>
  <c r="B87" i="30"/>
  <c r="C87" i="30"/>
  <c r="F87" i="30"/>
  <c r="H87" i="30"/>
  <c r="I87" i="30"/>
  <c r="A88" i="30"/>
  <c r="B88" i="30"/>
  <c r="C88" i="30"/>
  <c r="F88" i="30"/>
  <c r="H88" i="30"/>
  <c r="I88" i="30"/>
  <c r="A89" i="30"/>
  <c r="B89" i="30"/>
  <c r="C89" i="30"/>
  <c r="D89" i="30"/>
  <c r="F89" i="30"/>
  <c r="H89" i="30"/>
  <c r="I89" i="30"/>
  <c r="A90" i="30"/>
  <c r="B90" i="30"/>
  <c r="C90" i="30"/>
  <c r="D90" i="30"/>
  <c r="F90" i="30"/>
  <c r="H90" i="30"/>
  <c r="I90" i="30"/>
  <c r="A91" i="30"/>
  <c r="B91" i="30"/>
  <c r="C91" i="30"/>
  <c r="F91" i="30"/>
  <c r="H91" i="30"/>
  <c r="I91" i="30"/>
  <c r="A92" i="30"/>
  <c r="B92" i="30"/>
  <c r="C92" i="30"/>
  <c r="D92" i="30"/>
  <c r="F92" i="30"/>
  <c r="H92" i="30"/>
  <c r="I92" i="30"/>
  <c r="A93" i="30"/>
  <c r="B93" i="30"/>
  <c r="C93" i="30"/>
  <c r="D93" i="30"/>
  <c r="F93" i="30"/>
  <c r="H93" i="30"/>
  <c r="I93" i="30"/>
  <c r="A94" i="30"/>
  <c r="B94" i="30"/>
  <c r="C94" i="30"/>
  <c r="D94" i="30" s="1"/>
  <c r="F94" i="30"/>
  <c r="H94" i="30"/>
  <c r="I94" i="30"/>
  <c r="A95" i="30"/>
  <c r="B95" i="30"/>
  <c r="C95" i="30"/>
  <c r="D95" i="30"/>
  <c r="F95" i="30"/>
  <c r="H95" i="30"/>
  <c r="I95" i="30"/>
  <c r="A96" i="30"/>
  <c r="B96" i="30"/>
  <c r="D96" i="30" s="1"/>
  <c r="C96" i="30"/>
  <c r="F96" i="30"/>
  <c r="H96" i="30"/>
  <c r="I96" i="30"/>
  <c r="A97" i="30"/>
  <c r="D97" i="30" s="1"/>
  <c r="B97" i="30"/>
  <c r="C97" i="30"/>
  <c r="F97" i="30"/>
  <c r="H97" i="30"/>
  <c r="I97" i="30"/>
  <c r="A98" i="30"/>
  <c r="B98" i="30"/>
  <c r="C98" i="30"/>
  <c r="F98" i="30"/>
  <c r="H98" i="30"/>
  <c r="I98" i="30"/>
  <c r="A99" i="30"/>
  <c r="B99" i="30"/>
  <c r="C99" i="30"/>
  <c r="F99" i="30"/>
  <c r="H99" i="30"/>
  <c r="I99" i="30"/>
  <c r="A100" i="30"/>
  <c r="B100" i="30"/>
  <c r="C100" i="30"/>
  <c r="D100" i="30"/>
  <c r="F100" i="30"/>
  <c r="H100" i="30"/>
  <c r="I100" i="30"/>
  <c r="A101" i="30"/>
  <c r="B101" i="30"/>
  <c r="C101" i="30"/>
  <c r="F101" i="30"/>
  <c r="H101" i="30"/>
  <c r="I101" i="30"/>
  <c r="A102" i="30"/>
  <c r="B102" i="30"/>
  <c r="C102" i="30"/>
  <c r="E102" i="30" s="1"/>
  <c r="F102" i="30"/>
  <c r="H102" i="30"/>
  <c r="I102" i="30"/>
  <c r="A103" i="30"/>
  <c r="D103" i="30" s="1"/>
  <c r="B103" i="30"/>
  <c r="C103" i="30"/>
  <c r="F103" i="30"/>
  <c r="H103" i="30"/>
  <c r="I103" i="30"/>
  <c r="A104" i="30"/>
  <c r="B104" i="30"/>
  <c r="C104" i="30"/>
  <c r="D104" i="30"/>
  <c r="F104" i="30"/>
  <c r="H104" i="30"/>
  <c r="I104" i="30"/>
  <c r="A105" i="30"/>
  <c r="B105" i="30"/>
  <c r="C105" i="30"/>
  <c r="F105" i="30"/>
  <c r="H105" i="30"/>
  <c r="I105" i="30"/>
  <c r="A106" i="30"/>
  <c r="B106" i="30"/>
  <c r="C106" i="30"/>
  <c r="D106" i="30"/>
  <c r="F106" i="30"/>
  <c r="H106" i="30"/>
  <c r="I106" i="30"/>
  <c r="A107" i="30"/>
  <c r="D107" i="30" s="1"/>
  <c r="B107" i="30"/>
  <c r="C107" i="30"/>
  <c r="F107" i="30"/>
  <c r="H107" i="30"/>
  <c r="I107" i="30"/>
  <c r="A108" i="30"/>
  <c r="B108" i="30"/>
  <c r="C108" i="30"/>
  <c r="F108" i="30"/>
  <c r="H108" i="30"/>
  <c r="I108" i="30"/>
  <c r="A109" i="30"/>
  <c r="B109" i="30"/>
  <c r="C109" i="30"/>
  <c r="D109" i="30"/>
  <c r="F109" i="30"/>
  <c r="H109" i="30"/>
  <c r="I109" i="30"/>
  <c r="A110" i="30"/>
  <c r="B110" i="30"/>
  <c r="C110" i="30"/>
  <c r="D110" i="30"/>
  <c r="F110" i="30"/>
  <c r="H110" i="30"/>
  <c r="I110" i="30"/>
  <c r="A111" i="30"/>
  <c r="B111" i="30"/>
  <c r="C111" i="30"/>
  <c r="D111" i="30"/>
  <c r="F111" i="30"/>
  <c r="H111" i="30"/>
  <c r="I111" i="30"/>
  <c r="A112" i="30"/>
  <c r="B112" i="30"/>
  <c r="C112" i="30"/>
  <c r="D112" i="30"/>
  <c r="F112" i="30"/>
  <c r="H112" i="30"/>
  <c r="I112" i="30"/>
  <c r="A113" i="30"/>
  <c r="D113" i="30" s="1"/>
  <c r="B113" i="30"/>
  <c r="C113" i="30"/>
  <c r="F113" i="30"/>
  <c r="H113" i="30"/>
  <c r="I113" i="30"/>
  <c r="A114" i="30"/>
  <c r="B114" i="30"/>
  <c r="C114" i="30"/>
  <c r="D114" i="30" s="1"/>
  <c r="F114" i="30"/>
  <c r="H114" i="30"/>
  <c r="I114" i="30"/>
  <c r="A115" i="30"/>
  <c r="B115" i="30"/>
  <c r="C115" i="30"/>
  <c r="F115" i="30"/>
  <c r="H115" i="30"/>
  <c r="I115" i="30"/>
  <c r="A116" i="30"/>
  <c r="B116" i="30"/>
  <c r="D116" i="30" s="1"/>
  <c r="C116" i="30"/>
  <c r="F116" i="30"/>
  <c r="H116" i="30"/>
  <c r="I116" i="30"/>
  <c r="A117" i="30"/>
  <c r="B117" i="30"/>
  <c r="C117" i="30"/>
  <c r="F117" i="30"/>
  <c r="H117" i="30"/>
  <c r="I117" i="30"/>
  <c r="A118" i="30"/>
  <c r="B118" i="30"/>
  <c r="C118" i="30"/>
  <c r="F118" i="30"/>
  <c r="H118" i="30"/>
  <c r="I118" i="30"/>
  <c r="A119" i="30"/>
  <c r="B119" i="30"/>
  <c r="C119" i="30"/>
  <c r="D119" i="30"/>
  <c r="F119" i="30"/>
  <c r="H119" i="30"/>
  <c r="I119" i="30"/>
  <c r="A120" i="30"/>
  <c r="B120" i="30"/>
  <c r="C120" i="30"/>
  <c r="D120" i="30"/>
  <c r="F120" i="30"/>
  <c r="H120" i="30"/>
  <c r="I120" i="30"/>
  <c r="A121" i="30"/>
  <c r="B121" i="30"/>
  <c r="C121" i="30"/>
  <c r="F121" i="30"/>
  <c r="H121" i="30"/>
  <c r="I121" i="30"/>
  <c r="A122" i="30"/>
  <c r="B122" i="30"/>
  <c r="C122" i="30"/>
  <c r="F122" i="30"/>
  <c r="H122" i="30"/>
  <c r="I122" i="30"/>
  <c r="A123" i="30"/>
  <c r="D123" i="30" s="1"/>
  <c r="B123" i="30"/>
  <c r="C123" i="30"/>
  <c r="F123" i="30"/>
  <c r="H123" i="30"/>
  <c r="I123" i="30"/>
  <c r="A124" i="30"/>
  <c r="B124" i="30"/>
  <c r="C124" i="30"/>
  <c r="F124" i="30"/>
  <c r="H124" i="30"/>
  <c r="I124" i="30"/>
  <c r="A125" i="30"/>
  <c r="B125" i="30"/>
  <c r="D125" i="30" s="1"/>
  <c r="C125" i="30"/>
  <c r="F125" i="30"/>
  <c r="H125" i="30"/>
  <c r="I125" i="30"/>
  <c r="A126" i="30"/>
  <c r="B126" i="30"/>
  <c r="C126" i="30"/>
  <c r="D126" i="30"/>
  <c r="F126" i="30"/>
  <c r="H126" i="30"/>
  <c r="I126" i="30"/>
  <c r="A127" i="30"/>
  <c r="B127" i="30"/>
  <c r="D127" i="30" s="1"/>
  <c r="C127" i="30"/>
  <c r="F127" i="30"/>
  <c r="H127" i="30"/>
  <c r="I127" i="30"/>
  <c r="A128" i="30"/>
  <c r="B128" i="30"/>
  <c r="C128" i="30"/>
  <c r="D128" i="30"/>
  <c r="F128" i="30"/>
  <c r="H128" i="30"/>
  <c r="I128" i="30"/>
  <c r="A129" i="30"/>
  <c r="B129" i="30"/>
  <c r="C129" i="30"/>
  <c r="D129" i="30"/>
  <c r="F129" i="30"/>
  <c r="H129" i="30"/>
  <c r="I129" i="30"/>
  <c r="A130" i="30"/>
  <c r="B130" i="30"/>
  <c r="C130" i="30"/>
  <c r="D130" i="30" s="1"/>
  <c r="F130" i="30"/>
  <c r="H130" i="30"/>
  <c r="I130" i="30"/>
  <c r="A131" i="30"/>
  <c r="B131" i="30"/>
  <c r="C131" i="30"/>
  <c r="D131" i="30"/>
  <c r="F131" i="30"/>
  <c r="H131" i="30"/>
  <c r="I131" i="30"/>
  <c r="A132" i="30"/>
  <c r="B132" i="30"/>
  <c r="D132" i="30" s="1"/>
  <c r="C132" i="30"/>
  <c r="F132" i="30"/>
  <c r="H132" i="30"/>
  <c r="I132" i="30"/>
  <c r="A133" i="30"/>
  <c r="D133" i="30" s="1"/>
  <c r="B133" i="30"/>
  <c r="C133" i="30"/>
  <c r="F133" i="30"/>
  <c r="H133" i="30"/>
  <c r="I133" i="30"/>
  <c r="A134" i="30"/>
  <c r="B134" i="30"/>
  <c r="C134" i="30"/>
  <c r="F134" i="30"/>
  <c r="H134" i="30"/>
  <c r="I134" i="30"/>
  <c r="A135" i="30"/>
  <c r="D135" i="30" s="1"/>
  <c r="B135" i="30"/>
  <c r="C135" i="30"/>
  <c r="F135" i="30"/>
  <c r="H135" i="30"/>
  <c r="I135" i="30"/>
  <c r="A136" i="30"/>
  <c r="B136" i="30"/>
  <c r="C136" i="30"/>
  <c r="D136" i="30"/>
  <c r="F136" i="30"/>
  <c r="H136" i="30"/>
  <c r="I136" i="30"/>
  <c r="A137" i="30"/>
  <c r="B137" i="30"/>
  <c r="C137" i="30"/>
  <c r="F137" i="30"/>
  <c r="H137" i="30"/>
  <c r="I137" i="30"/>
  <c r="A138" i="30"/>
  <c r="B138" i="30"/>
  <c r="D138" i="30" s="1"/>
  <c r="C138" i="30"/>
  <c r="F138" i="30"/>
  <c r="H138" i="30"/>
  <c r="I138" i="30"/>
  <c r="A139" i="30"/>
  <c r="B139" i="30"/>
  <c r="C139" i="30"/>
  <c r="D139" i="30"/>
  <c r="F139" i="30"/>
  <c r="H139" i="30"/>
  <c r="I139" i="30"/>
  <c r="A140" i="30"/>
  <c r="B140" i="30"/>
  <c r="C140" i="30"/>
  <c r="D140" i="30" s="1"/>
  <c r="F140" i="30"/>
  <c r="H140" i="30"/>
  <c r="I140" i="30"/>
  <c r="A141" i="30"/>
  <c r="B141" i="30"/>
  <c r="C141" i="30"/>
  <c r="F141" i="30"/>
  <c r="H141" i="30"/>
  <c r="I141" i="30"/>
  <c r="A142" i="30"/>
  <c r="B142" i="30"/>
  <c r="C142" i="30"/>
  <c r="D142" i="30"/>
  <c r="F142" i="30"/>
  <c r="H142" i="30"/>
  <c r="I142" i="30"/>
  <c r="A143" i="30"/>
  <c r="D143" i="30" s="1"/>
  <c r="B143" i="30"/>
  <c r="C143" i="30"/>
  <c r="F143" i="30"/>
  <c r="H143" i="30"/>
  <c r="I143" i="30"/>
  <c r="A144" i="30"/>
  <c r="B144" i="30"/>
  <c r="C144" i="30"/>
  <c r="F144" i="30"/>
  <c r="H144" i="30"/>
  <c r="I144" i="30"/>
  <c r="A145" i="30"/>
  <c r="B145" i="30"/>
  <c r="C145" i="30"/>
  <c r="D145" i="30"/>
  <c r="F145" i="30"/>
  <c r="H145" i="30"/>
  <c r="I145" i="30"/>
  <c r="A146" i="30"/>
  <c r="B146" i="30"/>
  <c r="C146" i="30"/>
  <c r="D146" i="30"/>
  <c r="F146" i="30"/>
  <c r="H146" i="30"/>
  <c r="I146" i="30"/>
  <c r="A147" i="30"/>
  <c r="B147" i="30"/>
  <c r="C147" i="30"/>
  <c r="D147" i="30"/>
  <c r="F147" i="30"/>
  <c r="H147" i="30"/>
  <c r="I147" i="30"/>
  <c r="A148" i="30"/>
  <c r="B148" i="30"/>
  <c r="C148" i="30"/>
  <c r="D148" i="30"/>
  <c r="F148" i="30"/>
  <c r="H148" i="30"/>
  <c r="I148" i="30"/>
  <c r="A149" i="30"/>
  <c r="D149" i="30" s="1"/>
  <c r="B149" i="30"/>
  <c r="C149" i="30"/>
  <c r="F149" i="30"/>
  <c r="H149" i="30"/>
  <c r="I149" i="30"/>
  <c r="A150" i="30"/>
  <c r="B150" i="30"/>
  <c r="C150" i="30"/>
  <c r="D150" i="30" s="1"/>
  <c r="F150" i="30"/>
  <c r="H150" i="30"/>
  <c r="I150" i="30"/>
  <c r="A151" i="30"/>
  <c r="B151" i="30"/>
  <c r="C151" i="30"/>
  <c r="F151" i="30"/>
  <c r="H151" i="30"/>
  <c r="I151" i="30"/>
  <c r="A152" i="30"/>
  <c r="B152" i="30"/>
  <c r="D152" i="30" s="1"/>
  <c r="C152" i="30"/>
  <c r="F152" i="30"/>
  <c r="H152" i="30"/>
  <c r="I152" i="30"/>
  <c r="A153" i="30"/>
  <c r="B153" i="30"/>
  <c r="C153" i="30"/>
  <c r="F153" i="30"/>
  <c r="H153" i="30"/>
  <c r="I153" i="30"/>
  <c r="A154" i="30"/>
  <c r="B154" i="30"/>
  <c r="C154" i="30"/>
  <c r="F154" i="30"/>
  <c r="H154" i="30"/>
  <c r="I154" i="30"/>
  <c r="A155" i="30"/>
  <c r="B155" i="30"/>
  <c r="C155" i="30"/>
  <c r="F155" i="30"/>
  <c r="H155" i="30"/>
  <c r="I155" i="30"/>
  <c r="A156" i="30"/>
  <c r="B156" i="30"/>
  <c r="C156" i="30"/>
  <c r="D156" i="30"/>
  <c r="F156" i="30"/>
  <c r="H156" i="30"/>
  <c r="I156" i="30"/>
  <c r="A157" i="30"/>
  <c r="B157" i="30"/>
  <c r="C157" i="30"/>
  <c r="D157" i="30"/>
  <c r="F157" i="30"/>
  <c r="H157" i="30"/>
  <c r="I157" i="30"/>
  <c r="A158" i="30"/>
  <c r="B158" i="30"/>
  <c r="C158" i="30"/>
  <c r="F158" i="30"/>
  <c r="H158" i="30"/>
  <c r="I158" i="30"/>
  <c r="A159" i="30"/>
  <c r="B159" i="30"/>
  <c r="C159" i="30"/>
  <c r="D159" i="30"/>
  <c r="F159" i="30"/>
  <c r="H159" i="30"/>
  <c r="I159" i="30"/>
  <c r="A160" i="30"/>
  <c r="B160" i="30"/>
  <c r="C160" i="30"/>
  <c r="F160" i="30"/>
  <c r="H160" i="30"/>
  <c r="I160" i="30"/>
  <c r="A161" i="30"/>
  <c r="B161" i="30"/>
  <c r="C161" i="30"/>
  <c r="D161" i="30"/>
  <c r="F161" i="30"/>
  <c r="H161" i="30"/>
  <c r="I161" i="30"/>
  <c r="A162" i="30"/>
  <c r="B162" i="30"/>
  <c r="C162" i="30"/>
  <c r="D162" i="30"/>
  <c r="F162" i="30"/>
  <c r="H162" i="30"/>
  <c r="I162" i="30"/>
  <c r="A163" i="30"/>
  <c r="B163" i="30"/>
  <c r="D163" i="30" s="1"/>
  <c r="C163" i="30"/>
  <c r="F163" i="30"/>
  <c r="H163" i="30"/>
  <c r="I163" i="30"/>
  <c r="A164" i="30"/>
  <c r="B164" i="30"/>
  <c r="C164" i="30"/>
  <c r="D164" i="30"/>
  <c r="F164" i="30"/>
  <c r="H164" i="30"/>
  <c r="I164" i="30"/>
  <c r="A165" i="30"/>
  <c r="B165" i="30"/>
  <c r="C165" i="30"/>
  <c r="D165" i="30"/>
  <c r="F165" i="30"/>
  <c r="H165" i="30"/>
  <c r="I165" i="30"/>
  <c r="A166" i="30"/>
  <c r="B166" i="30"/>
  <c r="C166" i="30"/>
  <c r="D166" i="30" s="1"/>
  <c r="F166" i="30"/>
  <c r="H166" i="30"/>
  <c r="I166" i="30"/>
  <c r="A167" i="30"/>
  <c r="B167" i="30"/>
  <c r="C167" i="30"/>
  <c r="D167" i="30"/>
  <c r="F167" i="30"/>
  <c r="H167" i="30"/>
  <c r="I167" i="30"/>
  <c r="A168" i="30"/>
  <c r="B168" i="30"/>
  <c r="D168" i="30" s="1"/>
  <c r="C168" i="30"/>
  <c r="F168" i="30"/>
  <c r="H168" i="30"/>
  <c r="I168" i="30"/>
  <c r="A169" i="30"/>
  <c r="D169" i="30" s="1"/>
  <c r="B169" i="30"/>
  <c r="C169" i="30"/>
  <c r="F169" i="30"/>
  <c r="H169" i="30"/>
  <c r="I169" i="30"/>
  <c r="A170" i="30"/>
  <c r="B170" i="30"/>
  <c r="C170" i="30"/>
  <c r="F170" i="30"/>
  <c r="H170" i="30"/>
  <c r="I170" i="30"/>
  <c r="A171" i="30"/>
  <c r="B171" i="30"/>
  <c r="C171" i="30"/>
  <c r="F171" i="30"/>
  <c r="H171" i="30"/>
  <c r="I171" i="30"/>
  <c r="A172" i="30"/>
  <c r="B172" i="30"/>
  <c r="C172" i="30"/>
  <c r="F172" i="30"/>
  <c r="H172" i="30"/>
  <c r="I172" i="30"/>
  <c r="A173" i="30"/>
  <c r="B173" i="30"/>
  <c r="C173" i="30"/>
  <c r="F173" i="30"/>
  <c r="H173" i="30"/>
  <c r="I173" i="30"/>
  <c r="A174" i="30"/>
  <c r="B174" i="30"/>
  <c r="C174" i="30"/>
  <c r="D174" i="30"/>
  <c r="F174" i="30"/>
  <c r="H174" i="30"/>
  <c r="I174" i="30"/>
  <c r="A175" i="30"/>
  <c r="B175" i="30"/>
  <c r="C175" i="30"/>
  <c r="F175" i="30"/>
  <c r="H175" i="30"/>
  <c r="I175" i="30"/>
  <c r="A176" i="30"/>
  <c r="B176" i="30"/>
  <c r="C176" i="30"/>
  <c r="D176" i="30"/>
  <c r="F176" i="30"/>
  <c r="H176" i="30"/>
  <c r="I176" i="30"/>
  <c r="A177" i="30"/>
  <c r="D177" i="30" s="1"/>
  <c r="B177" i="30"/>
  <c r="C177" i="30"/>
  <c r="F177" i="30"/>
  <c r="H177" i="30"/>
  <c r="I177" i="30"/>
  <c r="A178" i="30"/>
  <c r="B178" i="30"/>
  <c r="D178" i="30" s="1"/>
  <c r="C178" i="30"/>
  <c r="F178" i="30"/>
  <c r="H178" i="30"/>
  <c r="I178" i="30"/>
  <c r="A179" i="30"/>
  <c r="B179" i="30"/>
  <c r="C179" i="30"/>
  <c r="F179" i="30"/>
  <c r="H179" i="30"/>
  <c r="I179" i="30"/>
  <c r="A180" i="30"/>
  <c r="B180" i="30"/>
  <c r="C180" i="30"/>
  <c r="F180" i="30"/>
  <c r="H180" i="30"/>
  <c r="I180" i="30"/>
  <c r="A181" i="30"/>
  <c r="B181" i="30"/>
  <c r="C181" i="30"/>
  <c r="D181" i="30"/>
  <c r="F181" i="30"/>
  <c r="H181" i="30"/>
  <c r="I181" i="30"/>
  <c r="A182" i="30"/>
  <c r="B182" i="30"/>
  <c r="D182" i="30" s="1"/>
  <c r="C182" i="30"/>
  <c r="F182" i="30"/>
  <c r="H182" i="30"/>
  <c r="I182" i="30"/>
  <c r="A183" i="30"/>
  <c r="B183" i="30"/>
  <c r="C183" i="30"/>
  <c r="D183" i="30"/>
  <c r="F183" i="30"/>
  <c r="H183" i="30"/>
  <c r="I183" i="30"/>
  <c r="A184" i="30"/>
  <c r="B184" i="30"/>
  <c r="C184" i="30"/>
  <c r="F184" i="30"/>
  <c r="H184" i="30"/>
  <c r="I184" i="30"/>
  <c r="A185" i="30"/>
  <c r="B185" i="30"/>
  <c r="C185" i="30"/>
  <c r="D185" i="30"/>
  <c r="F185" i="30"/>
  <c r="H185" i="30"/>
  <c r="I185" i="30"/>
  <c r="A186" i="30"/>
  <c r="B186" i="30"/>
  <c r="C186" i="30"/>
  <c r="E186" i="30"/>
  <c r="F186" i="30"/>
  <c r="H186" i="30"/>
  <c r="I186" i="30"/>
  <c r="A187" i="30"/>
  <c r="B187" i="30"/>
  <c r="C187" i="30"/>
  <c r="D187" i="30" s="1"/>
  <c r="F187" i="30"/>
  <c r="H187" i="30"/>
  <c r="I187" i="30"/>
  <c r="A188" i="30"/>
  <c r="B188" i="30"/>
  <c r="C188" i="30"/>
  <c r="F188" i="30"/>
  <c r="H188" i="30"/>
  <c r="I188" i="30"/>
  <c r="A189" i="30"/>
  <c r="B189" i="30"/>
  <c r="C189" i="30"/>
  <c r="D189" i="30"/>
  <c r="F189" i="30"/>
  <c r="H189" i="30"/>
  <c r="I189" i="30"/>
  <c r="A190" i="30"/>
  <c r="B190" i="30"/>
  <c r="C190" i="30"/>
  <c r="F190" i="30"/>
  <c r="H190" i="30"/>
  <c r="I190" i="30"/>
  <c r="A191" i="30"/>
  <c r="B191" i="30"/>
  <c r="C191" i="30"/>
  <c r="D191" i="30" s="1"/>
  <c r="F191" i="30"/>
  <c r="H191" i="30"/>
  <c r="I191" i="30"/>
  <c r="A192" i="30"/>
  <c r="B192" i="30"/>
  <c r="C192" i="30"/>
  <c r="F192" i="30"/>
  <c r="H192" i="30"/>
  <c r="I192" i="30"/>
  <c r="A193" i="30"/>
  <c r="B193" i="30"/>
  <c r="C193" i="30"/>
  <c r="D193" i="30"/>
  <c r="F193" i="30"/>
  <c r="H193" i="30"/>
  <c r="I193" i="30"/>
  <c r="A194" i="30"/>
  <c r="B194" i="30"/>
  <c r="C194" i="30"/>
  <c r="F194" i="30"/>
  <c r="H194" i="30"/>
  <c r="I194" i="30"/>
  <c r="A195" i="30"/>
  <c r="B195" i="30"/>
  <c r="C195" i="30"/>
  <c r="D195" i="30"/>
  <c r="F195" i="30"/>
  <c r="H195" i="30"/>
  <c r="I195" i="30"/>
  <c r="A196" i="30"/>
  <c r="B196" i="30"/>
  <c r="D196" i="30" s="1"/>
  <c r="C196" i="30"/>
  <c r="F196" i="30"/>
  <c r="H196" i="30"/>
  <c r="I196" i="30"/>
  <c r="A197" i="30"/>
  <c r="B197" i="30"/>
  <c r="C197" i="30"/>
  <c r="D197" i="30"/>
  <c r="F197" i="30"/>
  <c r="H197" i="30"/>
  <c r="I197" i="30"/>
  <c r="A198" i="30"/>
  <c r="B198" i="30"/>
  <c r="C198" i="30"/>
  <c r="E198" i="30" s="1"/>
  <c r="F198" i="30"/>
  <c r="H198" i="30"/>
  <c r="I198" i="30"/>
  <c r="A199" i="30"/>
  <c r="B199" i="30"/>
  <c r="C199" i="30"/>
  <c r="D199" i="30"/>
  <c r="F199" i="30"/>
  <c r="H199" i="30"/>
  <c r="I199" i="30"/>
  <c r="A200" i="30"/>
  <c r="B200" i="30"/>
  <c r="D200" i="30" s="1"/>
  <c r="C200" i="30"/>
  <c r="E200" i="30" s="1"/>
  <c r="F200" i="30"/>
  <c r="H200" i="30"/>
  <c r="I200" i="30"/>
  <c r="A201" i="30"/>
  <c r="B201" i="30"/>
  <c r="C201" i="30"/>
  <c r="D201" i="30"/>
  <c r="F201" i="30"/>
  <c r="H201" i="30"/>
  <c r="I201" i="30"/>
  <c r="A202" i="30"/>
  <c r="B202" i="30"/>
  <c r="C202" i="30"/>
  <c r="F202" i="30"/>
  <c r="H202" i="30"/>
  <c r="I202" i="30"/>
  <c r="A203" i="30"/>
  <c r="B203" i="30"/>
  <c r="C203" i="30"/>
  <c r="D203" i="30"/>
  <c r="F203" i="30"/>
  <c r="H203" i="30"/>
  <c r="I203" i="30"/>
  <c r="A204" i="30"/>
  <c r="B204" i="30"/>
  <c r="C204" i="30"/>
  <c r="F204" i="30"/>
  <c r="H204" i="30"/>
  <c r="I204" i="30"/>
  <c r="A205" i="30"/>
  <c r="B205" i="30"/>
  <c r="C205" i="30"/>
  <c r="D205" i="30" s="1"/>
  <c r="F205" i="30"/>
  <c r="H205" i="30"/>
  <c r="I205" i="30"/>
  <c r="A206" i="30"/>
  <c r="B206" i="30"/>
  <c r="C206" i="30"/>
  <c r="F206" i="30"/>
  <c r="H206" i="30"/>
  <c r="I206" i="30"/>
  <c r="A207" i="30"/>
  <c r="B207" i="30"/>
  <c r="C207" i="30"/>
  <c r="D207" i="30" s="1"/>
  <c r="F207" i="30"/>
  <c r="H207" i="30"/>
  <c r="I207" i="30"/>
  <c r="A208" i="30"/>
  <c r="B208" i="30"/>
  <c r="C208" i="30"/>
  <c r="F208" i="30"/>
  <c r="H208" i="30"/>
  <c r="I208" i="30"/>
  <c r="A209" i="30"/>
  <c r="B209" i="30"/>
  <c r="C209" i="30"/>
  <c r="D209" i="30" s="1"/>
  <c r="F209" i="30"/>
  <c r="H209" i="30"/>
  <c r="I209" i="30"/>
  <c r="A210" i="30"/>
  <c r="B210" i="30"/>
  <c r="C210" i="30"/>
  <c r="F210" i="30"/>
  <c r="H210" i="30"/>
  <c r="I210" i="30"/>
  <c r="A211" i="30"/>
  <c r="B211" i="30"/>
  <c r="C211" i="30"/>
  <c r="D211" i="30"/>
  <c r="F211" i="30"/>
  <c r="H211" i="30"/>
  <c r="I211" i="30"/>
  <c r="A212" i="30"/>
  <c r="B212" i="30"/>
  <c r="C212" i="30"/>
  <c r="F212" i="30"/>
  <c r="H212" i="30"/>
  <c r="I212" i="30"/>
  <c r="A213" i="30"/>
  <c r="B213" i="30"/>
  <c r="C213" i="30"/>
  <c r="D213" i="30"/>
  <c r="F213" i="30"/>
  <c r="H213" i="30"/>
  <c r="I213" i="30"/>
  <c r="A214" i="30"/>
  <c r="B214" i="30"/>
  <c r="C214" i="30"/>
  <c r="E214" i="30" s="1"/>
  <c r="F214" i="30"/>
  <c r="H214" i="30"/>
  <c r="I214" i="30"/>
  <c r="A215" i="30"/>
  <c r="B215" i="30"/>
  <c r="C215" i="30"/>
  <c r="D215" i="30"/>
  <c r="F215" i="30"/>
  <c r="H215" i="30"/>
  <c r="I215" i="30"/>
  <c r="A216" i="30"/>
  <c r="B216" i="30"/>
  <c r="C216" i="30"/>
  <c r="F216" i="30"/>
  <c r="H216" i="30"/>
  <c r="I216" i="30"/>
  <c r="A217" i="30"/>
  <c r="B217" i="30"/>
  <c r="C217" i="30"/>
  <c r="D217" i="30"/>
  <c r="F217" i="30"/>
  <c r="H217" i="30"/>
  <c r="I217" i="30"/>
  <c r="A218" i="30"/>
  <c r="B218" i="30"/>
  <c r="D218" i="30" s="1"/>
  <c r="C218" i="30"/>
  <c r="F218" i="30"/>
  <c r="H218" i="30"/>
  <c r="I218" i="30"/>
  <c r="A219" i="30"/>
  <c r="B219" i="30"/>
  <c r="C219" i="30"/>
  <c r="D219" i="30"/>
  <c r="F219" i="30"/>
  <c r="H219" i="30"/>
  <c r="I219" i="30"/>
  <c r="A220" i="30"/>
  <c r="B220" i="30"/>
  <c r="C220" i="30"/>
  <c r="F220" i="30"/>
  <c r="H220" i="30"/>
  <c r="I220" i="30"/>
  <c r="A221" i="30"/>
  <c r="B221" i="30"/>
  <c r="C221" i="30"/>
  <c r="D221" i="30"/>
  <c r="F221" i="30"/>
  <c r="H221" i="30"/>
  <c r="I221" i="30"/>
  <c r="A222" i="30"/>
  <c r="B222" i="30"/>
  <c r="C222" i="30"/>
  <c r="E222" i="30"/>
  <c r="F222" i="30"/>
  <c r="H222" i="30"/>
  <c r="I222" i="30"/>
  <c r="A223" i="30"/>
  <c r="B223" i="30"/>
  <c r="D223" i="30" s="1"/>
  <c r="C223" i="30"/>
  <c r="F223" i="30"/>
  <c r="H223" i="30"/>
  <c r="I223" i="30"/>
  <c r="A224" i="30"/>
  <c r="B224" i="30"/>
  <c r="C224" i="30"/>
  <c r="F224" i="30"/>
  <c r="H224" i="30"/>
  <c r="I224" i="30"/>
  <c r="A225" i="30"/>
  <c r="B225" i="30"/>
  <c r="C225" i="30"/>
  <c r="D225" i="30" s="1"/>
  <c r="F225" i="30"/>
  <c r="H225" i="30"/>
  <c r="I225" i="30"/>
  <c r="A226" i="30"/>
  <c r="B226" i="30"/>
  <c r="C226" i="30"/>
  <c r="F226" i="30"/>
  <c r="H226" i="30"/>
  <c r="I226" i="30"/>
  <c r="A227" i="30"/>
  <c r="D227" i="30" s="1"/>
  <c r="B227" i="30"/>
  <c r="C227" i="30"/>
  <c r="F227" i="30"/>
  <c r="H227" i="30"/>
  <c r="I227" i="30"/>
  <c r="A228" i="30"/>
  <c r="B228" i="30"/>
  <c r="C228" i="30"/>
  <c r="F228" i="30"/>
  <c r="H228" i="30"/>
  <c r="I228" i="30"/>
  <c r="A229" i="30"/>
  <c r="B229" i="30"/>
  <c r="C229" i="30"/>
  <c r="F229" i="30"/>
  <c r="H229" i="30"/>
  <c r="I229" i="30"/>
  <c r="A230" i="30"/>
  <c r="B230" i="30"/>
  <c r="C230" i="30"/>
  <c r="F230" i="30"/>
  <c r="H230" i="30"/>
  <c r="I230" i="30"/>
  <c r="A231" i="30"/>
  <c r="B231" i="30"/>
  <c r="C231" i="30"/>
  <c r="D231" i="30"/>
  <c r="F231" i="30"/>
  <c r="H231" i="30"/>
  <c r="I231" i="30"/>
  <c r="A232" i="30"/>
  <c r="B232" i="30"/>
  <c r="C232" i="30"/>
  <c r="F232" i="30"/>
  <c r="H232" i="30"/>
  <c r="I232" i="30"/>
  <c r="A233" i="30"/>
  <c r="B233" i="30"/>
  <c r="C233" i="30"/>
  <c r="D233" i="30"/>
  <c r="F233" i="30"/>
  <c r="H233" i="30"/>
  <c r="I233" i="30"/>
  <c r="A234" i="30"/>
  <c r="B234" i="30"/>
  <c r="C234" i="30"/>
  <c r="E234" i="30" s="1"/>
  <c r="F234" i="30"/>
  <c r="H234" i="30"/>
  <c r="I234" i="30"/>
  <c r="A235" i="30"/>
  <c r="B235" i="30"/>
  <c r="C235" i="30"/>
  <c r="D235" i="30"/>
  <c r="F235" i="30"/>
  <c r="H235" i="30"/>
  <c r="I235" i="30"/>
  <c r="A236" i="30"/>
  <c r="B236" i="30"/>
  <c r="D236" i="30" s="1"/>
  <c r="C236" i="30"/>
  <c r="E236" i="30" s="1"/>
  <c r="F236" i="30"/>
  <c r="H236" i="30"/>
  <c r="I236" i="30"/>
  <c r="A237" i="30"/>
  <c r="B237" i="30"/>
  <c r="C237" i="30"/>
  <c r="D237" i="30"/>
  <c r="F237" i="30"/>
  <c r="H237" i="30"/>
  <c r="I237" i="30"/>
  <c r="A238" i="30"/>
  <c r="D238" i="30" s="1"/>
  <c r="B238" i="30"/>
  <c r="C238" i="30"/>
  <c r="F238" i="30"/>
  <c r="H238" i="30"/>
  <c r="I238" i="30"/>
  <c r="A239" i="30"/>
  <c r="B239" i="30"/>
  <c r="C239" i="30"/>
  <c r="D239" i="30"/>
  <c r="F239" i="30"/>
  <c r="H239" i="30"/>
  <c r="I239" i="30"/>
  <c r="A240" i="30"/>
  <c r="B240" i="30"/>
  <c r="C240" i="30"/>
  <c r="F240" i="30"/>
  <c r="H240" i="30"/>
  <c r="I240" i="30"/>
  <c r="A241" i="30"/>
  <c r="D241" i="30" s="1"/>
  <c r="B241" i="30"/>
  <c r="C241" i="30"/>
  <c r="F241" i="30"/>
  <c r="H241" i="30"/>
  <c r="I241" i="30"/>
  <c r="A242" i="30"/>
  <c r="B242" i="30"/>
  <c r="C242" i="30"/>
  <c r="F242" i="30"/>
  <c r="H242" i="30"/>
  <c r="I242" i="30"/>
  <c r="A243" i="30"/>
  <c r="D243" i="30" s="1"/>
  <c r="B243" i="30"/>
  <c r="C243" i="30"/>
  <c r="F243" i="30"/>
  <c r="H243" i="30"/>
  <c r="I243" i="30"/>
  <c r="A244" i="30"/>
  <c r="B244" i="30"/>
  <c r="C244" i="30"/>
  <c r="F244" i="30"/>
  <c r="H244" i="30"/>
  <c r="I244" i="30"/>
  <c r="A245" i="30"/>
  <c r="D245" i="30" s="1"/>
  <c r="B245" i="30"/>
  <c r="C245" i="30"/>
  <c r="F245" i="30"/>
  <c r="H245" i="30"/>
  <c r="I245" i="30"/>
  <c r="A246" i="30"/>
  <c r="B246" i="30"/>
  <c r="C246" i="30"/>
  <c r="F246" i="30"/>
  <c r="H246" i="30"/>
  <c r="I246" i="30"/>
  <c r="A247" i="30"/>
  <c r="B247" i="30"/>
  <c r="C247" i="30"/>
  <c r="F247" i="30"/>
  <c r="H247" i="30"/>
  <c r="I247" i="30"/>
  <c r="A248" i="30"/>
  <c r="D248" i="30" s="1"/>
  <c r="B248" i="30"/>
  <c r="C248" i="30"/>
  <c r="F248" i="30"/>
  <c r="H248" i="30"/>
  <c r="I248" i="30"/>
  <c r="A249" i="30"/>
  <c r="B249" i="30"/>
  <c r="C249" i="30"/>
  <c r="D249" i="30"/>
  <c r="F249" i="30"/>
  <c r="H249" i="30"/>
  <c r="I249" i="30"/>
  <c r="A250" i="30"/>
  <c r="D250" i="30" s="1"/>
  <c r="B250" i="30"/>
  <c r="C250" i="30"/>
  <c r="F250" i="30"/>
  <c r="H250" i="30"/>
  <c r="I250" i="30"/>
  <c r="A251" i="30"/>
  <c r="B251" i="30"/>
  <c r="C251" i="30"/>
  <c r="D251" i="30"/>
  <c r="F251" i="30"/>
  <c r="H251" i="30"/>
  <c r="I251" i="30"/>
  <c r="A252" i="30"/>
  <c r="D252" i="30" s="1"/>
  <c r="B252" i="30"/>
  <c r="C252" i="30"/>
  <c r="F252" i="30"/>
  <c r="H252" i="30"/>
  <c r="I252" i="30"/>
  <c r="A253" i="30"/>
  <c r="B253" i="30"/>
  <c r="C253" i="30"/>
  <c r="D253" i="30"/>
  <c r="F253" i="30"/>
  <c r="H253" i="30"/>
  <c r="I253" i="30"/>
  <c r="A254" i="30"/>
  <c r="B254" i="30"/>
  <c r="C254" i="30"/>
  <c r="F254" i="30"/>
  <c r="H254" i="30"/>
  <c r="I254" i="30"/>
  <c r="A255" i="30"/>
  <c r="B255" i="30"/>
  <c r="C255" i="30"/>
  <c r="D255" i="30"/>
  <c r="F255" i="30"/>
  <c r="H255" i="30"/>
  <c r="I255" i="30"/>
  <c r="A256" i="30"/>
  <c r="D256" i="30" s="1"/>
  <c r="B256" i="30"/>
  <c r="C256" i="30"/>
  <c r="F256" i="30"/>
  <c r="H256" i="30"/>
  <c r="I256" i="30"/>
  <c r="A257" i="30"/>
  <c r="B257" i="30"/>
  <c r="C257" i="30"/>
  <c r="D257" i="30"/>
  <c r="F257" i="30"/>
  <c r="H257" i="30"/>
  <c r="I257" i="30"/>
  <c r="A258" i="30"/>
  <c r="B258" i="30"/>
  <c r="C258" i="30"/>
  <c r="F258" i="30"/>
  <c r="H258" i="30"/>
  <c r="I258" i="30"/>
  <c r="A259" i="30"/>
  <c r="D259" i="30" s="1"/>
  <c r="B259" i="30"/>
  <c r="C259" i="30"/>
  <c r="F259" i="30"/>
  <c r="H259" i="30"/>
  <c r="I259" i="30"/>
  <c r="A260" i="30"/>
  <c r="B260" i="30"/>
  <c r="C260" i="30"/>
  <c r="F260" i="30"/>
  <c r="H260" i="30"/>
  <c r="I260" i="30"/>
  <c r="A261" i="30"/>
  <c r="D261" i="30" s="1"/>
  <c r="B261" i="30"/>
  <c r="C261" i="30"/>
  <c r="F261" i="30"/>
  <c r="H261" i="30"/>
  <c r="I261" i="30"/>
  <c r="A262" i="30"/>
  <c r="B262" i="30"/>
  <c r="C262" i="30"/>
  <c r="F262" i="30"/>
  <c r="H262" i="30"/>
  <c r="I262" i="30"/>
  <c r="A263" i="30"/>
  <c r="D263" i="30" s="1"/>
  <c r="B263" i="30"/>
  <c r="C263" i="30"/>
  <c r="F263" i="30"/>
  <c r="H263" i="30"/>
  <c r="I263" i="30"/>
  <c r="A264" i="30"/>
  <c r="B264" i="30"/>
  <c r="C264" i="30"/>
  <c r="F264" i="30"/>
  <c r="H264" i="30"/>
  <c r="I264" i="30"/>
  <c r="A265" i="30"/>
  <c r="B265" i="30"/>
  <c r="C265" i="30"/>
  <c r="F265" i="30"/>
  <c r="H265" i="30"/>
  <c r="I265" i="30"/>
  <c r="A266" i="30"/>
  <c r="D266" i="30" s="1"/>
  <c r="B266" i="30"/>
  <c r="C266" i="30"/>
  <c r="F266" i="30"/>
  <c r="H266" i="30"/>
  <c r="I266" i="30"/>
  <c r="A267" i="30"/>
  <c r="B267" i="30"/>
  <c r="C267" i="30"/>
  <c r="E267" i="30" s="1"/>
  <c r="D267" i="30"/>
  <c r="F267" i="30"/>
  <c r="H267" i="30"/>
  <c r="I267" i="30"/>
  <c r="A268" i="30"/>
  <c r="D268" i="30" s="1"/>
  <c r="B268" i="30"/>
  <c r="C268" i="30"/>
  <c r="F268" i="30"/>
  <c r="H268" i="30"/>
  <c r="I268" i="30"/>
  <c r="A269" i="30"/>
  <c r="B269" i="30"/>
  <c r="C269" i="30"/>
  <c r="D269" i="30"/>
  <c r="F269" i="30"/>
  <c r="H269" i="30"/>
  <c r="I269" i="30"/>
  <c r="A270" i="30"/>
  <c r="D270" i="30" s="1"/>
  <c r="B270" i="30"/>
  <c r="C270" i="30"/>
  <c r="E270" i="30" s="1"/>
  <c r="F270" i="30"/>
  <c r="H270" i="30"/>
  <c r="I270" i="30"/>
  <c r="A271" i="30"/>
  <c r="B271" i="30"/>
  <c r="C271" i="30"/>
  <c r="D271" i="30"/>
  <c r="F271" i="30"/>
  <c r="H271" i="30"/>
  <c r="I271" i="30"/>
  <c r="A272" i="30"/>
  <c r="B272" i="30"/>
  <c r="C272" i="30"/>
  <c r="F272" i="30"/>
  <c r="H272" i="30"/>
  <c r="I272" i="30"/>
  <c r="A273" i="30"/>
  <c r="B273" i="30"/>
  <c r="C273" i="30"/>
  <c r="D273" i="30"/>
  <c r="F273" i="30"/>
  <c r="H273" i="30"/>
  <c r="I273" i="30"/>
  <c r="A274" i="30"/>
  <c r="B274" i="30"/>
  <c r="C274" i="30"/>
  <c r="F274" i="30"/>
  <c r="H274" i="30"/>
  <c r="I274" i="30"/>
  <c r="A275" i="30"/>
  <c r="B275" i="30"/>
  <c r="C275" i="30"/>
  <c r="D275" i="30"/>
  <c r="F275" i="30"/>
  <c r="H275" i="30"/>
  <c r="I275" i="30"/>
  <c r="A276" i="30"/>
  <c r="B276" i="30"/>
  <c r="C276" i="30"/>
  <c r="E276" i="30" s="1"/>
  <c r="F276" i="30"/>
  <c r="H276" i="30"/>
  <c r="I276" i="30"/>
  <c r="A277" i="30"/>
  <c r="D277" i="30" s="1"/>
  <c r="B277" i="30"/>
  <c r="C277" i="30"/>
  <c r="F277" i="30"/>
  <c r="H277" i="30"/>
  <c r="I277" i="30"/>
  <c r="A278" i="30"/>
  <c r="B278" i="30"/>
  <c r="C278" i="30"/>
  <c r="F278" i="30"/>
  <c r="H278" i="30"/>
  <c r="I278" i="30"/>
  <c r="A279" i="30"/>
  <c r="D279" i="30" s="1"/>
  <c r="B279" i="30"/>
  <c r="C279" i="30"/>
  <c r="F279" i="30"/>
  <c r="H279" i="30"/>
  <c r="I279" i="30"/>
  <c r="A280" i="30"/>
  <c r="B280" i="30"/>
  <c r="C280" i="30"/>
  <c r="F280" i="30"/>
  <c r="H280" i="30"/>
  <c r="I280" i="30"/>
  <c r="A281" i="30"/>
  <c r="D281" i="30" s="1"/>
  <c r="B281" i="30"/>
  <c r="C281" i="30"/>
  <c r="F281" i="30"/>
  <c r="H281" i="30"/>
  <c r="I281" i="30"/>
  <c r="A282" i="30"/>
  <c r="B282" i="30"/>
  <c r="C282" i="30"/>
  <c r="F282" i="30"/>
  <c r="H282" i="30"/>
  <c r="I282" i="30"/>
  <c r="A283" i="30"/>
  <c r="B283" i="30"/>
  <c r="C283" i="30"/>
  <c r="F283" i="30"/>
  <c r="H283" i="30"/>
  <c r="I283" i="30"/>
  <c r="A284" i="30"/>
  <c r="D284" i="30" s="1"/>
  <c r="B284" i="30"/>
  <c r="C284" i="30"/>
  <c r="F284" i="30"/>
  <c r="H284" i="30"/>
  <c r="I284" i="30"/>
  <c r="A285" i="30"/>
  <c r="B285" i="30"/>
  <c r="C285" i="30"/>
  <c r="D285" i="30"/>
  <c r="F285" i="30"/>
  <c r="H285" i="30"/>
  <c r="I285" i="30"/>
  <c r="A286" i="30"/>
  <c r="D286" i="30" s="1"/>
  <c r="B286" i="30"/>
  <c r="C286" i="30"/>
  <c r="F286" i="30"/>
  <c r="H286" i="30"/>
  <c r="I286" i="30"/>
  <c r="A287" i="30"/>
  <c r="B287" i="30"/>
  <c r="C287" i="30"/>
  <c r="D287" i="30"/>
  <c r="F287" i="30"/>
  <c r="H287" i="30"/>
  <c r="I287" i="30"/>
  <c r="A288" i="30"/>
  <c r="D288" i="30" s="1"/>
  <c r="B288" i="30"/>
  <c r="C288" i="30"/>
  <c r="F288" i="30"/>
  <c r="H288" i="30"/>
  <c r="I288" i="30"/>
  <c r="A289" i="30"/>
  <c r="B289" i="30"/>
  <c r="C289" i="30"/>
  <c r="D289" i="30"/>
  <c r="F289" i="30"/>
  <c r="H289" i="30"/>
  <c r="I289" i="30"/>
  <c r="A290" i="30"/>
  <c r="B290" i="30"/>
  <c r="C290" i="30"/>
  <c r="E290" i="30" s="1"/>
  <c r="F290" i="30"/>
  <c r="H290" i="30"/>
  <c r="I290" i="30"/>
  <c r="A291" i="30"/>
  <c r="B291" i="30"/>
  <c r="C291" i="30"/>
  <c r="D291" i="30"/>
  <c r="F291" i="30"/>
  <c r="H291" i="30"/>
  <c r="I291" i="30"/>
  <c r="A292" i="30"/>
  <c r="B292" i="30"/>
  <c r="C292" i="30"/>
  <c r="F292" i="30"/>
  <c r="H292" i="30"/>
  <c r="I292" i="30"/>
  <c r="A293" i="30"/>
  <c r="B293" i="30"/>
  <c r="C293" i="30"/>
  <c r="D293" i="30"/>
  <c r="F293" i="30"/>
  <c r="H293" i="30"/>
  <c r="I293" i="30"/>
  <c r="A294" i="30"/>
  <c r="B294" i="30"/>
  <c r="C294" i="30"/>
  <c r="F294" i="30"/>
  <c r="H294" i="30"/>
  <c r="I294" i="30"/>
  <c r="A295" i="30"/>
  <c r="B295" i="30"/>
  <c r="D295" i="30" s="1"/>
  <c r="C295" i="30"/>
  <c r="F295" i="30"/>
  <c r="H295" i="30"/>
  <c r="I295" i="30"/>
  <c r="A296" i="30"/>
  <c r="B296" i="30"/>
  <c r="C296" i="30"/>
  <c r="D296" i="30"/>
  <c r="F296" i="30"/>
  <c r="H296" i="30"/>
  <c r="I296" i="30"/>
  <c r="A297" i="30"/>
  <c r="B297" i="30"/>
  <c r="D297" i="30" s="1"/>
  <c r="C297" i="30"/>
  <c r="F297" i="30"/>
  <c r="H297" i="30"/>
  <c r="I297" i="30"/>
  <c r="A298" i="30"/>
  <c r="B298" i="30"/>
  <c r="C298" i="30"/>
  <c r="D298" i="30"/>
  <c r="F298" i="30"/>
  <c r="H298" i="30"/>
  <c r="I298" i="30"/>
  <c r="A299" i="30"/>
  <c r="B299" i="30"/>
  <c r="D299" i="30" s="1"/>
  <c r="C299" i="30"/>
  <c r="F299" i="30"/>
  <c r="H299" i="30"/>
  <c r="I299" i="30"/>
  <c r="A300" i="30"/>
  <c r="B300" i="30"/>
  <c r="C300" i="30"/>
  <c r="D300" i="30"/>
  <c r="F300" i="30"/>
  <c r="H300" i="30"/>
  <c r="I300" i="30"/>
  <c r="A301" i="30"/>
  <c r="B301" i="30"/>
  <c r="D301" i="30" s="1"/>
  <c r="C301" i="30"/>
  <c r="F301" i="30"/>
  <c r="H301" i="30"/>
  <c r="I301" i="30"/>
  <c r="A302" i="30"/>
  <c r="B302" i="30"/>
  <c r="C302" i="30"/>
  <c r="F302" i="30"/>
  <c r="H302" i="30"/>
  <c r="I302" i="30"/>
  <c r="A303" i="30"/>
  <c r="B303" i="30"/>
  <c r="D303" i="30" s="1"/>
  <c r="C303" i="30"/>
  <c r="F303" i="30"/>
  <c r="H303" i="30"/>
  <c r="I303" i="30"/>
  <c r="A304" i="30"/>
  <c r="B304" i="30"/>
  <c r="C304" i="30"/>
  <c r="E304" i="30" s="1"/>
  <c r="F304" i="30"/>
  <c r="H304" i="30"/>
  <c r="I304" i="30"/>
  <c r="A305" i="30"/>
  <c r="B305" i="30"/>
  <c r="D305" i="30" s="1"/>
  <c r="C305" i="30"/>
  <c r="F305" i="30"/>
  <c r="H305" i="30"/>
  <c r="I305" i="30"/>
  <c r="A306" i="30"/>
  <c r="B306" i="30"/>
  <c r="C306" i="30"/>
  <c r="F306" i="30"/>
  <c r="H306" i="30"/>
  <c r="I306" i="30"/>
  <c r="A307" i="30"/>
  <c r="B307" i="30"/>
  <c r="D307" i="30" s="1"/>
  <c r="C307" i="30"/>
  <c r="F307" i="30"/>
  <c r="H307" i="30"/>
  <c r="I307" i="30"/>
  <c r="A308" i="30"/>
  <c r="B308" i="30"/>
  <c r="C308" i="30"/>
  <c r="D308" i="30" s="1"/>
  <c r="F308" i="30"/>
  <c r="H308" i="30"/>
  <c r="I308" i="30"/>
  <c r="A309" i="30"/>
  <c r="B309" i="30"/>
  <c r="D309" i="30" s="1"/>
  <c r="C309" i="30"/>
  <c r="F309" i="30"/>
  <c r="H309" i="30"/>
  <c r="I309" i="30"/>
  <c r="A310" i="30"/>
  <c r="B310" i="30"/>
  <c r="C310" i="30"/>
  <c r="D310" i="30"/>
  <c r="F310" i="30"/>
  <c r="H310" i="30"/>
  <c r="I310" i="30"/>
  <c r="A311" i="30"/>
  <c r="B311" i="30"/>
  <c r="D311" i="30" s="1"/>
  <c r="C311" i="30"/>
  <c r="F311" i="30"/>
  <c r="H311" i="30"/>
  <c r="I311" i="30"/>
  <c r="A312" i="30"/>
  <c r="B312" i="30"/>
  <c r="C312" i="30"/>
  <c r="E312" i="30" s="1"/>
  <c r="D312" i="30"/>
  <c r="F312" i="30"/>
  <c r="H312" i="30"/>
  <c r="I312" i="30"/>
  <c r="A313" i="30"/>
  <c r="B313" i="30"/>
  <c r="D313" i="30" s="1"/>
  <c r="C313" i="30"/>
  <c r="F313" i="30"/>
  <c r="H313" i="30"/>
  <c r="I313" i="30"/>
  <c r="A314" i="30"/>
  <c r="B314" i="30"/>
  <c r="C314" i="30"/>
  <c r="D314" i="30"/>
  <c r="F314" i="30"/>
  <c r="H314" i="30"/>
  <c r="I314" i="30"/>
  <c r="A315" i="30"/>
  <c r="B315" i="30"/>
  <c r="D315" i="30" s="1"/>
  <c r="C315" i="30"/>
  <c r="F315" i="30"/>
  <c r="H315" i="30"/>
  <c r="I315" i="30"/>
  <c r="A316" i="30"/>
  <c r="B316" i="30"/>
  <c r="C316" i="30"/>
  <c r="D316" i="30"/>
  <c r="F316" i="30"/>
  <c r="H316" i="30"/>
  <c r="I316" i="30"/>
  <c r="A317" i="30"/>
  <c r="B317" i="30"/>
  <c r="D317" i="30" s="1"/>
  <c r="C317" i="30"/>
  <c r="F317" i="30"/>
  <c r="H317" i="30"/>
  <c r="I317" i="30"/>
  <c r="A318" i="30"/>
  <c r="B318" i="30"/>
  <c r="C318" i="30"/>
  <c r="D318" i="30"/>
  <c r="F318" i="30"/>
  <c r="H318" i="30"/>
  <c r="I318" i="30"/>
  <c r="A319" i="30"/>
  <c r="B319" i="30"/>
  <c r="D319" i="30" s="1"/>
  <c r="C319" i="30"/>
  <c r="F319" i="30"/>
  <c r="H319" i="30"/>
  <c r="I319" i="30"/>
  <c r="A320" i="30"/>
  <c r="B320" i="30"/>
  <c r="C320" i="30"/>
  <c r="D320" i="30"/>
  <c r="F320" i="30"/>
  <c r="H320" i="30"/>
  <c r="I320" i="30"/>
  <c r="A321" i="30"/>
  <c r="B321" i="30"/>
  <c r="D321" i="30" s="1"/>
  <c r="C321" i="30"/>
  <c r="F321" i="30"/>
  <c r="H321" i="30"/>
  <c r="I321" i="30"/>
  <c r="A322" i="30"/>
  <c r="B322" i="30"/>
  <c r="C322" i="30"/>
  <c r="D322" i="30"/>
  <c r="F322" i="30"/>
  <c r="H322" i="30"/>
  <c r="I322" i="30"/>
  <c r="A323" i="30"/>
  <c r="B323" i="30"/>
  <c r="D323" i="30" s="1"/>
  <c r="C323" i="30"/>
  <c r="F323" i="30"/>
  <c r="H323" i="30"/>
  <c r="I323" i="30"/>
  <c r="A324" i="30"/>
  <c r="B324" i="30"/>
  <c r="C324" i="30"/>
  <c r="D324" i="30"/>
  <c r="F324" i="30"/>
  <c r="H324" i="30"/>
  <c r="I324" i="30"/>
  <c r="T24" i="30"/>
  <c r="T25" i="30"/>
  <c r="T31" i="30"/>
  <c r="T32" i="30"/>
  <c r="T34" i="30"/>
  <c r="T35" i="30"/>
  <c r="T38" i="30"/>
  <c r="T29" i="30"/>
  <c r="T30" i="30"/>
  <c r="T36" i="30"/>
  <c r="I8" i="30"/>
  <c r="I7" i="30"/>
  <c r="T7" i="30" s="1"/>
  <c r="I9" i="30"/>
  <c r="E306" i="30" l="1"/>
  <c r="E302" i="30"/>
  <c r="E196" i="30"/>
  <c r="G285" i="30"/>
  <c r="E288" i="30"/>
  <c r="G288" i="30" s="1"/>
  <c r="E218" i="30"/>
  <c r="G218" i="30" s="1"/>
  <c r="E310" i="30"/>
  <c r="G302" i="30"/>
  <c r="D274" i="30"/>
  <c r="E240" i="30"/>
  <c r="E232" i="30"/>
  <c r="E324" i="30"/>
  <c r="E204" i="30"/>
  <c r="E296" i="30"/>
  <c r="E285" i="30"/>
  <c r="E254" i="30"/>
  <c r="G254" i="30" s="1"/>
  <c r="E137" i="30"/>
  <c r="E249" i="30"/>
  <c r="E318" i="30"/>
  <c r="G318" i="30" s="1"/>
  <c r="D304" i="30"/>
  <c r="E268" i="30"/>
  <c r="D229" i="30"/>
  <c r="E298" i="30"/>
  <c r="G298" i="30" s="1"/>
  <c r="D184" i="30"/>
  <c r="E320" i="30"/>
  <c r="D306" i="30"/>
  <c r="E231" i="30"/>
  <c r="G231" i="30" s="1"/>
  <c r="G276" i="30"/>
  <c r="D265" i="30"/>
  <c r="D67" i="30"/>
  <c r="D292" i="30"/>
  <c r="E258" i="30"/>
  <c r="G258" i="30" s="1"/>
  <c r="E172" i="30"/>
  <c r="G172" i="30" s="1"/>
  <c r="D102" i="30"/>
  <c r="E272" i="30"/>
  <c r="E322" i="30"/>
  <c r="G322" i="30" s="1"/>
  <c r="E286" i="30"/>
  <c r="G286" i="30" s="1"/>
  <c r="G272" i="30"/>
  <c r="E216" i="30"/>
  <c r="G216" i="30" s="1"/>
  <c r="D220" i="30"/>
  <c r="E314" i="30"/>
  <c r="E250" i="30"/>
  <c r="G250" i="30" s="1"/>
  <c r="E308" i="30"/>
  <c r="E294" i="30"/>
  <c r="G294" i="30" s="1"/>
  <c r="D247" i="30"/>
  <c r="E138" i="30"/>
  <c r="E121" i="30"/>
  <c r="D121" i="30"/>
  <c r="E29" i="30"/>
  <c r="G29" i="30" s="1"/>
  <c r="E56" i="30"/>
  <c r="E76" i="30"/>
  <c r="E206" i="30"/>
  <c r="E242" i="30"/>
  <c r="G242" i="30" s="1"/>
  <c r="E278" i="30"/>
  <c r="E144" i="30"/>
  <c r="E164" i="30"/>
  <c r="E188" i="30"/>
  <c r="E224" i="30"/>
  <c r="E260" i="30"/>
  <c r="E104" i="30"/>
  <c r="E36" i="30"/>
  <c r="E300" i="30"/>
  <c r="G300" i="30" s="1"/>
  <c r="D172" i="30"/>
  <c r="E252" i="30"/>
  <c r="G252" i="30" s="1"/>
  <c r="D202" i="30"/>
  <c r="E316" i="30"/>
  <c r="G316" i="30" s="1"/>
  <c r="D302" i="30"/>
  <c r="D283" i="30"/>
  <c r="E292" i="30"/>
  <c r="G292" i="30" s="1"/>
  <c r="E274" i="30"/>
  <c r="G274" i="30" s="1"/>
  <c r="E256" i="30"/>
  <c r="G256" i="30" s="1"/>
  <c r="E238" i="30"/>
  <c r="E220" i="30"/>
  <c r="E202" i="30"/>
  <c r="E184" i="30"/>
  <c r="G184" i="30" s="1"/>
  <c r="D160" i="30"/>
  <c r="E107" i="30"/>
  <c r="G107" i="30" s="1"/>
  <c r="D87" i="30"/>
  <c r="D52" i="30"/>
  <c r="D290" i="30"/>
  <c r="E283" i="30"/>
  <c r="G283" i="30" s="1"/>
  <c r="D272" i="30"/>
  <c r="E265" i="30"/>
  <c r="G265" i="30" s="1"/>
  <c r="D254" i="30"/>
  <c r="E247" i="30"/>
  <c r="E229" i="30"/>
  <c r="G229" i="30" s="1"/>
  <c r="E211" i="30"/>
  <c r="E193" i="30"/>
  <c r="E142" i="30"/>
  <c r="E127" i="30"/>
  <c r="E122" i="30"/>
  <c r="D117" i="30"/>
  <c r="E94" i="30"/>
  <c r="E87" i="30"/>
  <c r="E34" i="30"/>
  <c r="G34" i="30" s="1"/>
  <c r="E19" i="30"/>
  <c r="E14" i="30"/>
  <c r="G14" i="30" s="1"/>
  <c r="D91" i="30"/>
  <c r="D86" i="30"/>
  <c r="E73" i="30"/>
  <c r="D43" i="30"/>
  <c r="E40" i="30"/>
  <c r="E28" i="30"/>
  <c r="E18" i="30"/>
  <c r="E109" i="30"/>
  <c r="E64" i="30"/>
  <c r="G64" i="30" s="1"/>
  <c r="E179" i="30"/>
  <c r="E134" i="30"/>
  <c r="E84" i="30"/>
  <c r="E119" i="30"/>
  <c r="G119" i="30" s="1"/>
  <c r="D99" i="30"/>
  <c r="D69" i="30"/>
  <c r="E244" i="30"/>
  <c r="G244" i="30" s="1"/>
  <c r="E217" i="30"/>
  <c r="E51" i="30"/>
  <c r="E282" i="30"/>
  <c r="E176" i="30"/>
  <c r="E183" i="30"/>
  <c r="E136" i="30"/>
  <c r="E321" i="30"/>
  <c r="E313" i="30"/>
  <c r="E307" i="30"/>
  <c r="E301" i="30"/>
  <c r="G301" i="30" s="1"/>
  <c r="E297" i="30"/>
  <c r="E284" i="30"/>
  <c r="E266" i="30"/>
  <c r="G266" i="30" s="1"/>
  <c r="E248" i="30"/>
  <c r="E230" i="30"/>
  <c r="D228" i="30"/>
  <c r="E13" i="30"/>
  <c r="E275" i="30"/>
  <c r="D246" i="30"/>
  <c r="E239" i="30"/>
  <c r="E185" i="30"/>
  <c r="E178" i="30"/>
  <c r="D171" i="30"/>
  <c r="E153" i="30"/>
  <c r="G153" i="30" s="1"/>
  <c r="D141" i="30"/>
  <c r="E118" i="30"/>
  <c r="G118" i="30" s="1"/>
  <c r="D98" i="30"/>
  <c r="E88" i="30"/>
  <c r="E83" i="30"/>
  <c r="D63" i="30"/>
  <c r="E45" i="30"/>
  <c r="G45" i="30" s="1"/>
  <c r="D33" i="30"/>
  <c r="E212" i="30"/>
  <c r="D210" i="30"/>
  <c r="E194" i="30"/>
  <c r="D192" i="30"/>
  <c r="E156" i="30"/>
  <c r="E128" i="30"/>
  <c r="E108" i="30"/>
  <c r="D101" i="30"/>
  <c r="E98" i="30"/>
  <c r="E48" i="30"/>
  <c r="G28" i="30"/>
  <c r="E20" i="30"/>
  <c r="D282" i="30"/>
  <c r="D264" i="30"/>
  <c r="E257" i="30"/>
  <c r="E221" i="30"/>
  <c r="E203" i="30"/>
  <c r="D230" i="30"/>
  <c r="D212" i="30"/>
  <c r="D194" i="30"/>
  <c r="E143" i="30"/>
  <c r="D118" i="30"/>
  <c r="D108" i="30"/>
  <c r="D88" i="30"/>
  <c r="E35" i="30"/>
  <c r="E157" i="30"/>
  <c r="E287" i="30"/>
  <c r="E233" i="30"/>
  <c r="D154" i="30"/>
  <c r="D124" i="30"/>
  <c r="E166" i="30"/>
  <c r="D81" i="30"/>
  <c r="E58" i="30"/>
  <c r="E264" i="30"/>
  <c r="E246" i="30"/>
  <c r="G246" i="30" s="1"/>
  <c r="E228" i="30"/>
  <c r="D190" i="30"/>
  <c r="D262" i="30"/>
  <c r="E255" i="30"/>
  <c r="E201" i="30"/>
  <c r="E148" i="30"/>
  <c r="E323" i="30"/>
  <c r="E315" i="30"/>
  <c r="E309" i="30"/>
  <c r="E295" i="30"/>
  <c r="E277" i="30"/>
  <c r="E205" i="30"/>
  <c r="E187" i="30"/>
  <c r="E173" i="30"/>
  <c r="E163" i="30"/>
  <c r="E158" i="30"/>
  <c r="G158" i="30" s="1"/>
  <c r="D153" i="30"/>
  <c r="E130" i="30"/>
  <c r="E123" i="30"/>
  <c r="E70" i="30"/>
  <c r="E55" i="30"/>
  <c r="E50" i="30"/>
  <c r="D45" i="30"/>
  <c r="E22" i="30"/>
  <c r="G22" i="30" s="1"/>
  <c r="E15" i="30"/>
  <c r="E213" i="30"/>
  <c r="E195" i="30"/>
  <c r="E162" i="30"/>
  <c r="D79" i="30"/>
  <c r="D258" i="30"/>
  <c r="D206" i="30"/>
  <c r="D188" i="30"/>
  <c r="D179" i="30"/>
  <c r="E106" i="30"/>
  <c r="E210" i="30"/>
  <c r="E146" i="30"/>
  <c r="E291" i="30"/>
  <c r="D244" i="30"/>
  <c r="E237" i="30"/>
  <c r="E219" i="30"/>
  <c r="E126" i="30"/>
  <c r="E317" i="30"/>
  <c r="E311" i="30"/>
  <c r="E305" i="30"/>
  <c r="G305" i="30" s="1"/>
  <c r="E259" i="30"/>
  <c r="E241" i="30"/>
  <c r="E223" i="30"/>
  <c r="G223" i="30" s="1"/>
  <c r="D232" i="30"/>
  <c r="D214" i="30"/>
  <c r="E110" i="30"/>
  <c r="E65" i="30"/>
  <c r="G74" i="30" s="1"/>
  <c r="D137" i="30"/>
  <c r="D276" i="30"/>
  <c r="E174" i="30"/>
  <c r="E124" i="30"/>
  <c r="E81" i="30"/>
  <c r="E262" i="30"/>
  <c r="D224" i="30"/>
  <c r="D260" i="30"/>
  <c r="E253" i="30"/>
  <c r="G253" i="30" s="1"/>
  <c r="D242" i="30"/>
  <c r="E235" i="30"/>
  <c r="E159" i="30"/>
  <c r="E91" i="30"/>
  <c r="E11" i="30"/>
  <c r="E44" i="30"/>
  <c r="G44" i="30" s="1"/>
  <c r="E80" i="30"/>
  <c r="E116" i="30"/>
  <c r="E152" i="30"/>
  <c r="G152" i="30" s="1"/>
  <c r="E42" i="30"/>
  <c r="E78" i="30"/>
  <c r="E114" i="30"/>
  <c r="E150" i="30"/>
  <c r="E24" i="30"/>
  <c r="E60" i="30"/>
  <c r="E96" i="30"/>
  <c r="E132" i="30"/>
  <c r="G132" i="30" s="1"/>
  <c r="E168" i="30"/>
  <c r="D226" i="30"/>
  <c r="E192" i="30"/>
  <c r="E293" i="30"/>
  <c r="E273" i="30"/>
  <c r="G273" i="30" s="1"/>
  <c r="D151" i="30"/>
  <c r="E303" i="30"/>
  <c r="E261" i="30"/>
  <c r="G261" i="30" s="1"/>
  <c r="E243" i="30"/>
  <c r="G243" i="30" s="1"/>
  <c r="E225" i="30"/>
  <c r="G225" i="30" s="1"/>
  <c r="E207" i="30"/>
  <c r="E189" i="30"/>
  <c r="D173" i="30"/>
  <c r="D158" i="30"/>
  <c r="E145" i="30"/>
  <c r="E140" i="30"/>
  <c r="G140" i="30" s="1"/>
  <c r="D115" i="30"/>
  <c r="E112" i="30"/>
  <c r="E100" i="30"/>
  <c r="G100" i="30" s="1"/>
  <c r="E90" i="30"/>
  <c r="E85" i="30"/>
  <c r="G85" i="30" s="1"/>
  <c r="G65" i="30"/>
  <c r="D50" i="30"/>
  <c r="E37" i="30"/>
  <c r="E32" i="30"/>
  <c r="G32" i="30" s="1"/>
  <c r="D122" i="30"/>
  <c r="E54" i="30"/>
  <c r="D134" i="30"/>
  <c r="E280" i="30"/>
  <c r="E208" i="30"/>
  <c r="E190" i="30"/>
  <c r="E71" i="30"/>
  <c r="E66" i="30"/>
  <c r="G66" i="30" s="1"/>
  <c r="E289" i="30"/>
  <c r="G289" i="30" s="1"/>
  <c r="D278" i="30"/>
  <c r="E271" i="30"/>
  <c r="E199" i="30"/>
  <c r="E86" i="30"/>
  <c r="D208" i="30"/>
  <c r="E38" i="30"/>
  <c r="E319" i="30"/>
  <c r="E299" i="30"/>
  <c r="E279" i="30"/>
  <c r="G279" i="30" s="1"/>
  <c r="D234" i="30"/>
  <c r="D216" i="30"/>
  <c r="D198" i="30"/>
  <c r="E182" i="30"/>
  <c r="G182" i="30" s="1"/>
  <c r="D180" i="30"/>
  <c r="D175" i="30"/>
  <c r="E170" i="30"/>
  <c r="D155" i="30"/>
  <c r="E120" i="30"/>
  <c r="G120" i="30" s="1"/>
  <c r="E92" i="30"/>
  <c r="E72" i="30"/>
  <c r="D65" i="30"/>
  <c r="E62" i="30"/>
  <c r="D47" i="30"/>
  <c r="E49" i="30"/>
  <c r="G49" i="30" s="1"/>
  <c r="D29" i="30"/>
  <c r="D294" i="30"/>
  <c r="D240" i="30"/>
  <c r="D222" i="30"/>
  <c r="D204" i="30"/>
  <c r="D186" i="30"/>
  <c r="E269" i="30"/>
  <c r="E251" i="30"/>
  <c r="G251" i="30" s="1"/>
  <c r="E215" i="30"/>
  <c r="E197" i="30"/>
  <c r="E154" i="30"/>
  <c r="E46" i="30"/>
  <c r="D26" i="30"/>
  <c r="E226" i="30"/>
  <c r="D144" i="30"/>
  <c r="D46" i="30"/>
  <c r="D36" i="30"/>
  <c r="D16" i="30"/>
  <c r="E181" i="30"/>
  <c r="E101" i="30"/>
  <c r="G101" i="30" s="1"/>
  <c r="D71" i="30"/>
  <c r="D280" i="30"/>
  <c r="E281" i="30"/>
  <c r="G281" i="30" s="1"/>
  <c r="E263" i="30"/>
  <c r="G263" i="30" s="1"/>
  <c r="E245" i="30"/>
  <c r="E227" i="30"/>
  <c r="E209" i="30"/>
  <c r="E191" i="30"/>
  <c r="E175" i="30"/>
  <c r="G175" i="30" s="1"/>
  <c r="D170" i="30"/>
  <c r="E160" i="30"/>
  <c r="G160" i="30" s="1"/>
  <c r="E155" i="30"/>
  <c r="G155" i="30" s="1"/>
  <c r="E117" i="30"/>
  <c r="G117" i="30" s="1"/>
  <c r="D105" i="30"/>
  <c r="E82" i="30"/>
  <c r="G82" i="30" s="1"/>
  <c r="D62" i="30"/>
  <c r="E52" i="30"/>
  <c r="E47" i="30"/>
  <c r="G47" i="30" s="1"/>
  <c r="D27" i="30"/>
  <c r="E147" i="30"/>
  <c r="E111" i="30"/>
  <c r="E75" i="30"/>
  <c r="G75" i="30" s="1"/>
  <c r="E39" i="30"/>
  <c r="E149" i="30"/>
  <c r="G149" i="30" s="1"/>
  <c r="E113" i="30"/>
  <c r="E77" i="30"/>
  <c r="G77" i="30" s="1"/>
  <c r="E41" i="30"/>
  <c r="G41" i="30" s="1"/>
  <c r="E151" i="30"/>
  <c r="E115" i="30"/>
  <c r="G115" i="30" s="1"/>
  <c r="E79" i="30"/>
  <c r="G79" i="30" s="1"/>
  <c r="E43" i="30"/>
  <c r="E161" i="30"/>
  <c r="G161" i="30" s="1"/>
  <c r="E125" i="30"/>
  <c r="E89" i="30"/>
  <c r="E53" i="30"/>
  <c r="E17" i="30"/>
  <c r="G17" i="30" s="1"/>
  <c r="E165" i="30"/>
  <c r="E129" i="30"/>
  <c r="E93" i="30"/>
  <c r="E57" i="30"/>
  <c r="E21" i="30"/>
  <c r="E167" i="30"/>
  <c r="G137" i="30"/>
  <c r="E131" i="30"/>
  <c r="E95" i="30"/>
  <c r="E59" i="30"/>
  <c r="G59" i="30" s="1"/>
  <c r="E23" i="30"/>
  <c r="E169" i="30"/>
  <c r="E133" i="30"/>
  <c r="E97" i="30"/>
  <c r="E61" i="30"/>
  <c r="E25" i="30"/>
  <c r="G25" i="30" s="1"/>
  <c r="E171" i="30"/>
  <c r="E135" i="30"/>
  <c r="G135" i="30" s="1"/>
  <c r="E99" i="30"/>
  <c r="G99" i="30" s="1"/>
  <c r="E63" i="30"/>
  <c r="E27" i="30"/>
  <c r="G27" i="30" s="1"/>
  <c r="E139" i="30"/>
  <c r="G139" i="30" s="1"/>
  <c r="E103" i="30"/>
  <c r="G103" i="30" s="1"/>
  <c r="E67" i="30"/>
  <c r="G105" i="30" s="1"/>
  <c r="E31" i="30"/>
  <c r="G31" i="30" s="1"/>
  <c r="E177" i="30"/>
  <c r="G177" i="30" s="1"/>
  <c r="E141" i="30"/>
  <c r="E105" i="30"/>
  <c r="E69" i="30"/>
  <c r="G69" i="30" s="1"/>
  <c r="E33" i="30"/>
  <c r="G33" i="30" s="1"/>
  <c r="T26" i="30"/>
  <c r="T21" i="30"/>
  <c r="T37" i="30"/>
  <c r="T33" i="30"/>
  <c r="T27" i="30"/>
  <c r="H8" i="30"/>
  <c r="F8" i="30"/>
  <c r="C8" i="30"/>
  <c r="E8" i="30" s="1"/>
  <c r="B8" i="30"/>
  <c r="A8" i="30"/>
  <c r="D8" i="30" s="1"/>
  <c r="O8" i="30"/>
  <c r="C7" i="30"/>
  <c r="B7" i="30"/>
  <c r="A7" i="30"/>
  <c r="O7" i="30" s="1"/>
  <c r="F7" i="30"/>
  <c r="E7" i="30"/>
  <c r="G7" i="30" s="1"/>
  <c r="G181" i="30" l="1"/>
  <c r="G90" i="30"/>
  <c r="G26" i="30"/>
  <c r="G317" i="30"/>
  <c r="G121" i="30"/>
  <c r="G21" i="30"/>
  <c r="G277" i="30"/>
  <c r="G109" i="30"/>
  <c r="G295" i="30"/>
  <c r="G113" i="30"/>
  <c r="G165" i="30"/>
  <c r="G207" i="30"/>
  <c r="G78" i="30"/>
  <c r="G83" i="30"/>
  <c r="G221" i="30"/>
  <c r="G275" i="30"/>
  <c r="G217" i="30"/>
  <c r="G73" i="30"/>
  <c r="G193" i="30"/>
  <c r="G180" i="30"/>
  <c r="G278" i="30"/>
  <c r="G284" i="30"/>
  <c r="G297" i="30"/>
  <c r="G37" i="30"/>
  <c r="G42" i="30"/>
  <c r="G123" i="30"/>
  <c r="G131" i="30"/>
  <c r="G13" i="30"/>
  <c r="G86" i="30"/>
  <c r="G220" i="30"/>
  <c r="G67" i="30"/>
  <c r="G87" i="30"/>
  <c r="G199" i="30"/>
  <c r="G50" i="30"/>
  <c r="G157" i="30"/>
  <c r="G130" i="30"/>
  <c r="G35" i="30"/>
  <c r="G206" i="30"/>
  <c r="G89" i="30"/>
  <c r="G116" i="30"/>
  <c r="G241" i="30"/>
  <c r="G68" i="30"/>
  <c r="G230" i="30"/>
  <c r="G76" i="30"/>
  <c r="G268" i="30"/>
  <c r="G88" i="30"/>
  <c r="G167" i="30"/>
  <c r="G162" i="30"/>
  <c r="G58" i="30"/>
  <c r="G269" i="30"/>
  <c r="G290" i="30"/>
  <c r="G257" i="30"/>
  <c r="G211" i="30"/>
  <c r="G202" i="30"/>
  <c r="G240" i="30"/>
  <c r="G53" i="30"/>
  <c r="G232" i="30"/>
  <c r="G271" i="30"/>
  <c r="G303" i="30"/>
  <c r="G80" i="30"/>
  <c r="G259" i="30"/>
  <c r="G228" i="30"/>
  <c r="G20" i="30"/>
  <c r="G248" i="30"/>
  <c r="G56" i="30"/>
  <c r="G304" i="30"/>
  <c r="G95" i="30"/>
  <c r="G170" i="30"/>
  <c r="G293" i="30"/>
  <c r="G98" i="30"/>
  <c r="G125" i="30"/>
  <c r="G195" i="30"/>
  <c r="G187" i="30"/>
  <c r="G81" i="30"/>
  <c r="G141" i="30"/>
  <c r="G179" i="30"/>
  <c r="G238" i="30"/>
  <c r="G320" i="30"/>
  <c r="G151" i="30"/>
  <c r="G12" i="30"/>
  <c r="G208" i="30"/>
  <c r="G112" i="30"/>
  <c r="G192" i="30"/>
  <c r="G235" i="30"/>
  <c r="G219" i="30"/>
  <c r="G213" i="30"/>
  <c r="G205" i="30"/>
  <c r="G143" i="30"/>
  <c r="G108" i="30"/>
  <c r="G307" i="30"/>
  <c r="G214" i="30"/>
  <c r="G267" i="30"/>
  <c r="G270" i="30"/>
  <c r="G310" i="30"/>
  <c r="G264" i="30"/>
  <c r="G84" i="30"/>
  <c r="G16" i="30"/>
  <c r="G91" i="30"/>
  <c r="G324" i="30"/>
  <c r="G23" i="30"/>
  <c r="G280" i="30"/>
  <c r="G200" i="30"/>
  <c r="G128" i="30"/>
  <c r="G296" i="30"/>
  <c r="G204" i="30"/>
  <c r="G57" i="30"/>
  <c r="G321" i="30"/>
  <c r="G11" i="30"/>
  <c r="G247" i="30"/>
  <c r="G312" i="30"/>
  <c r="G226" i="30"/>
  <c r="G54" i="30"/>
  <c r="G124" i="30"/>
  <c r="G18" i="30"/>
  <c r="G96" i="30"/>
  <c r="G227" i="30"/>
  <c r="G146" i="30"/>
  <c r="G315" i="30"/>
  <c r="G176" i="30"/>
  <c r="G183" i="30"/>
  <c r="G308" i="30"/>
  <c r="G260" i="30"/>
  <c r="G61" i="30"/>
  <c r="G93" i="30"/>
  <c r="G39" i="30"/>
  <c r="G191" i="30"/>
  <c r="G299" i="30"/>
  <c r="G60" i="30"/>
  <c r="G262" i="30"/>
  <c r="G174" i="30"/>
  <c r="G323" i="30"/>
  <c r="G194" i="30"/>
  <c r="G178" i="30"/>
  <c r="G127" i="30"/>
  <c r="G224" i="30"/>
  <c r="G196" i="30"/>
  <c r="G311" i="30"/>
  <c r="G48" i="30"/>
  <c r="G186" i="30"/>
  <c r="G173" i="30"/>
  <c r="G97" i="30"/>
  <c r="G314" i="30"/>
  <c r="G126" i="30"/>
  <c r="G24" i="30"/>
  <c r="G313" i="30"/>
  <c r="G168" i="30"/>
  <c r="G104" i="30"/>
  <c r="G291" i="30"/>
  <c r="G62" i="30"/>
  <c r="G209" i="30"/>
  <c r="G154" i="30"/>
  <c r="G72" i="30"/>
  <c r="G319" i="30"/>
  <c r="G236" i="30"/>
  <c r="G210" i="30"/>
  <c r="G55" i="30"/>
  <c r="G148" i="30"/>
  <c r="G233" i="30"/>
  <c r="G185" i="30"/>
  <c r="G40" i="30"/>
  <c r="G188" i="30"/>
  <c r="G222" i="30"/>
  <c r="G43" i="30"/>
  <c r="G163" i="30"/>
  <c r="G19" i="30"/>
  <c r="G142" i="30"/>
  <c r="G71" i="30"/>
  <c r="G134" i="30"/>
  <c r="G190" i="30"/>
  <c r="G237" i="30"/>
  <c r="G15" i="30"/>
  <c r="G136" i="30"/>
  <c r="G249" i="30"/>
  <c r="G309" i="30"/>
  <c r="G122" i="30"/>
  <c r="G111" i="30"/>
  <c r="G197" i="30"/>
  <c r="G38" i="30"/>
  <c r="G245" i="30"/>
  <c r="G70" i="30"/>
  <c r="G201" i="30"/>
  <c r="G287" i="30"/>
  <c r="G212" i="30"/>
  <c r="G239" i="30"/>
  <c r="G282" i="30"/>
  <c r="G234" i="30"/>
  <c r="G164" i="30"/>
  <c r="G198" i="30"/>
  <c r="G102" i="30"/>
  <c r="G110" i="30"/>
  <c r="G159" i="30"/>
  <c r="G46" i="30"/>
  <c r="G166" i="30"/>
  <c r="G94" i="30"/>
  <c r="G138" i="30"/>
  <c r="G156" i="30"/>
  <c r="G52" i="30"/>
  <c r="G36" i="30"/>
  <c r="G171" i="30"/>
  <c r="G63" i="30"/>
  <c r="G145" i="30"/>
  <c r="G133" i="30"/>
  <c r="G150" i="30"/>
  <c r="G106" i="30"/>
  <c r="G169" i="30"/>
  <c r="G129" i="30"/>
  <c r="G147" i="30"/>
  <c r="G215" i="30"/>
  <c r="G92" i="30"/>
  <c r="G30" i="30"/>
  <c r="G189" i="30"/>
  <c r="G114" i="30"/>
  <c r="G255" i="30"/>
  <c r="G203" i="30"/>
  <c r="G51" i="30"/>
  <c r="G144" i="30"/>
  <c r="G306" i="30"/>
  <c r="D7" i="30"/>
  <c r="G8" i="30"/>
  <c r="T8" i="30"/>
  <c r="Y324" i="30"/>
  <c r="Y323" i="30"/>
  <c r="Y321" i="30"/>
  <c r="Y320" i="30"/>
  <c r="Y319" i="30"/>
  <c r="Y317" i="30"/>
  <c r="Y316" i="30"/>
  <c r="Y315" i="30"/>
  <c r="Y313" i="30"/>
  <c r="Y312" i="30"/>
  <c r="Y311" i="30"/>
  <c r="Y310" i="30" s="1"/>
  <c r="Y309" i="30"/>
  <c r="Y308" i="30"/>
  <c r="Y307" i="30"/>
  <c r="Y305" i="30"/>
  <c r="Y304" i="30"/>
  <c r="Y303" i="30"/>
  <c r="Y299" i="30"/>
  <c r="Y298" i="30"/>
  <c r="Y296" i="30"/>
  <c r="Y295" i="30"/>
  <c r="Y293" i="30"/>
  <c r="Y292" i="30"/>
  <c r="Y291" i="30"/>
  <c r="Y289" i="30"/>
  <c r="Y288" i="30"/>
  <c r="Y287" i="30"/>
  <c r="Y284" i="30"/>
  <c r="Y283" i="30"/>
  <c r="Y282" i="30"/>
  <c r="Y281" i="30"/>
  <c r="Y280" i="30"/>
  <c r="Y278" i="30"/>
  <c r="Y277" i="30"/>
  <c r="Y276" i="30"/>
  <c r="Y275" i="30"/>
  <c r="Y274" i="30"/>
  <c r="Y271" i="30"/>
  <c r="Y270" i="30"/>
  <c r="Y269" i="30"/>
  <c r="Y268" i="30"/>
  <c r="Y267" i="30"/>
  <c r="Y266" i="30"/>
  <c r="Y265" i="30"/>
  <c r="Y263" i="30"/>
  <c r="Y262" i="30"/>
  <c r="Y261" i="30"/>
  <c r="Y259" i="30"/>
  <c r="Y258" i="30"/>
  <c r="Y257" i="30"/>
  <c r="Y255" i="30"/>
  <c r="Y253" i="30" s="1"/>
  <c r="Y254" i="30"/>
  <c r="Y252" i="30"/>
  <c r="Y251" i="30" s="1"/>
  <c r="Y249" i="30"/>
  <c r="Y248" i="30"/>
  <c r="Y247" i="30"/>
  <c r="Y246" i="30"/>
  <c r="Y245" i="30"/>
  <c r="Y244" i="30"/>
  <c r="Y243" i="30"/>
  <c r="Y241" i="30"/>
  <c r="Y240" i="30"/>
  <c r="Y239" i="30"/>
  <c r="Y238" i="30"/>
  <c r="Y236" i="30"/>
  <c r="Y235" i="30"/>
  <c r="Y234" i="30"/>
  <c r="Y233" i="30"/>
  <c r="Y231" i="30"/>
  <c r="Y230" i="30"/>
  <c r="Y229" i="30"/>
  <c r="Y228" i="30"/>
  <c r="Y226" i="30"/>
  <c r="Y225" i="30"/>
  <c r="Y222" i="30"/>
  <c r="Y221" i="30"/>
  <c r="Y220" i="30"/>
  <c r="Y219" i="30"/>
  <c r="Y218" i="30"/>
  <c r="Y217" i="30"/>
  <c r="Y216" i="30"/>
  <c r="Y215" i="30"/>
  <c r="Y214" i="30"/>
  <c r="Y213" i="30"/>
  <c r="Y212" i="30"/>
  <c r="Y211" i="30"/>
  <c r="Y210" i="30"/>
  <c r="Y209" i="30"/>
  <c r="Y208" i="30"/>
  <c r="Y207" i="30"/>
  <c r="Y206" i="30"/>
  <c r="Y205" i="30"/>
  <c r="Y204" i="30"/>
  <c r="Y202" i="30"/>
  <c r="Y201" i="30"/>
  <c r="Y200" i="30"/>
  <c r="Y199" i="30"/>
  <c r="Y198" i="30"/>
  <c r="Y197" i="30"/>
  <c r="Y195" i="30"/>
  <c r="Y194" i="30"/>
  <c r="Y193" i="30"/>
  <c r="Y192" i="30"/>
  <c r="Y190" i="30"/>
  <c r="Y189" i="30"/>
  <c r="Y188" i="30"/>
  <c r="Y187" i="30"/>
  <c r="Y186" i="30"/>
  <c r="Y185" i="30"/>
  <c r="Y183" i="30"/>
  <c r="Y182" i="30"/>
  <c r="Y181" i="30"/>
  <c r="Y180" i="30"/>
  <c r="Y179" i="30"/>
  <c r="Y177" i="30"/>
  <c r="Y176" i="30"/>
  <c r="Y175" i="30"/>
  <c r="Y174" i="30"/>
  <c r="Y173" i="30"/>
  <c r="Y171" i="30"/>
  <c r="Y170" i="30"/>
  <c r="Y169" i="30"/>
  <c r="Y168" i="30"/>
  <c r="Y167" i="30"/>
  <c r="Y166" i="30"/>
  <c r="Y165" i="30"/>
  <c r="Y164" i="30"/>
  <c r="Y162" i="30"/>
  <c r="Y161" i="30"/>
  <c r="Y160" i="30"/>
  <c r="Y159" i="30"/>
  <c r="Y158" i="30"/>
  <c r="Y157" i="30"/>
  <c r="Y155" i="30"/>
  <c r="Y154" i="30"/>
  <c r="Y153" i="30"/>
  <c r="Y152" i="30"/>
  <c r="Y151" i="30"/>
  <c r="Y150" i="30"/>
  <c r="Y148" i="30"/>
  <c r="Y147" i="30"/>
  <c r="Y146" i="30"/>
  <c r="Y145" i="30"/>
  <c r="Y143" i="30"/>
  <c r="Y142" i="30"/>
  <c r="Y141" i="30"/>
  <c r="Y140" i="30"/>
  <c r="Y139" i="30"/>
  <c r="Y138" i="30"/>
  <c r="Y137" i="30"/>
  <c r="Y135" i="30"/>
  <c r="Y134" i="30"/>
  <c r="Y133" i="30"/>
  <c r="Y132" i="30"/>
  <c r="Y131" i="30"/>
  <c r="Y130" i="30"/>
  <c r="Y129" i="30"/>
  <c r="Y128" i="30"/>
  <c r="Y126" i="30"/>
  <c r="Y125" i="30"/>
  <c r="Y124" i="30"/>
  <c r="Y123" i="30"/>
  <c r="Y122" i="30"/>
  <c r="Y121" i="30"/>
  <c r="Y120" i="30"/>
  <c r="Y117" i="30"/>
  <c r="Y116" i="30"/>
  <c r="Y115" i="30"/>
  <c r="Y114" i="30"/>
  <c r="Y112" i="30"/>
  <c r="Y111" i="30"/>
  <c r="Y110" i="30"/>
  <c r="Y109" i="30"/>
  <c r="Y107" i="30"/>
  <c r="Y106" i="30"/>
  <c r="Y105" i="30"/>
  <c r="Y104" i="30"/>
  <c r="Y102" i="30"/>
  <c r="Y101" i="30"/>
  <c r="Y100" i="30"/>
  <c r="Y99" i="30"/>
  <c r="Y97" i="30"/>
  <c r="Y96" i="30"/>
  <c r="Y95" i="30"/>
  <c r="Y94" i="30"/>
  <c r="Y93" i="30"/>
  <c r="Y92" i="30"/>
  <c r="Y90" i="30"/>
  <c r="Y89" i="30"/>
  <c r="Y88" i="30"/>
  <c r="Y87" i="30"/>
  <c r="Y86" i="30"/>
  <c r="Y85" i="30"/>
  <c r="Y84" i="30"/>
  <c r="Y82" i="30"/>
  <c r="Y81" i="30"/>
  <c r="Y80" i="30"/>
  <c r="Y79" i="30"/>
  <c r="Y78" i="30"/>
  <c r="Y76" i="30"/>
  <c r="Y75" i="30"/>
  <c r="Y74" i="30"/>
  <c r="Y72" i="30"/>
  <c r="Y71" i="30"/>
  <c r="Y70" i="30"/>
  <c r="Y69" i="30"/>
  <c r="Y68" i="30"/>
  <c r="Y67" i="30"/>
  <c r="Y64" i="30"/>
  <c r="Y63" i="30"/>
  <c r="Y62" i="30"/>
  <c r="Y61" i="30"/>
  <c r="Y60" i="30"/>
  <c r="Y59" i="30"/>
  <c r="Y58" i="30"/>
  <c r="Y56" i="30"/>
  <c r="Y55" i="30"/>
  <c r="Y54" i="30"/>
  <c r="Y49" i="30"/>
  <c r="Y50" i="30"/>
  <c r="Y51" i="30"/>
  <c r="Y52" i="30"/>
  <c r="Y48" i="30"/>
  <c r="Y41" i="30"/>
  <c r="Y42" i="30"/>
  <c r="Y43" i="30"/>
  <c r="Y44" i="30"/>
  <c r="Y45" i="30"/>
  <c r="Y46" i="30"/>
  <c r="Y40" i="30"/>
  <c r="Y12" i="30"/>
  <c r="Y13" i="30"/>
  <c r="Y14" i="30"/>
  <c r="Y15" i="30"/>
  <c r="Y16" i="30"/>
  <c r="Y17" i="30"/>
  <c r="Y18" i="30"/>
  <c r="Y19" i="30"/>
  <c r="Y20" i="30"/>
  <c r="Y11" i="30"/>
  <c r="Y302" i="30" l="1"/>
  <c r="Y290" i="30"/>
  <c r="Y260" i="30"/>
  <c r="Y227" i="30"/>
  <c r="Y103" i="30"/>
  <c r="Y314" i="30"/>
  <c r="Y73" i="30"/>
  <c r="Y224" i="30"/>
  <c r="Y172" i="30"/>
  <c r="Y178" i="30"/>
  <c r="Y98" i="30"/>
  <c r="Y297" i="30"/>
  <c r="Y66" i="30"/>
  <c r="Y184" i="30"/>
  <c r="Y149" i="30"/>
  <c r="Y91" i="30"/>
  <c r="Y286" i="30"/>
  <c r="Y318" i="30"/>
  <c r="Y83" i="30"/>
  <c r="Y294" i="30"/>
  <c r="Y47" i="30"/>
  <c r="Y232" i="30"/>
  <c r="Y306" i="30"/>
  <c r="Y136" i="30"/>
  <c r="Y264" i="30"/>
  <c r="Y163" i="30"/>
  <c r="Y273" i="30"/>
  <c r="Y322" i="30"/>
  <c r="Y77" i="30"/>
  <c r="Y119" i="30"/>
  <c r="Y237" i="30"/>
  <c r="Y57" i="30"/>
  <c r="Y196" i="30"/>
  <c r="Y108" i="30"/>
  <c r="Y10" i="30"/>
  <c r="Y39" i="30"/>
  <c r="Y113" i="30"/>
  <c r="Y191" i="30"/>
  <c r="Y53" i="30"/>
  <c r="Y144" i="30"/>
  <c r="Y156" i="30"/>
  <c r="Y279" i="30"/>
  <c r="Y203" i="30"/>
  <c r="Y242" i="30"/>
  <c r="Y256" i="30"/>
  <c r="Y127" i="30"/>
  <c r="O300" i="30"/>
  <c r="T300" i="30"/>
  <c r="Y285" i="30" l="1"/>
  <c r="Y272" i="30"/>
  <c r="Y301" i="30"/>
  <c r="Y300" i="30" s="1"/>
  <c r="Y223" i="30"/>
  <c r="Y118" i="30"/>
  <c r="Y250" i="30"/>
  <c r="Y9" i="30"/>
  <c r="Y65" i="30"/>
  <c r="C9" i="30"/>
  <c r="O21" i="30" l="1"/>
  <c r="O24" i="30"/>
  <c r="O33" i="30"/>
  <c r="O23" i="30"/>
  <c r="O35" i="30"/>
  <c r="O36" i="30"/>
  <c r="O26" i="30"/>
  <c r="O28" i="30"/>
  <c r="O25" i="30"/>
  <c r="O27" i="30"/>
  <c r="O29" i="30"/>
  <c r="O30" i="30"/>
  <c r="O31" i="30"/>
  <c r="O32" i="30"/>
  <c r="O34" i="30"/>
  <c r="O37" i="30"/>
  <c r="O38" i="30"/>
  <c r="O22" i="30"/>
  <c r="Y8" i="30"/>
  <c r="E9" i="30"/>
  <c r="H7" i="30" l="1"/>
  <c r="A9" i="30"/>
  <c r="B9" i="30"/>
  <c r="F9" i="30"/>
  <c r="H9" i="30"/>
  <c r="O10" i="30" l="1"/>
  <c r="D9" i="30"/>
  <c r="O39" i="30"/>
  <c r="G9" i="30"/>
  <c r="O9" i="30"/>
  <c r="O47" i="30"/>
  <c r="O53" i="30"/>
  <c r="O57" i="30"/>
  <c r="O65" i="30"/>
  <c r="O66" i="30"/>
  <c r="O73" i="30"/>
  <c r="O77" i="30"/>
  <c r="O83" i="30"/>
  <c r="O91" i="30"/>
  <c r="O98" i="30"/>
  <c r="O103" i="30"/>
  <c r="O108" i="30"/>
  <c r="O113" i="30"/>
  <c r="O118" i="30"/>
  <c r="O119" i="30"/>
  <c r="O127" i="30"/>
  <c r="O136" i="30"/>
  <c r="O144" i="30"/>
  <c r="O149" i="30"/>
  <c r="O156" i="30"/>
  <c r="O163" i="30"/>
  <c r="O172" i="30"/>
  <c r="O178" i="30"/>
  <c r="O184" i="30"/>
  <c r="O191" i="30"/>
  <c r="O196" i="30"/>
  <c r="O203" i="30"/>
  <c r="O223" i="30"/>
  <c r="O224" i="30"/>
  <c r="O227" i="30"/>
  <c r="O230" i="30"/>
  <c r="O232" i="30"/>
  <c r="O237" i="30"/>
  <c r="O242" i="30"/>
  <c r="O250" i="30"/>
  <c r="O251" i="30"/>
  <c r="O253" i="30"/>
  <c r="O256" i="30"/>
  <c r="O260" i="30"/>
  <c r="O264" i="30"/>
  <c r="O272" i="30"/>
  <c r="O273" i="30"/>
  <c r="O279" i="30"/>
  <c r="O285" i="30"/>
  <c r="O286" i="30"/>
  <c r="O290" i="30"/>
  <c r="O294" i="30"/>
  <c r="O297" i="30"/>
  <c r="O301" i="30"/>
  <c r="O302" i="30"/>
  <c r="O306" i="30"/>
  <c r="O310" i="30"/>
  <c r="O314" i="30"/>
  <c r="O318" i="30"/>
  <c r="O322" i="30"/>
  <c r="O304" i="30" l="1"/>
  <c r="O312" i="30"/>
  <c r="O308" i="30"/>
  <c r="O321" i="30"/>
  <c r="O303" i="30"/>
  <c r="O313" i="30"/>
  <c r="O323" i="30"/>
  <c r="O311" i="30"/>
  <c r="O307" i="30"/>
  <c r="O316" i="30"/>
  <c r="O319" i="30"/>
  <c r="O15" i="30"/>
  <c r="O84" i="30"/>
  <c r="O48" i="30"/>
  <c r="O125" i="30"/>
  <c r="O64" i="30"/>
  <c r="O139" i="30"/>
  <c r="O221" i="30"/>
  <c r="O110" i="30"/>
  <c r="O60" i="30"/>
  <c r="O141" i="30"/>
  <c r="O152" i="30"/>
  <c r="O54" i="30"/>
  <c r="O72" i="30"/>
  <c r="O63" i="30"/>
  <c r="O283" i="30"/>
  <c r="O183" i="30"/>
  <c r="O168" i="30"/>
  <c r="O75" i="30"/>
  <c r="O68" i="30"/>
  <c r="O213" i="30"/>
  <c r="O188" i="30"/>
  <c r="O166" i="30"/>
  <c r="O80" i="30"/>
  <c r="O241" i="30"/>
  <c r="O151" i="30"/>
  <c r="O198" i="30"/>
  <c r="O277" i="30"/>
  <c r="O61" i="30"/>
  <c r="O41" i="30"/>
  <c r="O17" i="30"/>
  <c r="O11" i="30"/>
  <c r="O114" i="30"/>
  <c r="O180" i="30"/>
  <c r="O96" i="30"/>
  <c r="O43" i="30"/>
  <c r="O276" i="30"/>
  <c r="O193" i="30"/>
  <c r="O177" i="30"/>
  <c r="O67" i="30"/>
  <c r="O219" i="30"/>
  <c r="O70" i="30"/>
  <c r="O287" i="30"/>
  <c r="O20" i="30"/>
  <c r="O107" i="30"/>
  <c r="O13" i="30"/>
  <c r="O147" i="30"/>
  <c r="O259" i="30"/>
  <c r="O295" i="30"/>
  <c r="O233" i="30"/>
  <c r="O74" i="30"/>
  <c r="O263" i="30"/>
  <c r="O206" i="30"/>
  <c r="O40" i="30"/>
  <c r="O217" i="30"/>
  <c r="O18" i="30"/>
  <c r="O117" i="30"/>
  <c r="O218" i="30"/>
  <c r="O115" i="30"/>
  <c r="O174" i="30"/>
  <c r="O138" i="30"/>
  <c r="O270" i="30"/>
  <c r="O52" i="30"/>
  <c r="O249" i="30"/>
  <c r="O197" i="30"/>
  <c r="O175" i="30"/>
  <c r="O131" i="30"/>
  <c r="O121" i="30"/>
  <c r="O275" i="30"/>
  <c r="O116" i="30"/>
  <c r="O212" i="30"/>
  <c r="O158" i="30"/>
  <c r="O181" i="30"/>
  <c r="O185" i="30"/>
  <c r="O165" i="30"/>
  <c r="O225" i="30"/>
  <c r="O132" i="30"/>
  <c r="O85" i="30"/>
  <c r="O19" i="30"/>
  <c r="O58" i="30"/>
  <c r="O269" i="30"/>
  <c r="O239" i="30"/>
  <c r="O231" i="30"/>
  <c r="O133" i="30"/>
  <c r="O51" i="30"/>
  <c r="O240" i="30"/>
  <c r="O100" i="30"/>
  <c r="O214" i="30"/>
  <c r="O271" i="30"/>
  <c r="O42" i="30"/>
  <c r="O81" i="30"/>
  <c r="O92" i="30"/>
  <c r="O161" i="30"/>
  <c r="O252" i="30"/>
  <c r="O90" i="30"/>
  <c r="O266" i="30"/>
  <c r="O143" i="30"/>
  <c r="O101" i="30"/>
  <c r="O209" i="30"/>
  <c r="O95" i="30"/>
  <c r="O97" i="30"/>
  <c r="O126" i="30"/>
  <c r="O105" i="30"/>
  <c r="O199" i="30"/>
  <c r="O167" i="30"/>
  <c r="O261" i="30"/>
  <c r="O267" i="30"/>
  <c r="O128" i="30"/>
  <c r="O189" i="30"/>
  <c r="O137" i="30"/>
  <c r="O298" i="30"/>
  <c r="O104" i="30"/>
  <c r="O50" i="30"/>
  <c r="O111" i="30"/>
  <c r="O176" i="30"/>
  <c r="O112" i="30"/>
  <c r="O257" i="30"/>
  <c r="O14" i="30"/>
  <c r="O82" i="30"/>
  <c r="O71" i="30"/>
  <c r="O93" i="30"/>
  <c r="O192" i="30"/>
  <c r="O122" i="30"/>
  <c r="O56" i="30"/>
  <c r="O164" i="30"/>
  <c r="O99" i="30"/>
  <c r="O79" i="30"/>
  <c r="O210" i="30"/>
  <c r="O154" i="30"/>
  <c r="O146" i="30"/>
  <c r="O208" i="30"/>
  <c r="O235" i="30"/>
  <c r="O88" i="30"/>
  <c r="O265" i="30"/>
  <c r="O187" i="30"/>
  <c r="O254" i="30"/>
  <c r="O200" i="30"/>
  <c r="O291" i="30"/>
  <c r="O216" i="30"/>
  <c r="O44" i="30"/>
  <c r="O55" i="30"/>
  <c r="O140" i="30"/>
  <c r="O274" i="30"/>
  <c r="O296" i="30"/>
  <c r="O159" i="30"/>
  <c r="O222" i="30"/>
  <c r="O78" i="30"/>
  <c r="O190" i="30"/>
  <c r="O202" i="30"/>
  <c r="O258" i="30"/>
  <c r="O228" i="30"/>
  <c r="O281" i="30"/>
  <c r="O238" i="30"/>
  <c r="O317" i="30"/>
  <c r="O45" i="30"/>
  <c r="O145" i="30"/>
  <c r="O248" i="30"/>
  <c r="O171" i="30"/>
  <c r="O12" i="30"/>
  <c r="O94" i="30"/>
  <c r="O262" i="30"/>
  <c r="O106" i="30"/>
  <c r="O194" i="30"/>
  <c r="O120" i="30"/>
  <c r="O135" i="30"/>
  <c r="O220" i="30"/>
  <c r="O201" i="30"/>
  <c r="O179" i="30"/>
  <c r="O278" i="30"/>
  <c r="O142" i="30"/>
  <c r="O205" i="30"/>
  <c r="O195" i="30"/>
  <c r="O245" i="30"/>
  <c r="O211" i="30"/>
  <c r="O129" i="30"/>
  <c r="O215" i="30"/>
  <c r="O207" i="30"/>
  <c r="O49" i="30"/>
  <c r="O157" i="30"/>
  <c r="O16" i="30"/>
  <c r="T288" i="30"/>
  <c r="T265" i="30"/>
  <c r="T284" i="30"/>
  <c r="T251" i="30"/>
  <c r="T312" i="30"/>
  <c r="T257" i="30"/>
  <c r="T292" i="30"/>
  <c r="T291" i="30"/>
  <c r="T273" i="30"/>
  <c r="T309" i="30"/>
  <c r="T290" i="30"/>
  <c r="T272" i="30"/>
  <c r="T270" i="30"/>
  <c r="T269" i="30"/>
  <c r="T319" i="30"/>
  <c r="T264" i="30"/>
  <c r="T286" i="30"/>
  <c r="T263" i="30"/>
  <c r="T277" i="30"/>
  <c r="T259" i="30"/>
  <c r="T293" i="30"/>
  <c r="T274" i="30"/>
  <c r="T256" i="30"/>
  <c r="T310" i="30"/>
  <c r="T255" i="30"/>
  <c r="T307" i="30"/>
  <c r="T318" i="30"/>
  <c r="T275" i="30"/>
  <c r="T266" i="30"/>
  <c r="T280" i="30"/>
  <c r="T303" i="30"/>
  <c r="T323" i="30"/>
  <c r="T306" i="30"/>
  <c r="T261" i="30"/>
  <c r="T321" i="30"/>
  <c r="T311" i="30"/>
  <c r="T314" i="30"/>
  <c r="T252" i="30"/>
  <c r="T317" i="30"/>
  <c r="T320" i="30"/>
  <c r="T302" i="30"/>
  <c r="T298" i="30"/>
  <c r="T262" i="30"/>
  <c r="T282" i="30"/>
  <c r="T295" i="30"/>
  <c r="T301" i="30"/>
  <c r="T279" i="30"/>
  <c r="T316" i="30"/>
  <c r="T324" i="30"/>
  <c r="T305" i="30"/>
  <c r="T287" i="30"/>
  <c r="T283" i="30"/>
  <c r="T281" i="30"/>
  <c r="T268" i="30"/>
  <c r="T254" i="30"/>
  <c r="T297" i="30"/>
  <c r="T299" i="30"/>
  <c r="T313" i="30"/>
  <c r="T294" i="30"/>
  <c r="T276" i="30"/>
  <c r="T258" i="30"/>
  <c r="T308" i="30"/>
  <c r="T289" i="30"/>
  <c r="T271" i="30"/>
  <c r="T253" i="30"/>
  <c r="T322" i="30"/>
  <c r="T304" i="30"/>
  <c r="T285" i="30"/>
  <c r="T267" i="30"/>
  <c r="T315" i="30"/>
  <c r="T296" i="30"/>
  <c r="T278" i="30"/>
  <c r="T260" i="30"/>
  <c r="O123" i="30" l="1"/>
  <c r="O305" i="30"/>
  <c r="O320" i="30"/>
  <c r="O309" i="30"/>
  <c r="O234" i="30"/>
  <c r="O69" i="30"/>
  <c r="O46" i="30"/>
  <c r="O246" i="30"/>
  <c r="O293" i="30"/>
  <c r="O87" i="30"/>
  <c r="O282" i="30"/>
  <c r="O284" i="30"/>
  <c r="O153" i="30"/>
  <c r="O86" i="30"/>
  <c r="O292" i="30"/>
  <c r="O124" i="30"/>
  <c r="O229" i="30"/>
  <c r="O226" i="30"/>
  <c r="O162" i="30"/>
  <c r="O76" i="30"/>
  <c r="O150" i="30"/>
  <c r="O62" i="30"/>
  <c r="O247" i="30"/>
  <c r="O244" i="30"/>
  <c r="O324" i="30"/>
  <c r="O170" i="30"/>
  <c r="O59" i="30"/>
  <c r="O186" i="30"/>
  <c r="O173" i="30"/>
  <c r="O109" i="30"/>
  <c r="O289" i="30"/>
  <c r="O299" i="30"/>
  <c r="O160" i="30"/>
  <c r="O204" i="30"/>
  <c r="O243" i="30"/>
  <c r="O280" i="30"/>
  <c r="O148" i="30"/>
  <c r="O155" i="30"/>
  <c r="O134" i="30"/>
  <c r="O236" i="30"/>
  <c r="O169" i="30"/>
  <c r="O102" i="30"/>
  <c r="O288" i="30"/>
  <c r="O255" i="30"/>
  <c r="O268" i="30"/>
  <c r="O130" i="30"/>
  <c r="O315" i="30"/>
  <c r="O89" i="30"/>
  <c r="O182" i="30"/>
  <c r="T79" i="30" l="1"/>
  <c r="T181" i="30"/>
  <c r="T182" i="30"/>
  <c r="T183" i="30"/>
  <c r="T186" i="30"/>
  <c r="T188" i="30"/>
  <c r="T189" i="30"/>
  <c r="T190" i="30"/>
  <c r="T193" i="30"/>
  <c r="T194" i="30"/>
  <c r="T196" i="30"/>
  <c r="T199" i="30"/>
  <c r="T200" i="30"/>
  <c r="T203" i="30"/>
  <c r="T204" i="30"/>
  <c r="T207" i="30"/>
  <c r="T208" i="30"/>
  <c r="T209" i="30"/>
  <c r="T210" i="30"/>
  <c r="T211" i="30"/>
  <c r="T213" i="30"/>
  <c r="T215" i="30"/>
  <c r="T217" i="30"/>
  <c r="T218" i="30"/>
  <c r="T219" i="30"/>
  <c r="T220" i="30"/>
  <c r="T221" i="30"/>
  <c r="T225" i="30"/>
  <c r="T226" i="30"/>
  <c r="T228" i="30"/>
  <c r="T229" i="30"/>
  <c r="T230" i="30"/>
  <c r="T232" i="30"/>
  <c r="T233" i="30"/>
  <c r="T234" i="30"/>
  <c r="T235" i="30"/>
  <c r="T236" i="30"/>
  <c r="T237" i="30"/>
  <c r="T238" i="30"/>
  <c r="T239" i="30"/>
  <c r="T240" i="30"/>
  <c r="T241" i="30"/>
  <c r="T242" i="30"/>
  <c r="T244" i="30"/>
  <c r="T245" i="30"/>
  <c r="T247" i="30"/>
  <c r="T248" i="30"/>
  <c r="T250" i="30"/>
  <c r="T76" i="30"/>
  <c r="T243" i="30"/>
  <c r="T78" i="30" l="1"/>
  <c r="T77" i="30"/>
  <c r="T249" i="30"/>
  <c r="T246" i="30"/>
  <c r="T231" i="30"/>
  <c r="T216" i="30"/>
  <c r="T214" i="30"/>
  <c r="T201" i="30"/>
  <c r="T198" i="30"/>
  <c r="T227" i="30"/>
  <c r="T191" i="30"/>
  <c r="T197" i="30"/>
  <c r="T224" i="30"/>
  <c r="T206" i="30"/>
  <c r="T223" i="30"/>
  <c r="T205" i="30"/>
  <c r="T187" i="30"/>
  <c r="T195" i="30"/>
  <c r="T192" i="30"/>
  <c r="T212" i="30"/>
  <c r="T222" i="30"/>
  <c r="T184" i="30"/>
  <c r="T202" i="30"/>
  <c r="T185" i="30"/>
  <c r="T168" i="30"/>
  <c r="T169" i="30"/>
  <c r="T171" i="30"/>
  <c r="T172" i="30"/>
  <c r="T174" i="30"/>
  <c r="T176" i="30"/>
  <c r="T179" i="30"/>
  <c r="T180" i="30"/>
  <c r="T160" i="30"/>
  <c r="T161" i="30"/>
  <c r="T162" i="30"/>
  <c r="T163" i="30"/>
  <c r="T164" i="30"/>
  <c r="T165" i="30"/>
  <c r="T166" i="30"/>
  <c r="T177" i="30" l="1"/>
  <c r="T175" i="30"/>
  <c r="T178" i="30"/>
  <c r="T173" i="30"/>
  <c r="T170" i="30"/>
  <c r="T167" i="30"/>
  <c r="Y7" i="30" l="1"/>
  <c r="T125" i="30" l="1"/>
  <c r="T129" i="30"/>
  <c r="T130" i="30"/>
  <c r="T132" i="30"/>
  <c r="T133" i="30"/>
  <c r="T134" i="30"/>
  <c r="T135" i="30"/>
  <c r="T136" i="30"/>
  <c r="T138" i="30"/>
  <c r="T139" i="30"/>
  <c r="T140" i="30"/>
  <c r="T141" i="30"/>
  <c r="T142" i="30"/>
  <c r="T143" i="30"/>
  <c r="T145" i="30"/>
  <c r="T146" i="30"/>
  <c r="T147" i="30"/>
  <c r="T148" i="30"/>
  <c r="T150" i="30"/>
  <c r="T151" i="30"/>
  <c r="T152" i="30"/>
  <c r="T153" i="30"/>
  <c r="T154" i="30"/>
  <c r="T156" i="30"/>
  <c r="T157" i="30"/>
  <c r="T158" i="30"/>
  <c r="T159" i="30"/>
  <c r="T123" i="30"/>
  <c r="T124" i="30"/>
  <c r="T127" i="30"/>
  <c r="T128" i="30"/>
  <c r="T131" i="30" l="1"/>
  <c r="T149" i="30"/>
  <c r="T144" i="30"/>
  <c r="T126" i="30"/>
  <c r="T155" i="30"/>
  <c r="T137" i="30"/>
  <c r="T104" i="30" l="1"/>
  <c r="T105" i="30"/>
  <c r="T106" i="30"/>
  <c r="T107" i="30"/>
  <c r="T108" i="30"/>
  <c r="T109" i="30"/>
  <c r="T110" i="30"/>
  <c r="T111" i="30"/>
  <c r="T112" i="30"/>
  <c r="T113" i="30"/>
  <c r="T114" i="30"/>
  <c r="T115" i="30"/>
  <c r="T116" i="30"/>
  <c r="T119" i="30"/>
  <c r="T120" i="30"/>
  <c r="T122" i="30"/>
  <c r="T117" i="30"/>
  <c r="T118" i="30"/>
  <c r="T121" i="30" l="1"/>
  <c r="T103" i="30"/>
  <c r="T90" i="30" l="1"/>
  <c r="T91" i="30"/>
  <c r="T92" i="30"/>
  <c r="T95" i="30"/>
  <c r="T96" i="30"/>
  <c r="T99" i="30"/>
  <c r="T102" i="30"/>
  <c r="T101" i="30" l="1"/>
  <c r="T97" i="30"/>
  <c r="T100" i="30"/>
  <c r="T98" i="30"/>
  <c r="T94" i="30"/>
  <c r="T93" i="30"/>
  <c r="T88" i="30" l="1"/>
  <c r="T85" i="30"/>
  <c r="T83" i="30"/>
  <c r="T82" i="30"/>
  <c r="T81" i="30"/>
  <c r="T80" i="30"/>
  <c r="T75" i="30"/>
  <c r="T74" i="30"/>
  <c r="T73" i="30"/>
  <c r="T71" i="30"/>
  <c r="T70" i="30"/>
  <c r="T68" i="30"/>
  <c r="T67" i="30"/>
  <c r="T65" i="30"/>
  <c r="T64" i="30"/>
  <c r="T63" i="30"/>
  <c r="T62" i="30"/>
  <c r="T61" i="30"/>
  <c r="T60" i="30"/>
  <c r="T59" i="30"/>
  <c r="T58" i="30"/>
  <c r="T57" i="30"/>
  <c r="T56" i="30"/>
  <c r="T54" i="30"/>
  <c r="T53" i="30"/>
  <c r="T51" i="30"/>
  <c r="T50" i="30"/>
  <c r="T49" i="30"/>
  <c r="T47" i="30"/>
  <c r="T45" i="30"/>
  <c r="T44" i="30"/>
  <c r="T43" i="30"/>
  <c r="T42" i="30"/>
  <c r="T41" i="30"/>
  <c r="T40" i="30"/>
  <c r="T20" i="30"/>
  <c r="T18" i="30"/>
  <c r="T17" i="30"/>
  <c r="T16" i="30"/>
  <c r="T15" i="30"/>
  <c r="T13" i="30"/>
  <c r="T12" i="30"/>
  <c r="T10" i="30"/>
  <c r="O2" i="30" l="1"/>
  <c r="T14" i="30"/>
  <c r="T48" i="30"/>
  <c r="T86" i="30"/>
  <c r="T52" i="30"/>
  <c r="T89" i="30"/>
  <c r="T55" i="30"/>
  <c r="T39" i="30"/>
  <c r="T66" i="30"/>
  <c r="T72" i="30"/>
  <c r="T11" i="30"/>
  <c r="T19" i="30"/>
  <c r="T46" i="30"/>
  <c r="T9" i="30"/>
  <c r="T69" i="30"/>
  <c r="T84" i="30"/>
  <c r="T87" i="30"/>
</calcChain>
</file>

<file path=xl/sharedStrings.xml><?xml version="1.0" encoding="utf-8"?>
<sst xmlns="http://schemas.openxmlformats.org/spreadsheetml/2006/main" count="9907" uniqueCount="2365">
  <si>
    <t>Payment Claims</t>
  </si>
  <si>
    <t>Pricing Table Template</t>
  </si>
  <si>
    <t>Revision:</t>
  </si>
  <si>
    <t>A</t>
  </si>
  <si>
    <t>ITEM</t>
  </si>
  <si>
    <t>Reference</t>
  </si>
  <si>
    <t>Quantity UOM</t>
  </si>
  <si>
    <t>Claimed to Date</t>
  </si>
  <si>
    <t>Certified to Date</t>
  </si>
  <si>
    <t>This Claim</t>
  </si>
  <si>
    <t>N1</t>
  </si>
  <si>
    <t>N2</t>
  </si>
  <si>
    <t>N3</t>
  </si>
  <si>
    <t>N32</t>
  </si>
  <si>
    <t>N4</t>
  </si>
  <si>
    <t>N5</t>
  </si>
  <si>
    <t>N6</t>
  </si>
  <si>
    <t>N7</t>
  </si>
  <si>
    <t>LEVEL</t>
  </si>
  <si>
    <t>L1</t>
  </si>
  <si>
    <t>L2</t>
  </si>
  <si>
    <t>L3</t>
  </si>
  <si>
    <t>L4</t>
  </si>
  <si>
    <t>L5</t>
  </si>
  <si>
    <t>Item No.</t>
  </si>
  <si>
    <t>Description</t>
  </si>
  <si>
    <t>UOM</t>
  </si>
  <si>
    <t>Pricing</t>
  </si>
  <si>
    <t>Qty</t>
  </si>
  <si>
    <t>Rate</t>
  </si>
  <si>
    <t>Amount (AUD)</t>
  </si>
  <si>
    <t>a</t>
  </si>
  <si>
    <t>Method of Measure</t>
  </si>
  <si>
    <t>Rule of Credit</t>
  </si>
  <si>
    <t>Amount</t>
  </si>
  <si>
    <t>Contract Sum</t>
  </si>
  <si>
    <t>SOW Ref#</t>
  </si>
  <si>
    <t>Contract Ref#</t>
  </si>
  <si>
    <t>Section A - Lump Sum</t>
  </si>
  <si>
    <t>INDIRECT COSTS</t>
  </si>
  <si>
    <t>Project Manager</t>
  </si>
  <si>
    <t>SOW 7.0</t>
  </si>
  <si>
    <t>Cl 22, 23</t>
  </si>
  <si>
    <t>Days</t>
  </si>
  <si>
    <t>LS</t>
  </si>
  <si>
    <t>Pro-rata monthly</t>
  </si>
  <si>
    <t>Site Manager / Superintendent</t>
  </si>
  <si>
    <t>Project Engineer</t>
  </si>
  <si>
    <t>Site Foreman / Supervisor</t>
  </si>
  <si>
    <t>WHS Advisor / Safety Officer</t>
  </si>
  <si>
    <t>Cl 12, 22, 23</t>
  </si>
  <si>
    <t>Quality Manager / Coordinator</t>
  </si>
  <si>
    <t>Cl 29, 22, 23</t>
  </si>
  <si>
    <t>Document Controller</t>
  </si>
  <si>
    <t>Cl 8, 22, 23</t>
  </si>
  <si>
    <t>Contract Administrator</t>
  </si>
  <si>
    <t>Cost Controller / Estimator</t>
  </si>
  <si>
    <t>Cl 37, 22, 23</t>
  </si>
  <si>
    <t>Scheduler / Planner</t>
  </si>
  <si>
    <t>Cl 32, 22, 23</t>
  </si>
  <si>
    <t>WHS Management System</t>
  </si>
  <si>
    <t>Cl 12.3, 12.5</t>
  </si>
  <si>
    <t>Lot</t>
  </si>
  <si>
    <t>Milestone + Pro-rata</t>
  </si>
  <si>
    <t>25% WHSMP accepted, 75% Monthly pro-rata</t>
  </si>
  <si>
    <t>Permits and Controls</t>
  </si>
  <si>
    <t>Cl 12.4</t>
  </si>
  <si>
    <t>Environmental Management</t>
  </si>
  <si>
    <t>Cl 12.3</t>
  </si>
  <si>
    <t>25% CEMP accepted, 75% Monthly pro-rata</t>
  </si>
  <si>
    <t>SWMS Development &amp; Approvals</t>
  </si>
  <si>
    <t>Site Inductions &amp; Competency Verification</t>
  </si>
  <si>
    <t>Cl 12.3, 12.4</t>
  </si>
  <si>
    <t>Incident Management &amp; Reporting</t>
  </si>
  <si>
    <t>Cl 12.9</t>
  </si>
  <si>
    <t>Traffic Management Plan &amp; Implementation</t>
  </si>
  <si>
    <t>Cl 12.6</t>
  </si>
  <si>
    <t>Quality Management Plan (QMP)</t>
  </si>
  <si>
    <t>Cl 29.2</t>
  </si>
  <si>
    <t>Milestone</t>
  </si>
  <si>
    <t>Inspection &amp; Test Plans (ITPs)</t>
  </si>
  <si>
    <t>SOW 10.2</t>
  </si>
  <si>
    <t>Cl 29.2, 30</t>
  </si>
  <si>
    <t>30% ITPs approved, 70% Per ITP completed</t>
  </si>
  <si>
    <t>Non-Conformance &amp; Corrective Actions</t>
  </si>
  <si>
    <t>SOW 10.3, 10.4</t>
  </si>
  <si>
    <t>Cl 29.3</t>
  </si>
  <si>
    <t>Witness &amp; Hold Point Inspections</t>
  </si>
  <si>
    <t>SOW 10.5</t>
  </si>
  <si>
    <t>Cl 30</t>
  </si>
  <si>
    <t>Pro-rata</t>
  </si>
  <si>
    <t>Manufacturer's Data Records (MDR)</t>
  </si>
  <si>
    <t>Cl 30.6</t>
  </si>
  <si>
    <t>Design Management and Coordination</t>
  </si>
  <si>
    <t>SOW 5.0, 3.5</t>
  </si>
  <si>
    <t>Cl 7A</t>
  </si>
  <si>
    <t>Contractor Design Deliverables</t>
  </si>
  <si>
    <t>Cl 7A.2</t>
  </si>
  <si>
    <t>40% IFC approved, 30% Form 15, 30% Form 12</t>
  </si>
  <si>
    <t>Shop Drawings - All Disciplines</t>
  </si>
  <si>
    <t>SOW 3.5, 7.4</t>
  </si>
  <si>
    <t>Cl 7A.3, 8.3</t>
  </si>
  <si>
    <t>Milestone by discipline</t>
  </si>
  <si>
    <t>Building Approval Coordination</t>
  </si>
  <si>
    <t>Cl 11</t>
  </si>
  <si>
    <t>100% Building approval obtained</t>
  </si>
  <si>
    <t>Authority Inspections &amp; Certifications</t>
  </si>
  <si>
    <t>100% per inspection passed</t>
  </si>
  <si>
    <t>Council / Local Authority Coordination</t>
  </si>
  <si>
    <t>Utility Authority Coordination (Power/Water/Comms)</t>
  </si>
  <si>
    <t>100% per utility connected</t>
  </si>
  <si>
    <t>Fire Authority Approval (QFES)</t>
  </si>
  <si>
    <t>Occupancy Certificate / Final Inspection</t>
  </si>
  <si>
    <t>Cl 11, 34.6</t>
  </si>
  <si>
    <t>Form 21 / Final Certificate Coordination</t>
  </si>
  <si>
    <t>100% Site establishment complete</t>
  </si>
  <si>
    <t>SOW 3.4</t>
  </si>
  <si>
    <t>100% Services connected</t>
  </si>
  <si>
    <t>SOW 11.0</t>
  </si>
  <si>
    <t>Cl 27</t>
  </si>
  <si>
    <t>Hydraulic Testing</t>
  </si>
  <si>
    <t>Integrated Systems Testing</t>
  </si>
  <si>
    <t>O&amp;M Manuals</t>
  </si>
  <si>
    <t>Training Delivery</t>
  </si>
  <si>
    <t>Cl 34.6</t>
  </si>
  <si>
    <t>Cl 35</t>
  </si>
  <si>
    <t>Demobilisation</t>
  </si>
  <si>
    <t>SOW 3.12.1</t>
  </si>
  <si>
    <t>Cl 27, 40B</t>
  </si>
  <si>
    <t>Make-good and Reinstatement</t>
  </si>
  <si>
    <t>SOW 3.12.2</t>
  </si>
  <si>
    <t>Defects Liability &amp; Close-out</t>
  </si>
  <si>
    <t>SOW 3.11.6, 3.12.6</t>
  </si>
  <si>
    <t>TRAVEL &amp; ACCOMMODATION</t>
  </si>
  <si>
    <t>PROVISIONAL</t>
  </si>
  <si>
    <t>Latent Conditions Allowance</t>
  </si>
  <si>
    <t>SOW 3.4.2</t>
  </si>
  <si>
    <t>PS</t>
  </si>
  <si>
    <t>Inclement Weather Allowance</t>
  </si>
  <si>
    <t>Rock Excavation Allowance</t>
  </si>
  <si>
    <t>SOW 5.0</t>
  </si>
  <si>
    <t>Notes</t>
  </si>
  <si>
    <t>1</t>
  </si>
  <si>
    <t>V</t>
  </si>
  <si>
    <t>Category</t>
  </si>
  <si>
    <t>2</t>
  </si>
  <si>
    <t>PERSONNEL DAYWORK RATES</t>
  </si>
  <si>
    <t>V1</t>
  </si>
  <si>
    <t>Allowances</t>
  </si>
  <si>
    <t>4</t>
  </si>
  <si>
    <t>V1.01</t>
  </si>
  <si>
    <t>Management</t>
  </si>
  <si>
    <t>Project Director</t>
  </si>
  <si>
    <t>Day</t>
  </si>
  <si>
    <t>V1.02</t>
  </si>
  <si>
    <t>V1.03</t>
  </si>
  <si>
    <t>V1.04</t>
  </si>
  <si>
    <t>Construction Manager</t>
  </si>
  <si>
    <t>V1.05</t>
  </si>
  <si>
    <t>Assistant Site Manager</t>
  </si>
  <si>
    <t>V1.06</t>
  </si>
  <si>
    <t>Engineering</t>
  </si>
  <si>
    <t>V1.07</t>
  </si>
  <si>
    <t>Senior Engineer</t>
  </si>
  <si>
    <t>V1.08</t>
  </si>
  <si>
    <t>Graduate Engineer</t>
  </si>
  <si>
    <t>V1.09</t>
  </si>
  <si>
    <t>Design Engineer</t>
  </si>
  <si>
    <t>Supervision</t>
  </si>
  <si>
    <t>Leading Hand</t>
  </si>
  <si>
    <t>Works Coordinator</t>
  </si>
  <si>
    <t>Night Shift Supervisor</t>
  </si>
  <si>
    <t>Subcontractor Coordinator</t>
  </si>
  <si>
    <t>HSE</t>
  </si>
  <si>
    <t>HSE Manager</t>
  </si>
  <si>
    <t>Traffic Controller</t>
  </si>
  <si>
    <t>First Aid Officer</t>
  </si>
  <si>
    <t>Quality</t>
  </si>
  <si>
    <t>Quality Manager</t>
  </si>
  <si>
    <t>Quality Coordinator</t>
  </si>
  <si>
    <t>Quality Inspector</t>
  </si>
  <si>
    <t>Administration</t>
  </si>
  <si>
    <t>Project Administrator</t>
  </si>
  <si>
    <t>Trades</t>
  </si>
  <si>
    <t>Skilled Tradesperson (General)</t>
  </si>
  <si>
    <t>Electrician - A Grade</t>
  </si>
  <si>
    <t>Electrician - Apprentice</t>
  </si>
  <si>
    <t>Plumber / Drainer</t>
  </si>
  <si>
    <t>Carpenter / Joiner</t>
  </si>
  <si>
    <t>Steel Fixer</t>
  </si>
  <si>
    <t>Concreter</t>
  </si>
  <si>
    <t>Welder / Boilermaker</t>
  </si>
  <si>
    <t>Painter</t>
  </si>
  <si>
    <t>Tiler</t>
  </si>
  <si>
    <t>Plasterer / Renderer</t>
  </si>
  <si>
    <t>Glazier</t>
  </si>
  <si>
    <t>Roofer / Metal Worker</t>
  </si>
  <si>
    <t>Labour</t>
  </si>
  <si>
    <t>General Labourer</t>
  </si>
  <si>
    <t>Rigger / Dogman</t>
  </si>
  <si>
    <t>Scaffolder</t>
  </si>
  <si>
    <t>Cleaner</t>
  </si>
  <si>
    <t>Plant Operator</t>
  </si>
  <si>
    <t>Excavator Operator</t>
  </si>
  <si>
    <t>Crane Operator</t>
  </si>
  <si>
    <t>EWP Operator</t>
  </si>
  <si>
    <t>Forklift Operator</t>
  </si>
  <si>
    <t>PLANT &amp; EQUIPMENT RATES</t>
  </si>
  <si>
    <t>V2</t>
  </si>
  <si>
    <t>Dry Hire</t>
  </si>
  <si>
    <t>Wet Hire</t>
  </si>
  <si>
    <t>Earthmoving</t>
  </si>
  <si>
    <t>V2.01</t>
  </si>
  <si>
    <t>Backhoe Loader</t>
  </si>
  <si>
    <t>Hour</t>
  </si>
  <si>
    <t>V2.02</t>
  </si>
  <si>
    <t>Wheel Loader (up to 5T)</t>
  </si>
  <si>
    <t>V2.03</t>
  </si>
  <si>
    <t>Wheel Loader (5T+)</t>
  </si>
  <si>
    <t>V2.04</t>
  </si>
  <si>
    <t>Grader</t>
  </si>
  <si>
    <t>V2.05</t>
  </si>
  <si>
    <t>Bulldozer (up to D6)</t>
  </si>
  <si>
    <t>V2.06</t>
  </si>
  <si>
    <t>Trencher</t>
  </si>
  <si>
    <t>Compaction</t>
  </si>
  <si>
    <t>V2.07</t>
  </si>
  <si>
    <t>Plate Compactor (Hand)</t>
  </si>
  <si>
    <t>V2.08</t>
  </si>
  <si>
    <t>Rammer / Jumping Jack</t>
  </si>
  <si>
    <t>Lifting</t>
  </si>
  <si>
    <t>Access</t>
  </si>
  <si>
    <t>Boom Lift - Articulating (up to 15m)</t>
  </si>
  <si>
    <t>Week</t>
  </si>
  <si>
    <t>Concrete</t>
  </si>
  <si>
    <t>Load</t>
  </si>
  <si>
    <t>MATERIALS RATES (COMMON ITEMS)</t>
  </si>
  <si>
    <t>V3</t>
  </si>
  <si>
    <t>V3.01</t>
  </si>
  <si>
    <t>m³</t>
  </si>
  <si>
    <t>V3.02</t>
  </si>
  <si>
    <t>V3.03</t>
  </si>
  <si>
    <t>V3.04</t>
  </si>
  <si>
    <t>V3.05</t>
  </si>
  <si>
    <t>V3.06</t>
  </si>
  <si>
    <t>V3.07</t>
  </si>
  <si>
    <t>m²</t>
  </si>
  <si>
    <t>V3.08</t>
  </si>
  <si>
    <t>V3.09</t>
  </si>
  <si>
    <t>Tonne</t>
  </si>
  <si>
    <t>V3.10</t>
  </si>
  <si>
    <t>V3.11</t>
  </si>
  <si>
    <t>Each</t>
  </si>
  <si>
    <t>m</t>
  </si>
  <si>
    <t>Hydraulic</t>
  </si>
  <si>
    <t>Electrical</t>
  </si>
  <si>
    <t>Cable - 2.5mm² TPS</t>
  </si>
  <si>
    <t>Cable - 4mm² TPS</t>
  </si>
  <si>
    <t>Plasterboard - 10mm Standard</t>
  </si>
  <si>
    <t>Finishes</t>
  </si>
  <si>
    <t>Carpet Tile - Commercial</t>
  </si>
  <si>
    <t>OVERHEAD, PROFIT &amp; MARGIN RATES</t>
  </si>
  <si>
    <t>V4</t>
  </si>
  <si>
    <t>Overhead</t>
  </si>
  <si>
    <t>V4.01</t>
  </si>
  <si>
    <t>V4.02</t>
  </si>
  <si>
    <t>V4.03</t>
  </si>
  <si>
    <t>L1 Description (Cost Area)</t>
  </si>
  <si>
    <t>L2 Description (Area)</t>
  </si>
  <si>
    <t>L3 Description (Sub Area)</t>
  </si>
  <si>
    <t>L4 Description (Activity / comoditity))</t>
  </si>
  <si>
    <t>CS</t>
  </si>
  <si>
    <t>Variations</t>
  </si>
  <si>
    <t>SITE ESTABLISHMENT</t>
  </si>
  <si>
    <t>Site Mobilisation</t>
  </si>
  <si>
    <t>Site Offices &amp; Amenities</t>
  </si>
  <si>
    <t>Temporary Services (Power/Water)</t>
  </si>
  <si>
    <t>Temporary Fencing &amp; Hoarding</t>
  </si>
  <si>
    <t>Site Signage &amp; Safety Barriers</t>
  </si>
  <si>
    <t>Waste Management Setup</t>
  </si>
  <si>
    <t>SOW 3.1, 3.2</t>
  </si>
  <si>
    <t>Cl 27, 32</t>
  </si>
  <si>
    <t>SOW 3.1</t>
  </si>
  <si>
    <t>Cl 27.1</t>
  </si>
  <si>
    <t>Long Lead Items - HVAC Equipment</t>
  </si>
  <si>
    <t>Long Lead Items - Switchboards</t>
  </si>
  <si>
    <t>Long Lead Items - Fire Services Equipment</t>
  </si>
  <si>
    <t>Architectural Materials Supply</t>
  </si>
  <si>
    <t>Structural Materials Supply</t>
  </si>
  <si>
    <t>Pre-Commissioning Checks - All Services</t>
  </si>
  <si>
    <t>HVAC Commissioning &amp; Balancing</t>
  </si>
  <si>
    <t>Electrical Testing &amp; Certification</t>
  </si>
  <si>
    <t>Fire Services Commissioning &amp; Certification</t>
  </si>
  <si>
    <t>BMS Integration &amp; Commissioning</t>
  </si>
  <si>
    <t>As-Built Documentation</t>
  </si>
  <si>
    <t>Practical Completion Requirements</t>
  </si>
  <si>
    <t>Defects Liability Period Support</t>
  </si>
  <si>
    <t>Demobilisation &amp; Site Restoration</t>
  </si>
  <si>
    <t>Strip Out Existing Finishes</t>
  </si>
  <si>
    <t>Asbestos Survey</t>
  </si>
  <si>
    <t>Asbestos Removal (Licensed)</t>
  </si>
  <si>
    <t>Ceiling &amp; Wall Demolition</t>
  </si>
  <si>
    <t>Floor Covering Removal</t>
  </si>
  <si>
    <t>Services Strip Out (Mech/Elec/Hyd)</t>
  </si>
  <si>
    <t>Waste Removal &amp; Disposal</t>
  </si>
  <si>
    <t>Structural Assessment Report</t>
  </si>
  <si>
    <t>Concrete Slab Repairs</t>
  </si>
  <si>
    <t>Blockwork - 200 Series (Mech Stores)</t>
  </si>
  <si>
    <t>Roof Insulation</t>
  </si>
  <si>
    <t>Gutters &amp; Downpipes</t>
  </si>
  <si>
    <t>Flashings &amp; Penetrations</t>
  </si>
  <si>
    <t>Awnings - Bondor Metecnospan</t>
  </si>
  <si>
    <t>EXTERNAL WORKS</t>
  </si>
  <si>
    <t>Windows - G.James 475 Series (24 No.)</t>
  </si>
  <si>
    <t>External Doors (Types A-K)</t>
  </si>
  <si>
    <t>External Painting &amp; Finishes</t>
  </si>
  <si>
    <t>Ceiling Insulation</t>
  </si>
  <si>
    <t>Internal Glazing &amp; Screens</t>
  </si>
  <si>
    <t>Bulkheads &amp; Soffits</t>
  </si>
  <si>
    <t>Ductwork - Supply &amp; Return</t>
  </si>
  <si>
    <t>Diffusers &amp; Grilles</t>
  </si>
  <si>
    <t>Controls &amp; BMS Integration</t>
  </si>
  <si>
    <t>Distribution Boards</t>
  </si>
  <si>
    <t>FINISHES</t>
  </si>
  <si>
    <t>JOINERY</t>
  </si>
  <si>
    <t>SOW 5.2, SDRL</t>
  </si>
  <si>
    <t>Cl 9.1</t>
  </si>
  <si>
    <t>SOW 5.2</t>
  </si>
  <si>
    <t>Cl 9.2</t>
  </si>
  <si>
    <t>SOW 4.2.3</t>
  </si>
  <si>
    <t>SOW 4.2.1</t>
  </si>
  <si>
    <t>SOW 5.1</t>
  </si>
  <si>
    <t>Cl 34, 35</t>
  </si>
  <si>
    <t>Cl 34.3</t>
  </si>
  <si>
    <t>Cl 34.4</t>
  </si>
  <si>
    <t>Cl 34.5</t>
  </si>
  <si>
    <t>Cl 35.2</t>
  </si>
  <si>
    <t>Cl 8.4, 42</t>
  </si>
  <si>
    <t>Cl 42</t>
  </si>
  <si>
    <t>SOW 5.3</t>
  </si>
  <si>
    <t>SOW 5.4</t>
  </si>
  <si>
    <t>Cl 42.1</t>
  </si>
  <si>
    <t>SOW 5.5</t>
  </si>
  <si>
    <t>Cl 42.5</t>
  </si>
  <si>
    <t>SOW 4.1.1</t>
  </si>
  <si>
    <t>Cl 29.1</t>
  </si>
  <si>
    <t>SOW 4.1.2</t>
  </si>
  <si>
    <t>Cl 29.3, WHS Reg</t>
  </si>
  <si>
    <t>SOW 4.2.2</t>
  </si>
  <si>
    <t>SOW 4.3</t>
  </si>
  <si>
    <t>SOW 4.4</t>
  </si>
  <si>
    <t>SOW 4.5</t>
  </si>
  <si>
    <t>SOW 4.6</t>
  </si>
  <si>
    <t>Emergency Lighting</t>
  </si>
  <si>
    <t>Internal Painting</t>
  </si>
  <si>
    <t>External Cladding</t>
  </si>
  <si>
    <t>Provisional Sum</t>
  </si>
  <si>
    <t>A1.02.07</t>
  </si>
  <si>
    <t>A1.04.01</t>
  </si>
  <si>
    <t>Design</t>
  </si>
  <si>
    <t>A1.04.02</t>
  </si>
  <si>
    <t>A1.04.03</t>
  </si>
  <si>
    <t>FFE</t>
  </si>
  <si>
    <t>A1.05.01</t>
  </si>
  <si>
    <t>A1.05.02</t>
  </si>
  <si>
    <t>A1.05.03</t>
  </si>
  <si>
    <t>A1.05.04</t>
  </si>
  <si>
    <t>A1.05.05</t>
  </si>
  <si>
    <t>A1.05.06</t>
  </si>
  <si>
    <t>A1.05.07</t>
  </si>
  <si>
    <t>A1.01.01</t>
  </si>
  <si>
    <t>A1.01.02</t>
  </si>
  <si>
    <t>A1.01.03</t>
  </si>
  <si>
    <t>A1.01.04</t>
  </si>
  <si>
    <t>A1.01.05</t>
  </si>
  <si>
    <t>A1.01.06</t>
  </si>
  <si>
    <t>A1.01.07</t>
  </si>
  <si>
    <t>A1.01.08</t>
  </si>
  <si>
    <t>A1.01.09</t>
  </si>
  <si>
    <t>A1.01.10</t>
  </si>
  <si>
    <t>A1.02.01</t>
  </si>
  <si>
    <t>A1.02.02</t>
  </si>
  <si>
    <t>A1.02.03</t>
  </si>
  <si>
    <t>A1.02.04</t>
  </si>
  <si>
    <t>A1.02.05</t>
  </si>
  <si>
    <t>A1.02.06</t>
  </si>
  <si>
    <t>A1.03.01</t>
  </si>
  <si>
    <t>A1.03.02</t>
  </si>
  <si>
    <t>A1.03.03</t>
  </si>
  <si>
    <t>A1.03.04</t>
  </si>
  <si>
    <t>A1.03.05</t>
  </si>
  <si>
    <t>NEW OFFICE BUILDING</t>
  </si>
  <si>
    <t>SITE WIDE</t>
  </si>
  <si>
    <t>3</t>
  </si>
  <si>
    <t>5</t>
  </si>
  <si>
    <t>6</t>
  </si>
  <si>
    <t>7</t>
  </si>
  <si>
    <t>A2.06.01</t>
  </si>
  <si>
    <t>A2.06.02</t>
  </si>
  <si>
    <t>A2.06.03</t>
  </si>
  <si>
    <t>A2.06.04</t>
  </si>
  <si>
    <t>A2.07.01</t>
  </si>
  <si>
    <t>A2.07.02</t>
  </si>
  <si>
    <t>A2.07.03</t>
  </si>
  <si>
    <t>A2.08.01</t>
  </si>
  <si>
    <t>Mechanical</t>
  </si>
  <si>
    <t>A2.08.02</t>
  </si>
  <si>
    <t>A2.08.03</t>
  </si>
  <si>
    <t>A2.08.04</t>
  </si>
  <si>
    <t>A2.09.01</t>
  </si>
  <si>
    <t>A2.09.02</t>
  </si>
  <si>
    <t>A2.09.03</t>
  </si>
  <si>
    <t>A2.09.04</t>
  </si>
  <si>
    <t>A3.11.01</t>
  </si>
  <si>
    <t>A3.11.02</t>
  </si>
  <si>
    <t>A3.11.03</t>
  </si>
  <si>
    <t>A3.11.04</t>
  </si>
  <si>
    <t>A3.12.01</t>
  </si>
  <si>
    <t>A3.12.02</t>
  </si>
  <si>
    <t>A3.12.03</t>
  </si>
  <si>
    <t>A3.12.04</t>
  </si>
  <si>
    <t>A3.13.01</t>
  </si>
  <si>
    <t>A3.13.02</t>
  </si>
  <si>
    <t>A3.13.03</t>
  </si>
  <si>
    <t>A3.13.04</t>
  </si>
  <si>
    <t>A3.13.05</t>
  </si>
  <si>
    <t>SOW 4.1</t>
  </si>
  <si>
    <t>SOW 3.12</t>
  </si>
  <si>
    <t>SOW 3.0</t>
  </si>
  <si>
    <t>25-595_A4/05</t>
  </si>
  <si>
    <t>25-595_A1/01-04</t>
  </si>
  <si>
    <t>25-595_A2/01-04</t>
  </si>
  <si>
    <t>25-595_A3/01-02</t>
  </si>
  <si>
    <t>Date</t>
  </si>
  <si>
    <t>A1</t>
  </si>
  <si>
    <t>B</t>
  </si>
  <si>
    <t>C</t>
  </si>
  <si>
    <t>A2</t>
  </si>
  <si>
    <t>25-595_A2/02</t>
  </si>
  <si>
    <t>A3</t>
  </si>
  <si>
    <t>A4</t>
  </si>
  <si>
    <t>25-595_A4/04</t>
  </si>
  <si>
    <t>Applies To</t>
  </si>
  <si>
    <t>M</t>
  </si>
  <si>
    <t>Structural Steel - Hot Rolled</t>
  </si>
  <si>
    <t>Structural Steel - SHS/RHS</t>
  </si>
  <si>
    <t>Drawing Ref</t>
  </si>
  <si>
    <t>P1</t>
  </si>
  <si>
    <t>Masonry</t>
  </si>
  <si>
    <t>SOW Ref</t>
  </si>
  <si>
    <t>25-595_A1/02</t>
  </si>
  <si>
    <t>A4.03.01</t>
  </si>
  <si>
    <t>A3.03.01</t>
  </si>
  <si>
    <t>A3.03.02</t>
  </si>
  <si>
    <t>A3.03.03</t>
  </si>
  <si>
    <t>A3.03.04</t>
  </si>
  <si>
    <t>A3.03.05</t>
  </si>
  <si>
    <t>A3.03.06</t>
  </si>
  <si>
    <t>SPS Annex Refurbishment Project</t>
  </si>
  <si>
    <t>Cost Type</t>
  </si>
  <si>
    <t>Contract Ref</t>
  </si>
  <si>
    <t>Pricing Type</t>
  </si>
  <si>
    <t>INDIRECT</t>
  </si>
  <si>
    <t>PROJECT MANAGEMENT</t>
  </si>
  <si>
    <t>A1.01</t>
  </si>
  <si>
    <t>SOW 7.0, 7.1</t>
  </si>
  <si>
    <t>Pro-rata monthly over contract period</t>
  </si>
  <si>
    <t>Pro-rata monthly, provided management plans &amp; reports accepted by Principal</t>
  </si>
  <si>
    <t>SOW 7.0, 9.0</t>
  </si>
  <si>
    <t>SOW 7.0, 10.0</t>
  </si>
  <si>
    <t>SOW 7.0, 7.4</t>
  </si>
  <si>
    <t>Cl 22, 23, 37</t>
  </si>
  <si>
    <t>SOW 7.0, 7.3</t>
  </si>
  <si>
    <t>A1.02</t>
  </si>
  <si>
    <t>SOW 9.1, 9.2</t>
  </si>
  <si>
    <t>SOW 9.3</t>
  </si>
  <si>
    <t>Pro-rata monthly, all permits maintained current</t>
  </si>
  <si>
    <t>SOW 9.4</t>
  </si>
  <si>
    <t>SOW 9.2</t>
  </si>
  <si>
    <t>Pro-rata monthly, records maintained</t>
  </si>
  <si>
    <t>SOW 9.5</t>
  </si>
  <si>
    <t>Pro-rata monthly, incident reports submitted within 24hrs</t>
  </si>
  <si>
    <t>SOW 9.3, 3.4.5</t>
  </si>
  <si>
    <t>30% TMP accepted, 70% Monthly pro-rata</t>
  </si>
  <si>
    <t>QUALITY</t>
  </si>
  <si>
    <t>A1.03</t>
  </si>
  <si>
    <t>SOW 10.1</t>
  </si>
  <si>
    <t>100% QMP accepted prior to works commencing</t>
  </si>
  <si>
    <t>Milestone + Per ITP</t>
  </si>
  <si>
    <t>Pro-rata monthly, NCR register maintained</t>
  </si>
  <si>
    <t>Per inspection</t>
  </si>
  <si>
    <t>Per inspection completed and signed off</t>
  </si>
  <si>
    <t>SOW 10.6, SDRL</t>
  </si>
  <si>
    <t>100% MDR submitted and accepted at PC</t>
  </si>
  <si>
    <t>DESIGN</t>
  </si>
  <si>
    <t>A1.04</t>
  </si>
  <si>
    <t>30% Design kickoff, 40% IFC, 30% As-built accepted</t>
  </si>
  <si>
    <t>40% Model, 40% IFC accepted, 20% As-built</t>
  </si>
  <si>
    <t>APPROVALS</t>
  </si>
  <si>
    <t>A1.05</t>
  </si>
  <si>
    <t>SOW 6.1</t>
  </si>
  <si>
    <t>SOW 6.2</t>
  </si>
  <si>
    <t>SOW 6.3</t>
  </si>
  <si>
    <t>Pro-rata over approval period</t>
  </si>
  <si>
    <t>SOW 6.4</t>
  </si>
  <si>
    <t>Per utility</t>
  </si>
  <si>
    <t>SOW 6.5</t>
  </si>
  <si>
    <t>100% QFES approval obtained</t>
  </si>
  <si>
    <t>SOW 6.6</t>
  </si>
  <si>
    <t>100% Occupancy certificate issued</t>
  </si>
  <si>
    <t>SOW 6.7</t>
  </si>
  <si>
    <t>100% Form 21 lodged</t>
  </si>
  <si>
    <t>DIRECT</t>
  </si>
  <si>
    <t>A2.06</t>
  </si>
  <si>
    <t>A0/01-03</t>
  </si>
  <si>
    <t>100% Offices operational</t>
  </si>
  <si>
    <t>Per linear metre installed</t>
  </si>
  <si>
    <t>Pro-rata per metre installed</t>
  </si>
  <si>
    <t>100% Signage installed</t>
  </si>
  <si>
    <t>SOW 3.1, 9.4</t>
  </si>
  <si>
    <t>30% Setup, 70% Monthly pro-rata</t>
  </si>
  <si>
    <t>DEMOBILISATION</t>
  </si>
  <si>
    <t>A2.07</t>
  </si>
  <si>
    <t>100% Site demobilised post PC</t>
  </si>
  <si>
    <t>100% Site reinstated to pre-works condition</t>
  </si>
  <si>
    <t>Pro-rata over DLP</t>
  </si>
  <si>
    <t>Pro-rata over 12-month DLP</t>
  </si>
  <si>
    <t>PROCUREMENT</t>
  </si>
  <si>
    <t>A2.08</t>
  </si>
  <si>
    <t>M-01 to M-05</t>
  </si>
  <si>
    <t>Milestone on delivery</t>
  </si>
  <si>
    <t>100% Equipment delivered to site</t>
  </si>
  <si>
    <t>E-01 to E-05</t>
  </si>
  <si>
    <t>100% Switchboards delivered to site</t>
  </si>
  <si>
    <t>690a-d</t>
  </si>
  <si>
    <t>100% Fire equipment delivered to site</t>
  </si>
  <si>
    <t>A1-A4</t>
  </si>
  <si>
    <t>Pro-rata on delivery</t>
  </si>
  <si>
    <t>Pro-rata per material category delivered</t>
  </si>
  <si>
    <t>25-595_A1-A4</t>
  </si>
  <si>
    <t>100% Steel/concrete materials delivered</t>
  </si>
  <si>
    <t>COMMISSIONING</t>
  </si>
  <si>
    <t>A2.09</t>
  </si>
  <si>
    <t>100% Pre-comm checklists complete</t>
  </si>
  <si>
    <t>100% TAB report accepted</t>
  </si>
  <si>
    <t>100% CCEW issued</t>
  </si>
  <si>
    <t>100% Form 80/81 issued</t>
  </si>
  <si>
    <t>100% Pressure tests passed</t>
  </si>
  <si>
    <t>100% BMS functional, integrated with HVAC</t>
  </si>
  <si>
    <t>100% All systems functional together</t>
  </si>
  <si>
    <t>CLOSEOUT</t>
  </si>
  <si>
    <t>100% As-builts accepted at PC</t>
  </si>
  <si>
    <t>100% O&amp;M manuals accepted at PC</t>
  </si>
  <si>
    <t>Per session</t>
  </si>
  <si>
    <t>Per training session delivered</t>
  </si>
  <si>
    <t>100% PC achieved</t>
  </si>
  <si>
    <t>100% Site restored post PC</t>
  </si>
  <si>
    <t>DEMOLITION</t>
  </si>
  <si>
    <t>A3.11</t>
  </si>
  <si>
    <t>A4/01-02</t>
  </si>
  <si>
    <t>Per m² demolished</t>
  </si>
  <si>
    <t>Per m² complete, waste removed</t>
  </si>
  <si>
    <t>100% Survey report accepted</t>
  </si>
  <si>
    <t>Per m² removed</t>
  </si>
  <si>
    <t>Per clearance certificate issued</t>
  </si>
  <si>
    <t>Per discipline complete</t>
  </si>
  <si>
    <t>Per discipline isolated and removed</t>
  </si>
  <si>
    <t>100% Waste disposed lawfully</t>
  </si>
  <si>
    <t>STRUCTURE</t>
  </si>
  <si>
    <t>A3.12</t>
  </si>
  <si>
    <t>25-595_A4/01-06</t>
  </si>
  <si>
    <t>100% Report accepted</t>
  </si>
  <si>
    <t>25-595_A4/01-02</t>
  </si>
  <si>
    <t>Bored Piers (BP1: 450Ø, 3.0m deep)</t>
  </si>
  <si>
    <t>No.</t>
  </si>
  <si>
    <t>SOR</t>
  </si>
  <si>
    <t>Per pier complete</t>
  </si>
  <si>
    <t>40% reo fixed, 60% concrete poured &amp; cured</t>
  </si>
  <si>
    <t>Ground Beams</t>
  </si>
  <si>
    <t>Per linear metre</t>
  </si>
  <si>
    <t>Concrete Slab on Ground</t>
  </si>
  <si>
    <t>Per m² complete</t>
  </si>
  <si>
    <t>30% prep/reo, 70% pour &amp; finish</t>
  </si>
  <si>
    <t>A3.12.05</t>
  </si>
  <si>
    <t>25-595_A4/03-04</t>
  </si>
  <si>
    <t>SHS Columns (C1: 150x150x6, C2: 125x125x5, C3: 100x100x4)</t>
  </si>
  <si>
    <t>Per column installed</t>
  </si>
  <si>
    <t>60% supply, 40% install &amp; connect</t>
  </si>
  <si>
    <t>A3.12.06</t>
  </si>
  <si>
    <t>25-595_A4/03-05</t>
  </si>
  <si>
    <t>Roof Beams (B1-B4)</t>
  </si>
  <si>
    <t>Per m² laid</t>
  </si>
  <si>
    <t>50% blocks delivered, 50% laid &amp; grouted</t>
  </si>
  <si>
    <t>Lintels (L1, L2)</t>
  </si>
  <si>
    <t>Per lintel installed</t>
  </si>
  <si>
    <t>60% supply, 40% install</t>
  </si>
  <si>
    <t>ROOF</t>
  </si>
  <si>
    <t>A3.13</t>
  </si>
  <si>
    <t>Roof Trusses (T1)</t>
  </si>
  <si>
    <t>Per truss installed</t>
  </si>
  <si>
    <t>60% fabricated/delivered, 40% installed</t>
  </si>
  <si>
    <t>Purlins (P1)</t>
  </si>
  <si>
    <t>50% supply, 50% fix</t>
  </si>
  <si>
    <t>A4/05</t>
  </si>
  <si>
    <t>Roof Sheeting - Strammit Monoclad</t>
  </si>
  <si>
    <t>Per m² installed</t>
  </si>
  <si>
    <t>50% supply, 50% fix complete</t>
  </si>
  <si>
    <t>A4/05, 690b</t>
  </si>
  <si>
    <t>40% supply, 60% fix &amp; connect</t>
  </si>
  <si>
    <t>A3.13.06</t>
  </si>
  <si>
    <t>40% supply, 60% fix &amp; seal</t>
  </si>
  <si>
    <t>A3.13.07</t>
  </si>
  <si>
    <t>EXTERNAL</t>
  </si>
  <si>
    <t>A4/03-04</t>
  </si>
  <si>
    <t>Per window installed</t>
  </si>
  <si>
    <t>60% supply, 40% install &amp; flash</t>
  </si>
  <si>
    <t>Per door installed</t>
  </si>
  <si>
    <t>60% supply, 40% install complete</t>
  </si>
  <si>
    <t>30% prep, 70% paint system complete</t>
  </si>
  <si>
    <t>FITOUT</t>
  </si>
  <si>
    <t>Partitions - Steel Stud/Plasterboard</t>
  </si>
  <si>
    <t>40% frame, 60% line &amp; finish</t>
  </si>
  <si>
    <t>Suspended Ceilings - 1200x600 Acoustic</t>
  </si>
  <si>
    <t>40% grid, 60% tiles installed</t>
  </si>
  <si>
    <t>50% supply, 50% install</t>
  </si>
  <si>
    <t>Internal Doors (24 No.)</t>
  </si>
  <si>
    <t>Per door complete</t>
  </si>
  <si>
    <t>60% supply, 40% install &amp; hardware</t>
  </si>
  <si>
    <t>MECHANICAL</t>
  </si>
  <si>
    <t>M-01, M-05</t>
  </si>
  <si>
    <t>Air Conditioning Units (AC-1 to AC-5)</t>
  </si>
  <si>
    <t>Per unit complete</t>
  </si>
  <si>
    <t>70% supply, 30% install &amp; commission</t>
  </si>
  <si>
    <t>VAV Boxes (VAV-1 to VAV-7)</t>
  </si>
  <si>
    <t>70% supply, 30% install &amp; balance</t>
  </si>
  <si>
    <t>Per m² duct face</t>
  </si>
  <si>
    <t>50% fabricate, 50% install</t>
  </si>
  <si>
    <t>Per diffuser installed</t>
  </si>
  <si>
    <t>60% supply, 40% install &amp; balance</t>
  </si>
  <si>
    <t>40% hardware, 60% commission</t>
  </si>
  <si>
    <t>Refrigerant Pipework</t>
  </si>
  <si>
    <t>40% supply, 60% install &amp; pressure test</t>
  </si>
  <si>
    <t>ELECTRICAL</t>
  </si>
  <si>
    <t>Main Switchboard (MSB)</t>
  </si>
  <si>
    <t>Per board complete</t>
  </si>
  <si>
    <t>70% supply, 30% install &amp; connect</t>
  </si>
  <si>
    <t>Submains Cabling</t>
  </si>
  <si>
    <t>50% supply, 50% install &amp; terminate</t>
  </si>
  <si>
    <t>General Power Outlets</t>
  </si>
  <si>
    <t>Per outlet complete</t>
  </si>
  <si>
    <t>40% supply, 60% install &amp; test</t>
  </si>
  <si>
    <t>Lighting Installation</t>
  </si>
  <si>
    <t>Per fitting complete</t>
  </si>
  <si>
    <t>50% supply, 50% install &amp; commission</t>
  </si>
  <si>
    <t>50% supply, 50% install &amp; test</t>
  </si>
  <si>
    <t>Data/Communications Cabling</t>
  </si>
  <si>
    <t>50% supply/cable, 50% terminate &amp; test</t>
  </si>
  <si>
    <t>Earthing System</t>
  </si>
  <si>
    <t>40% materials, 60% install &amp; test</t>
  </si>
  <si>
    <t>HYDRAULIC</t>
  </si>
  <si>
    <t>690b</t>
  </si>
  <si>
    <t>Cold Water Reticulation</t>
  </si>
  <si>
    <t>Hot Water System &amp; Reticulation</t>
  </si>
  <si>
    <t>Per system complete</t>
  </si>
  <si>
    <t>60% supply, 40% install &amp; commission</t>
  </si>
  <si>
    <t>Sanitary Plumbing</t>
  </si>
  <si>
    <t>Per fixture connected</t>
  </si>
  <si>
    <t>40% rough-in, 60% fit-off &amp; test</t>
  </si>
  <si>
    <t>Sewer Drainage</t>
  </si>
  <si>
    <t>40% supply, 60% install &amp; CCTV</t>
  </si>
  <si>
    <t>Stormwater Drainage</t>
  </si>
  <si>
    <t>FIRE</t>
  </si>
  <si>
    <t>Fire Hydrants</t>
  </si>
  <si>
    <t>Per hydrant complete</t>
  </si>
  <si>
    <t>Fire Hose Reels</t>
  </si>
  <si>
    <t>Per hose reel complete</t>
  </si>
  <si>
    <t>Fire Indicator Panel (FIP)</t>
  </si>
  <si>
    <t>Per FIP complete</t>
  </si>
  <si>
    <t>Smoke/Heat Detectors</t>
  </si>
  <si>
    <t>Per detector installed</t>
  </si>
  <si>
    <t>Fire Extinguishers &amp; Blankets</t>
  </si>
  <si>
    <t>Per unit installed</t>
  </si>
  <si>
    <t>80% supply, 20% install &amp; tag</t>
  </si>
  <si>
    <t>Floor Tiles - Amenities</t>
  </si>
  <si>
    <t>50% supply, 50% lay &amp; grout</t>
  </si>
  <si>
    <t>Carpet Tiles - Office Areas</t>
  </si>
  <si>
    <t>Vinyl - Wet Areas</t>
  </si>
  <si>
    <t>Wall Tiles - Amenities</t>
  </si>
  <si>
    <t>Skirtings &amp; Architraves</t>
  </si>
  <si>
    <t>40% supply, 60% install &amp; finish</t>
  </si>
  <si>
    <t>Kitchenette Joinery</t>
  </si>
  <si>
    <t>Per kitchenette complete</t>
  </si>
  <si>
    <t>70% fabricate, 30% install &amp; connect</t>
  </si>
  <si>
    <t>Reception Counter</t>
  </si>
  <si>
    <t>Per item complete</t>
  </si>
  <si>
    <t>70% fabricate, 30% install</t>
  </si>
  <si>
    <t>Storage Cupboards</t>
  </si>
  <si>
    <t>Per cupboard complete</t>
  </si>
  <si>
    <t>Vanity Units - Amenities</t>
  </si>
  <si>
    <t>Per vanity complete</t>
  </si>
  <si>
    <t>Workstations</t>
  </si>
  <si>
    <t>A4 Furniture</t>
  </si>
  <si>
    <t>Per workstation complete</t>
  </si>
  <si>
    <t>90% supply, 10% install</t>
  </si>
  <si>
    <t>Task Chairs</t>
  </si>
  <si>
    <t>Per chair delivered</t>
  </si>
  <si>
    <t>100% supply</t>
  </si>
  <si>
    <t>Meeting Room Tables</t>
  </si>
  <si>
    <t>Per table complete</t>
  </si>
  <si>
    <t>Lockers</t>
  </si>
  <si>
    <t>Per bank complete</t>
  </si>
  <si>
    <t>80% supply, 20% install &amp; anchor</t>
  </si>
  <si>
    <t>Whiteboards &amp; Pinboards</t>
  </si>
  <si>
    <t>Per board installed</t>
  </si>
  <si>
    <t>80% supply, 20% install</t>
  </si>
  <si>
    <t>Kitchen Appliances</t>
  </si>
  <si>
    <t>Per appliance installed</t>
  </si>
  <si>
    <t>90% supply, 10% install &amp; commission</t>
  </si>
  <si>
    <t>REGISTRY BUILDING</t>
  </si>
  <si>
    <t>Hazardous Materials Removal</t>
  </si>
  <si>
    <t>Per clearance certificate</t>
  </si>
  <si>
    <t>Structural Assessment &amp; Repairs</t>
  </si>
  <si>
    <t>30% assessment, 70% repairs complete</t>
  </si>
  <si>
    <t>Per m² repaired</t>
  </si>
  <si>
    <t>30% prep, 70% repair &amp; finish</t>
  </si>
  <si>
    <t>25-595_A1/03-04</t>
  </si>
  <si>
    <t>Roof Refurbishment Package</t>
  </si>
  <si>
    <t>40% materials, 60% install complete</t>
  </si>
  <si>
    <t>SERVICES</t>
  </si>
  <si>
    <t>M-02</t>
  </si>
  <si>
    <t>Mechanical Services Package</t>
  </si>
  <si>
    <t>E-02</t>
  </si>
  <si>
    <t>Electrical Services Package</t>
  </si>
  <si>
    <t>690c</t>
  </si>
  <si>
    <t>Hydraulic Services Package</t>
  </si>
  <si>
    <t>Fire Services Package</t>
  </si>
  <si>
    <t>A1/03-04</t>
  </si>
  <si>
    <t>Partitions &amp; Ceilings Package</t>
  </si>
  <si>
    <t>Floor &amp; Wall Finishes Package</t>
  </si>
  <si>
    <t>Joinery Package</t>
  </si>
  <si>
    <t>A1 Furniture</t>
  </si>
  <si>
    <t>FFE Package</t>
  </si>
  <si>
    <t>Per item delivered</t>
  </si>
  <si>
    <t>WORKSHOP BUILDING</t>
  </si>
  <si>
    <t>A5</t>
  </si>
  <si>
    <t>Strip Out &amp; Hazmat Removal</t>
  </si>
  <si>
    <t>Structural Assessment &amp; Repairs Package</t>
  </si>
  <si>
    <t>30% assessment, 70% repairs</t>
  </si>
  <si>
    <t>25-595_A2/03-04</t>
  </si>
  <si>
    <t>40% supply, 60% install</t>
  </si>
  <si>
    <t>M-03</t>
  </si>
  <si>
    <t>E-03</t>
  </si>
  <si>
    <t>690d</t>
  </si>
  <si>
    <t>Hydraulic &amp; Fire Services Package</t>
  </si>
  <si>
    <t>A2/03-04</t>
  </si>
  <si>
    <t>Internal Fitout Package</t>
  </si>
  <si>
    <t>Finishes &amp; Joinery Package</t>
  </si>
  <si>
    <t>A2 Furniture</t>
  </si>
  <si>
    <t>WAREHOUSE BUILDING</t>
  </si>
  <si>
    <t>A6</t>
  </si>
  <si>
    <t>WORKS</t>
  </si>
  <si>
    <t>Demolition &amp; Hazmat Package</t>
  </si>
  <si>
    <t>Structural &amp; Roof Package</t>
  </si>
  <si>
    <t>SOW 4.3-4.5</t>
  </si>
  <si>
    <t>M-04, E-04, 690a</t>
  </si>
  <si>
    <t>Building Services Package</t>
  </si>
  <si>
    <t>A3/01-02</t>
  </si>
  <si>
    <t>Internal Fitout &amp; Finishes</t>
  </si>
  <si>
    <t>A3 Furniture</t>
  </si>
  <si>
    <t>A7</t>
  </si>
  <si>
    <t>SOW 7.2.2, 11.0</t>
  </si>
  <si>
    <t>Weeks</t>
  </si>
  <si>
    <t>Section B - Provisional Sum</t>
  </si>
  <si>
    <t>PROVISIONAL SUMS</t>
  </si>
  <si>
    <t>SITE CONDITIONS</t>
  </si>
  <si>
    <t>SOW 2.1</t>
  </si>
  <si>
    <t>Cl 25.2</t>
  </si>
  <si>
    <t>N/A</t>
  </si>
  <si>
    <t>As directed</t>
  </si>
  <si>
    <t>Expended as directed by Superintendent</t>
  </si>
  <si>
    <t>Per m³ rock</t>
  </si>
  <si>
    <t>Per m³ rock encountered</t>
  </si>
  <si>
    <t>Contaminated Soil Allowance</t>
  </si>
  <si>
    <t>Per m³ disposed</t>
  </si>
  <si>
    <t>Per m³ contaminated material disposed</t>
  </si>
  <si>
    <t>HAZMAT</t>
  </si>
  <si>
    <t>Cl 25.2, WHS</t>
  </si>
  <si>
    <t>Additional Asbestos Removal</t>
  </si>
  <si>
    <t>Lead Paint Removal</t>
  </si>
  <si>
    <t>Synthetic Mineral Fibre Removal</t>
  </si>
  <si>
    <t>SOW 3.3</t>
  </si>
  <si>
    <t>Electrical Services Diversion</t>
  </si>
  <si>
    <t>Per Superintendent direction</t>
  </si>
  <si>
    <t>Hydraulic Services Diversion</t>
  </si>
  <si>
    <t>Communications/Data Diversion</t>
  </si>
  <si>
    <t>Cl 25.2, 7A</t>
  </si>
  <si>
    <t>Architectural Design Development</t>
  </si>
  <si>
    <t>Per design variation approved</t>
  </si>
  <si>
    <t>Structural Design Development</t>
  </si>
  <si>
    <t>Services Design Development</t>
  </si>
  <si>
    <t>CONTINGENCY</t>
  </si>
  <si>
    <t>General Contingency Allowance</t>
  </si>
  <si>
    <t>Interface Coordination Allowance</t>
  </si>
  <si>
    <t>Per interface issue resolved</t>
  </si>
  <si>
    <t>SOW 2.2</t>
  </si>
  <si>
    <t>Cl 25.2, 34.8</t>
  </si>
  <si>
    <t>Per qualifying day</t>
  </si>
  <si>
    <t>Per qualifying inclement weather day</t>
  </si>
  <si>
    <t>AV WORKS</t>
  </si>
  <si>
    <t>AV Contractor Attendance</t>
  </si>
  <si>
    <t>Per week attendance</t>
  </si>
  <si>
    <t>Per week of AV contractor on site</t>
  </si>
  <si>
    <t>AV Power &amp; Data Points</t>
  </si>
  <si>
    <t>Per point installed</t>
  </si>
  <si>
    <t>Per AV point installed</t>
  </si>
  <si>
    <t>PC</t>
  </si>
  <si>
    <t>Sub-Category</t>
  </si>
  <si>
    <t>Normal Rate</t>
  </si>
  <si>
    <t>OT 1.5x</t>
  </si>
  <si>
    <t>OT 2.0x</t>
  </si>
  <si>
    <t>OT 2.5x</t>
  </si>
  <si>
    <t>Mob Rate</t>
  </si>
  <si>
    <t>Demob Rate</t>
  </si>
  <si>
    <t>Supply Rate</t>
  </si>
  <si>
    <t>Install Rate</t>
  </si>
  <si>
    <t>All-in Rate</t>
  </si>
  <si>
    <t>Min Charge</t>
  </si>
  <si>
    <t>Increment</t>
  </si>
  <si>
    <t>Valid From</t>
  </si>
  <si>
    <t>Valid To</t>
  </si>
  <si>
    <t>VARIATION</t>
  </si>
  <si>
    <t>MANAGEMENT PERSONNEL</t>
  </si>
  <si>
    <t>V1.01.01</t>
  </si>
  <si>
    <t>Per 8-hr day on site/office</t>
  </si>
  <si>
    <t>Timesheet signed by Supt, min 4hrs</t>
  </si>
  <si>
    <t>4 hrs</t>
  </si>
  <si>
    <t>1 hr</t>
  </si>
  <si>
    <t>V1.01.02</t>
  </si>
  <si>
    <t>V1.01.03</t>
  </si>
  <si>
    <t>Per 8-hr day on site</t>
  </si>
  <si>
    <t>V1.01.04</t>
  </si>
  <si>
    <t>V1.01.05</t>
  </si>
  <si>
    <t>ENGINEERING PERSONNEL</t>
  </si>
  <si>
    <t>V1.02.01</t>
  </si>
  <si>
    <t>Per 8-hr day</t>
  </si>
  <si>
    <t>V1.02.02</t>
  </si>
  <si>
    <t>V1.02.03</t>
  </si>
  <si>
    <t>V1.02.04</t>
  </si>
  <si>
    <t>V1.02.05</t>
  </si>
  <si>
    <t>Services Engineer (M/E/H)</t>
  </si>
  <si>
    <t>SUPERVISION PERSONNEL</t>
  </si>
  <si>
    <t>V1.03.01</t>
  </si>
  <si>
    <t>V1.03.02</t>
  </si>
  <si>
    <t>V1.03.03</t>
  </si>
  <si>
    <t>V1.03.04</t>
  </si>
  <si>
    <t>Per 10-hr night shift</t>
  </si>
  <si>
    <t>V1.03.05</t>
  </si>
  <si>
    <t>HSE PERSONNEL</t>
  </si>
  <si>
    <t>V1.04.01</t>
  </si>
  <si>
    <t>V1.04.02</t>
  </si>
  <si>
    <t>V1.04.03</t>
  </si>
  <si>
    <t>V1.04.04</t>
  </si>
  <si>
    <t>V1.04.05</t>
  </si>
  <si>
    <t>Environmental Officer</t>
  </si>
  <si>
    <t>QUALITY PERSONNEL</t>
  </si>
  <si>
    <t>V1.05.01</t>
  </si>
  <si>
    <t>V1.05.02</t>
  </si>
  <si>
    <t>V1.05.03</t>
  </si>
  <si>
    <t>ADMINISTRATION PERSONNEL</t>
  </si>
  <si>
    <t>V1.06.01</t>
  </si>
  <si>
    <t>V1.06.02</t>
  </si>
  <si>
    <t>V1.06.03</t>
  </si>
  <si>
    <t>V1.06.04</t>
  </si>
  <si>
    <t>V1.06.05</t>
  </si>
  <si>
    <t>TRADE PERSONNEL</t>
  </si>
  <si>
    <t>V1.07.01</t>
  </si>
  <si>
    <t>V1.07.02</t>
  </si>
  <si>
    <t>V1.07.03</t>
  </si>
  <si>
    <t>V1.07.04</t>
  </si>
  <si>
    <t>V1.07.05</t>
  </si>
  <si>
    <t>V1.07.06</t>
  </si>
  <si>
    <t>V1.07.07</t>
  </si>
  <si>
    <t>V1.07.08</t>
  </si>
  <si>
    <t>V1.07.09</t>
  </si>
  <si>
    <t>V1.07.10</t>
  </si>
  <si>
    <t>V1.07.11</t>
  </si>
  <si>
    <t>V1.07.12</t>
  </si>
  <si>
    <t>V1.07.13</t>
  </si>
  <si>
    <t>V1.07.14</t>
  </si>
  <si>
    <t>HVAC Mechanic / Fitter</t>
  </si>
  <si>
    <t>V1.07.15</t>
  </si>
  <si>
    <t>Fire Services Technician</t>
  </si>
  <si>
    <t>LABOUR PERSONNEL</t>
  </si>
  <si>
    <t>V1.08.01</t>
  </si>
  <si>
    <t>V1.08.02</t>
  </si>
  <si>
    <t>Skilled Labourer</t>
  </si>
  <si>
    <t>V1.08.03</t>
  </si>
  <si>
    <t>V1.08.04</t>
  </si>
  <si>
    <t>V1.08.05</t>
  </si>
  <si>
    <t>PLANT OPERATORS</t>
  </si>
  <si>
    <t>V1.09.01</t>
  </si>
  <si>
    <t>Incl. tickets</t>
  </si>
  <si>
    <t>V1.09.02</t>
  </si>
  <si>
    <t>V1.09.03</t>
  </si>
  <si>
    <t>V1.09.04</t>
  </si>
  <si>
    <t>V1.09.05</t>
  </si>
  <si>
    <t>Telehandler Operator</t>
  </si>
  <si>
    <t>EARTHMOVING EQUIPMENT</t>
  </si>
  <si>
    <t>V2.01.01</t>
  </si>
  <si>
    <t>Per operating hour</t>
  </si>
  <si>
    <t>Plant log signed by Supt, min 4hrs</t>
  </si>
  <si>
    <t>V2.01.02</t>
  </si>
  <si>
    <t>Excavator - Mini (up to 5T)</t>
  </si>
  <si>
    <t>V2.01.03</t>
  </si>
  <si>
    <t>Excavator - Medium (5-15T)</t>
  </si>
  <si>
    <t>V2.01.04</t>
  </si>
  <si>
    <t>Excavator - Large (15T+)</t>
  </si>
  <si>
    <t>V2.01.05</t>
  </si>
  <si>
    <t>V2.01.06</t>
  </si>
  <si>
    <t>V2.01.07</t>
  </si>
  <si>
    <t>V2.01.08</t>
  </si>
  <si>
    <t>V2.01.09</t>
  </si>
  <si>
    <t>V2.01.10</t>
  </si>
  <si>
    <t>Skid Steer Loader</t>
  </si>
  <si>
    <t>COMPACTION EQUIPMENT</t>
  </si>
  <si>
    <t>V2.02.01</t>
  </si>
  <si>
    <t>Per calendar day</t>
  </si>
  <si>
    <t>Equipment daily log signed by Supt</t>
  </si>
  <si>
    <t>1 day</t>
  </si>
  <si>
    <t>V2.02.02</t>
  </si>
  <si>
    <t>V2.02.03</t>
  </si>
  <si>
    <t>Vibrating Roller - Walk Behind</t>
  </si>
  <si>
    <t>V2.02.04</t>
  </si>
  <si>
    <t>Vibrating Roller - Ride-on (up to 5T)</t>
  </si>
  <si>
    <t>V2.02.05</t>
  </si>
  <si>
    <t>Vibrating Roller - Ride-on (5T+)</t>
  </si>
  <si>
    <t>LIFTING EQUIPMENT</t>
  </si>
  <si>
    <t>V2.03.01</t>
  </si>
  <si>
    <t>Mobile Crane - Franna (up to 20T)</t>
  </si>
  <si>
    <t>Crane log signed by Supt, min 4hrs</t>
  </si>
  <si>
    <t>Incl. rigging gear</t>
  </si>
  <si>
    <t>V2.03.02</t>
  </si>
  <si>
    <t>Mobile Crane - All Terrain (25-50T)</t>
  </si>
  <si>
    <t>V2.03.03</t>
  </si>
  <si>
    <t>Mobile Crane - All Terrain (50T+)</t>
  </si>
  <si>
    <t>V2.03.04</t>
  </si>
  <si>
    <t>Forklift - 2.5T</t>
  </si>
  <si>
    <t>V2.03.05</t>
  </si>
  <si>
    <t>Forklift - 5T</t>
  </si>
  <si>
    <t>V2.03.06</t>
  </si>
  <si>
    <t>Telehandler (up to 4T)</t>
  </si>
  <si>
    <t>V2.03.07</t>
  </si>
  <si>
    <t>Telehandler (4T+)</t>
  </si>
  <si>
    <t>ACCESS EQUIPMENT</t>
  </si>
  <si>
    <t>V2.04.01</t>
  </si>
  <si>
    <t>Scissor Lift - Electric (up to 6m)</t>
  </si>
  <si>
    <t>V2.04.02</t>
  </si>
  <si>
    <t>Scissor Lift - Rough Terrain (8-12m)</t>
  </si>
  <si>
    <t>V2.04.03</t>
  </si>
  <si>
    <t>V2.04.04</t>
  </si>
  <si>
    <t>Boom Lift - Straight (15m+)</t>
  </si>
  <si>
    <t>V2.04.05</t>
  </si>
  <si>
    <t>Scaffolding - Standard (per m²)</t>
  </si>
  <si>
    <t>m²/wk</t>
  </si>
  <si>
    <t>Per m² per week</t>
  </si>
  <si>
    <t>Scaffold register updated</t>
  </si>
  <si>
    <t>1 wk</t>
  </si>
  <si>
    <t>Incl. erect/dismantle</t>
  </si>
  <si>
    <t>V2.04.06</t>
  </si>
  <si>
    <t>Mobile Scaffold Tower</t>
  </si>
  <si>
    <t>V2.04.07</t>
  </si>
  <si>
    <t>Ladder - Extension (per unit)</t>
  </si>
  <si>
    <t>CONCRETE EQUIPMENT</t>
  </si>
  <si>
    <t>V2.05.01</t>
  </si>
  <si>
    <t>Concrete Pump - Line Pump</t>
  </si>
  <si>
    <t>Pump dockets signed by Supt</t>
  </si>
  <si>
    <t>V2.05.02</t>
  </si>
  <si>
    <t>Concrete Pump - Boom Pump</t>
  </si>
  <si>
    <t>V2.05.03</t>
  </si>
  <si>
    <t>Concrete Mixer - 2.5m³</t>
  </si>
  <si>
    <t>V2.05.04</t>
  </si>
  <si>
    <t>Power Trowel</t>
  </si>
  <si>
    <t>V2.05.05</t>
  </si>
  <si>
    <t>Concrete Vibrator - Poker</t>
  </si>
  <si>
    <t>Vehicles</t>
  </si>
  <si>
    <t>VEHICLES &amp; TRANSPORT</t>
  </si>
  <si>
    <t>V2.06.01</t>
  </si>
  <si>
    <t>Utility Vehicle (Ute)</t>
  </si>
  <si>
    <t>Vehicle log signed by Supt</t>
  </si>
  <si>
    <t>V2.06.02</t>
  </si>
  <si>
    <t>Light Commercial Vehicle</t>
  </si>
  <si>
    <t>V2.06.03</t>
  </si>
  <si>
    <t>Truck - Rigid (up to 8T)</t>
  </si>
  <si>
    <t>Vehicle log signed by Supt, min 4hrs</t>
  </si>
  <si>
    <t>V2.06.04</t>
  </si>
  <si>
    <t>Truck - Tipper (10T+)</t>
  </si>
  <si>
    <t>V2.06.05</t>
  </si>
  <si>
    <t>Semi-Trailer</t>
  </si>
  <si>
    <t>Per load delivered</t>
  </si>
  <si>
    <t>Delivery docket signed by Supt</t>
  </si>
  <si>
    <t>1 load</t>
  </si>
  <si>
    <t>Power Tools</t>
  </si>
  <si>
    <t>POWER TOOLS &amp; HAND EQUIPMENT</t>
  </si>
  <si>
    <t>V2.07.01</t>
  </si>
  <si>
    <t>Rotary Hammer Drill</t>
  </si>
  <si>
    <t>Tool register updated</t>
  </si>
  <si>
    <t>V2.07.02</t>
  </si>
  <si>
    <t>Demolition Breaker - Electric</t>
  </si>
  <si>
    <t>V2.07.03</t>
  </si>
  <si>
    <t>Angle Grinder (230mm)</t>
  </si>
  <si>
    <t>V2.07.04</t>
  </si>
  <si>
    <t>Circular Saw</t>
  </si>
  <si>
    <t>V2.07.05</t>
  </si>
  <si>
    <t>Reciprocating Saw</t>
  </si>
  <si>
    <t>V2.07.06</t>
  </si>
  <si>
    <t>Welding Machine - MIG</t>
  </si>
  <si>
    <t>V2.07.07</t>
  </si>
  <si>
    <t>Welding Machine - Stick/Arc</t>
  </si>
  <si>
    <t>V2.07.08</t>
  </si>
  <si>
    <t>Air Compressor - Portable</t>
  </si>
  <si>
    <t>Power Supply</t>
  </si>
  <si>
    <t>GENERATORS &amp; TEMPORARY POWER</t>
  </si>
  <si>
    <t>V2.08.01</t>
  </si>
  <si>
    <t>Generator - 10kVA</t>
  </si>
  <si>
    <t>Excl. fuel</t>
  </si>
  <si>
    <t>V2.08.02</t>
  </si>
  <si>
    <t>Generator - 25kVA</t>
  </si>
  <si>
    <t>V2.08.03</t>
  </si>
  <si>
    <t>Generator - 50kVA</t>
  </si>
  <si>
    <t>V2.08.04</t>
  </si>
  <si>
    <t>Generator - 100kVA+</t>
  </si>
  <si>
    <t>V2.08.05</t>
  </si>
  <si>
    <t>Distribution Board - Temp</t>
  </si>
  <si>
    <t>Wk</t>
  </si>
  <si>
    <t>Per week on site</t>
  </si>
  <si>
    <t>Weekly site inspection</t>
  </si>
  <si>
    <t>V2.08.06</t>
  </si>
  <si>
    <t>Site Lighting - Tower</t>
  </si>
  <si>
    <t>MATERIALS RATES</t>
  </si>
  <si>
    <t>CONCRETE &amp; AGGREGATES</t>
  </si>
  <si>
    <t>V3.01.01</t>
  </si>
  <si>
    <t>Ready-Mix Concrete N20</t>
  </si>
  <si>
    <t>Per m³ delivered to site</t>
  </si>
  <si>
    <t>Delivery docket, slump test</t>
  </si>
  <si>
    <t>1 m³</t>
  </si>
  <si>
    <t>0.5 m³</t>
  </si>
  <si>
    <t>V3.01.02</t>
  </si>
  <si>
    <t>Ready-Mix Concrete N25</t>
  </si>
  <si>
    <t>V3.01.03</t>
  </si>
  <si>
    <t>Ready-Mix Concrete N32</t>
  </si>
  <si>
    <t>V3.01.04</t>
  </si>
  <si>
    <t>Ready-Mix Concrete N40</t>
  </si>
  <si>
    <t>V3.01.05</t>
  </si>
  <si>
    <t>Grout - Non-Shrink Cementitious</t>
  </si>
  <si>
    <t>kg</t>
  </si>
  <si>
    <t>Per kg supplied</t>
  </si>
  <si>
    <t>Delivery docket</t>
  </si>
  <si>
    <t>25 kg</t>
  </si>
  <si>
    <t>1 kg</t>
  </si>
  <si>
    <t>V3.01.06</t>
  </si>
  <si>
    <t>Aggregate - Road Base</t>
  </si>
  <si>
    <t>Per tonne delivered</t>
  </si>
  <si>
    <t>1 T</t>
  </si>
  <si>
    <t>0.5 T</t>
  </si>
  <si>
    <t>V3.01.07</t>
  </si>
  <si>
    <t>Sand - Bedding / Fill</t>
  </si>
  <si>
    <t>Steel</t>
  </si>
  <si>
    <t>STEEL &amp; REINFORCEMENT</t>
  </si>
  <si>
    <t>V3.02.01</t>
  </si>
  <si>
    <t>Reinforcement Bar - N12</t>
  </si>
  <si>
    <t>Per tonne supplied</t>
  </si>
  <si>
    <t>Mill cert, delivery docket</t>
  </si>
  <si>
    <t>0.1 T</t>
  </si>
  <si>
    <t>V3.02.02</t>
  </si>
  <si>
    <t>Reinforcement Bar - N16</t>
  </si>
  <si>
    <t>V3.02.03</t>
  </si>
  <si>
    <t>Reinforcement Bar - N20</t>
  </si>
  <si>
    <t>V3.02.04</t>
  </si>
  <si>
    <t>Reinforcement Mesh - SL82</t>
  </si>
  <si>
    <t>Per m² supplied</t>
  </si>
  <si>
    <t>10 m²</t>
  </si>
  <si>
    <t>1 m²</t>
  </si>
  <si>
    <t>V3.02.05</t>
  </si>
  <si>
    <t>V3.02.06</t>
  </si>
  <si>
    <t>V3.02.07</t>
  </si>
  <si>
    <t>Metal Decking - Bondek/equiv</t>
  </si>
  <si>
    <t>MASONRY &amp; BLOCKWORK</t>
  </si>
  <si>
    <t>V3.03.01</t>
  </si>
  <si>
    <t>Concrete Block - 190mm Standard</t>
  </si>
  <si>
    <t>Per block supplied</t>
  </si>
  <si>
    <t>100 units</t>
  </si>
  <si>
    <t>10 units</t>
  </si>
  <si>
    <t>V3.03.02</t>
  </si>
  <si>
    <t>Concrete Block - 290mm Core-Fill</t>
  </si>
  <si>
    <t>V3.03.03</t>
  </si>
  <si>
    <t>Fire-Rated Block - FRL 120/120/120</t>
  </si>
  <si>
    <t>Delivery docket, fire cert</t>
  </si>
  <si>
    <t>V3.03.04</t>
  </si>
  <si>
    <t>Mortar - Pre-mixed M3</t>
  </si>
  <si>
    <t>Per m³ supplied</t>
  </si>
  <si>
    <t>0.1 m³</t>
  </si>
  <si>
    <t>Timber</t>
  </si>
  <si>
    <t>TIMBER &amp; FRAMING</t>
  </si>
  <si>
    <t>V3.04.01</t>
  </si>
  <si>
    <t>Framing Timber - 90x45 Treated</t>
  </si>
  <si>
    <t>Lm</t>
  </si>
  <si>
    <t>Per lineal metre</t>
  </si>
  <si>
    <t>50 Lm</t>
  </si>
  <si>
    <t>1 Lm</t>
  </si>
  <si>
    <t>V3.04.02</t>
  </si>
  <si>
    <t>Framing Timber - 90x35 Treated</t>
  </si>
  <si>
    <t>V3.04.03</t>
  </si>
  <si>
    <t>LVL Beam (per m³)</t>
  </si>
  <si>
    <t>Per m³</t>
  </si>
  <si>
    <t>V3.04.04</t>
  </si>
  <si>
    <t>Plywood - Structural 17mm</t>
  </si>
  <si>
    <t>Per m²</t>
  </si>
  <si>
    <t>Linings</t>
  </si>
  <si>
    <t>LININGS &amp; INSULATION</t>
  </si>
  <si>
    <t>V3.05.01</t>
  </si>
  <si>
    <t>V3.05.02</t>
  </si>
  <si>
    <t>Plasterboard - 13mm Fire-Rated</t>
  </si>
  <si>
    <t>V3.05.03</t>
  </si>
  <si>
    <t>Plasterboard - 16mm Acoustic</t>
  </si>
  <si>
    <t>V3.05.04</t>
  </si>
  <si>
    <t>Fibre Cement Sheet - 6mm External</t>
  </si>
  <si>
    <t>V3.05.05</t>
  </si>
  <si>
    <t>Insulation - Glasswool R2.5 Batts</t>
  </si>
  <si>
    <t>V3.05.06</t>
  </si>
  <si>
    <t>Insulation - Glasswool R4.0 Batts</t>
  </si>
  <si>
    <t>V3.05.07</t>
  </si>
  <si>
    <t>Duct Insulation - 25mm Foil Faced</t>
  </si>
  <si>
    <t>FLOOR &amp; WALL FINISHES</t>
  </si>
  <si>
    <t>V3.06.01</t>
  </si>
  <si>
    <t>V3.06.02</t>
  </si>
  <si>
    <t>Vinyl Sheet - 2mm Commercial</t>
  </si>
  <si>
    <t>V3.06.03</t>
  </si>
  <si>
    <t>Ceramic Tile - Floor 300x300</t>
  </si>
  <si>
    <t>V3.06.04</t>
  </si>
  <si>
    <t>Ceramic Tile - Wall 200x200</t>
  </si>
  <si>
    <t>V3.06.05</t>
  </si>
  <si>
    <t>Paint - Interior Acrylic (per L)</t>
  </si>
  <si>
    <t>Litre</t>
  </si>
  <si>
    <t>Per litre</t>
  </si>
  <si>
    <t>10 L</t>
  </si>
  <si>
    <t>1 L</t>
  </si>
  <si>
    <t>V3.06.06</t>
  </si>
  <si>
    <t>Paint - Exterior Acrylic (per L)</t>
  </si>
  <si>
    <t>Roofing</t>
  </si>
  <si>
    <t>ROOFING &amp; CLADDING</t>
  </si>
  <si>
    <t>V3.07.01</t>
  </si>
  <si>
    <t>Metal Roofing - Colorbond Custom Orb</t>
  </si>
  <si>
    <t>V3.07.02</t>
  </si>
  <si>
    <t>Metal Roofing - Klip-Lok</t>
  </si>
  <si>
    <t>V3.07.03</t>
  </si>
  <si>
    <t>Wall Cladding - Colorbond</t>
  </si>
  <si>
    <t>V3.07.04</t>
  </si>
  <si>
    <t>Gutter - Quad 115mm Colorbond</t>
  </si>
  <si>
    <t>10 Lm</t>
  </si>
  <si>
    <t>V3.07.05</t>
  </si>
  <si>
    <t>Downpipe - 100mm Round Colorbond</t>
  </si>
  <si>
    <t>V3.07.06</t>
  </si>
  <si>
    <t>Roof Sarking - Sisalation</t>
  </si>
  <si>
    <t>50 m²</t>
  </si>
  <si>
    <t>MECHANICAL MATERIALS</t>
  </si>
  <si>
    <t>V3.08.01</t>
  </si>
  <si>
    <t>Ductwork - Galvanised Sheet</t>
  </si>
  <si>
    <t>Per kg fabricated</t>
  </si>
  <si>
    <t>Workshop cert, delivery docket</t>
  </si>
  <si>
    <t>50 kg</t>
  </si>
  <si>
    <t>V3.08.02</t>
  </si>
  <si>
    <t>Flexible Duct - Insulated 150dia</t>
  </si>
  <si>
    <t>V3.08.03</t>
  </si>
  <si>
    <t>Copper Pipe - 15mm Type B</t>
  </si>
  <si>
    <t>V3.08.04</t>
  </si>
  <si>
    <t>Refrigerant Pipe Set (pair)</t>
  </si>
  <si>
    <t>Per lineal metre pair</t>
  </si>
  <si>
    <t>V3.08.05</t>
  </si>
  <si>
    <t>Diffuser - 4-Way 300x300</t>
  </si>
  <si>
    <t>Per unit</t>
  </si>
  <si>
    <t>1 unit</t>
  </si>
  <si>
    <t>V3.08.06</t>
  </si>
  <si>
    <t>VAV Box - Complete (specify size)</t>
  </si>
  <si>
    <t>Delivery docket, data sheet</t>
  </si>
  <si>
    <t>ELECTRICAL MATERIALS</t>
  </si>
  <si>
    <t>V3.09.01</t>
  </si>
  <si>
    <t>100 Lm</t>
  </si>
  <si>
    <t>V3.09.02</t>
  </si>
  <si>
    <t>V3.09.03</t>
  </si>
  <si>
    <t>Cable - 16mm² 4C+E Armoured</t>
  </si>
  <si>
    <t>V3.09.04</t>
  </si>
  <si>
    <t>Cable Tray - 300W Perforated</t>
  </si>
  <si>
    <t>V3.09.05</t>
  </si>
  <si>
    <t>Conduit - 25mm Heavy Duty PVC</t>
  </si>
  <si>
    <t>V3.09.06</t>
  </si>
  <si>
    <t>LED Panel Light - 600x600</t>
  </si>
  <si>
    <t>V3.09.07</t>
  </si>
  <si>
    <t>GPO - Double 10A</t>
  </si>
  <si>
    <t>V3.09.08</t>
  </si>
  <si>
    <t>Data Outlet - Cat6A</t>
  </si>
  <si>
    <t>HYDRAULIC &amp; FIRE MATERIALS</t>
  </si>
  <si>
    <t>V3.10.01</t>
  </si>
  <si>
    <t>PVC Pipe - 100mm DWV</t>
  </si>
  <si>
    <t>V3.10.02</t>
  </si>
  <si>
    <t>HDPE Pipe - 100mm Stormwater</t>
  </si>
  <si>
    <t>V3.10.03</t>
  </si>
  <si>
    <t>Copper Pipe - 20mm Type B</t>
  </si>
  <si>
    <t>V3.10.04</t>
  </si>
  <si>
    <t>Pex Pipe - 16mm Hot/Cold</t>
  </si>
  <si>
    <t>V3.10.05</t>
  </si>
  <si>
    <t>Floor Waste - 100mm SS Grate</t>
  </si>
  <si>
    <t>V3.10.06</t>
  </si>
  <si>
    <t>Fire Sprinkler Head - Pendant</t>
  </si>
  <si>
    <t>Delivery docket, cert</t>
  </si>
  <si>
    <t>V3.10.07</t>
  </si>
  <si>
    <t>Fire Hose Reel - Complete</t>
  </si>
  <si>
    <t>V3.10.08</t>
  </si>
  <si>
    <t>Fire Extinguisher - 4.5kg ABE</t>
  </si>
  <si>
    <t>OVERHEAD, PROFIT &amp; MARGIN</t>
  </si>
  <si>
    <t>OVERHEAD ALLOWANCES</t>
  </si>
  <si>
    <t>V4.01.01</t>
  </si>
  <si>
    <t>Site Overhead - Per Week</t>
  </si>
  <si>
    <t>Per calendar week</t>
  </si>
  <si>
    <t>Weekly variation register</t>
  </si>
  <si>
    <t>Office, amenities, services</t>
  </si>
  <si>
    <t>V4.01.02</t>
  </si>
  <si>
    <t>Head Office Overhead (%)</t>
  </si>
  <si>
    <t>%</t>
  </si>
  <si>
    <t>% of variation direct cost</t>
  </si>
  <si>
    <t>Applied to variation total</t>
  </si>
  <si>
    <t>Typically 5-8%</t>
  </si>
  <si>
    <t>V4.01.03</t>
  </si>
  <si>
    <t>Insurance &amp; Bonds (%)</t>
  </si>
  <si>
    <t>% of variation value</t>
  </si>
  <si>
    <t>Per contract terms</t>
  </si>
  <si>
    <t>Margin</t>
  </si>
  <si>
    <t>MARGIN &amp; PROFIT</t>
  </si>
  <si>
    <t>V4.02.01</t>
  </si>
  <si>
    <t>Margin on Labour (%)</t>
  </si>
  <si>
    <t>% of labour costs</t>
  </si>
  <si>
    <t>Applied to daywork labour</t>
  </si>
  <si>
    <t>V4.02.02</t>
  </si>
  <si>
    <t>Margin on Plant (%)</t>
  </si>
  <si>
    <t>% of plant costs</t>
  </si>
  <si>
    <t>Applied to plant hire</t>
  </si>
  <si>
    <t>V4.02.03</t>
  </si>
  <si>
    <t>Margin on Materials (%)</t>
  </si>
  <si>
    <t>% of material costs</t>
  </si>
  <si>
    <t>Applied to materials</t>
  </si>
  <si>
    <t>V4.02.04</t>
  </si>
  <si>
    <t>Margin on Subcontractors (%)</t>
  </si>
  <si>
    <t>% of subcontract costs</t>
  </si>
  <si>
    <t>Applied to subcontract work</t>
  </si>
  <si>
    <t>Time-Related</t>
  </si>
  <si>
    <t>TIME-RELATED COSTS</t>
  </si>
  <si>
    <t>V4.03.01</t>
  </si>
  <si>
    <t>Delay Costs - Per Week</t>
  </si>
  <si>
    <t>Per calendar week delay</t>
  </si>
  <si>
    <t>EOT claim approved by Supt</t>
  </si>
  <si>
    <t>Prelims extension</t>
  </si>
  <si>
    <t>V4.03.02</t>
  </si>
  <si>
    <t>Acceleration Premium (%)</t>
  </si>
  <si>
    <t>% premium on accelerated work</t>
  </si>
  <si>
    <t>Acceleration direction issued</t>
  </si>
  <si>
    <t>As agreed per direction</t>
  </si>
  <si>
    <t>V4.03.03</t>
  </si>
  <si>
    <t>Standby / Waiting Time - Labour</t>
  </si>
  <si>
    <t>Per hour standby</t>
  </si>
  <si>
    <t>Standby record signed by Supt</t>
  </si>
  <si>
    <t>0.5 hr</t>
  </si>
  <si>
    <t>50% of normal rate</t>
  </si>
  <si>
    <t>V4.03.04</t>
  </si>
  <si>
    <t>Standby / Waiting Time - Plant</t>
  </si>
  <si>
    <t>50% of dry hire rate</t>
  </si>
  <si>
    <t>Drawing Ref#</t>
  </si>
  <si>
    <t>WBS Code</t>
  </si>
  <si>
    <t>Level</t>
  </si>
  <si>
    <t>WBS Description</t>
  </si>
  <si>
    <t>Pay Table Item</t>
  </si>
  <si>
    <t>Variation Item</t>
  </si>
  <si>
    <t>Responsibility</t>
  </si>
  <si>
    <t>Predecessor</t>
  </si>
  <si>
    <t>Successor</t>
  </si>
  <si>
    <t>Duration (Days)</t>
  </si>
  <si>
    <t>Start Milestone</t>
  </si>
  <si>
    <t>End Milestone</t>
  </si>
  <si>
    <t>Deliverable</t>
  </si>
  <si>
    <t>Contractor</t>
  </si>
  <si>
    <t>NTP</t>
  </si>
  <si>
    <t>PM</t>
  </si>
  <si>
    <t>PE</t>
  </si>
  <si>
    <t>CA</t>
  </si>
  <si>
    <t>SM</t>
  </si>
  <si>
    <t>QM</t>
  </si>
  <si>
    <t>Per structure</t>
  </si>
  <si>
    <t>Per item installed</t>
  </si>
  <si>
    <t>A7.01</t>
  </si>
  <si>
    <t>A7.02</t>
  </si>
  <si>
    <t>A7.03</t>
  </si>
  <si>
    <t>SOW 4.1, 9.2</t>
  </si>
  <si>
    <t>A0/01-02</t>
  </si>
  <si>
    <t>Site Clearing &amp; Stripping</t>
  </si>
  <si>
    <t>Per m² of area cleared</t>
  </si>
  <si>
    <t>Payment upon completion of clearing, stripping and stockpiling of topsoil</t>
  </si>
  <si>
    <t>A0/01-02, 25-595_A4</t>
  </si>
  <si>
    <t>Bulk Earthworks - Cut &amp; Fill</t>
  </si>
  <si>
    <t>Per m³ of material moved</t>
  </si>
  <si>
    <t>Payment upon compaction testing passed</t>
  </si>
  <si>
    <t>Subgrade Compaction &amp; Proof Rolling</t>
  </si>
  <si>
    <t>Per m² of area compacted</t>
  </si>
  <si>
    <t>Payment upon compaction certificate issued</t>
  </si>
  <si>
    <t>Import of Approved Fill Material</t>
  </si>
  <si>
    <t>Per m³ delivered and placed</t>
  </si>
  <si>
    <t>Delivery dockets, compaction tests</t>
  </si>
  <si>
    <t>SOW 4.5, 9.4</t>
  </si>
  <si>
    <t>690a-d, A0/02</t>
  </si>
  <si>
    <t>Stormwater Pipes &amp; Fittings</t>
  </si>
  <si>
    <t>60% supply delivered, 40% installed &amp; tested</t>
  </si>
  <si>
    <t>Stormwater Pits &amp; Grates</t>
  </si>
  <si>
    <t>Per pit complete</t>
  </si>
  <si>
    <t>50% supply, 50% installed with lid/grate</t>
  </si>
  <si>
    <t>A0/02</t>
  </si>
  <si>
    <t>Headwalls &amp; Outlet Structures</t>
  </si>
  <si>
    <t>Per structure complete</t>
  </si>
  <si>
    <t>Per structure complete including erosion protection</t>
  </si>
  <si>
    <t>SOW 9.4, 5.1</t>
  </si>
  <si>
    <t>Stormwater Testing &amp; CCTV</t>
  </si>
  <si>
    <t>Lump sum upon completion</t>
  </si>
  <si>
    <t>Test certificates and CCTV report submitted</t>
  </si>
  <si>
    <t>SOW 4.4, 9.3</t>
  </si>
  <si>
    <t>Electrical Service Trenching &amp; Conduits</t>
  </si>
  <si>
    <t>Per linear metre complete</t>
  </si>
  <si>
    <t>Trench, conduit, backfill, compaction</t>
  </si>
  <si>
    <t>Communications Service Trenching</t>
  </si>
  <si>
    <t>Trench, conduit, pit, backfill</t>
  </si>
  <si>
    <t>SOW 4.5, 9.3</t>
  </si>
  <si>
    <t>Hydraulic Service Trenching</t>
  </si>
  <si>
    <t>Trench, pipe, backfill, testing</t>
  </si>
  <si>
    <t>Service Pits &amp; Duct Banks</t>
  </si>
  <si>
    <t>Pit installed with lids and frames</t>
  </si>
  <si>
    <t>Road Subbase Preparation</t>
  </si>
  <si>
    <t>Per m² of subbase prepared</t>
  </si>
  <si>
    <t>Compaction test certificates</t>
  </si>
  <si>
    <t>Road Base Course</t>
  </si>
  <si>
    <t>Per m² of base laid</t>
  </si>
  <si>
    <t>Material delivery, compaction tests</t>
  </si>
  <si>
    <t>Asphalt Wearing Course</t>
  </si>
  <si>
    <t>Per m² of asphalt laid</t>
  </si>
  <si>
    <t>Material delivered, surface complete</t>
  </si>
  <si>
    <t>Road Line Marking &amp; Signage</t>
  </si>
  <si>
    <t>Line marking and signage complete</t>
  </si>
  <si>
    <t>Wheel Stops &amp; Bollards</t>
  </si>
  <si>
    <t>SOW 9.5.1</t>
  </si>
  <si>
    <t>A0/01-02, A4/01</t>
  </si>
  <si>
    <t>Concrete Footpaths</t>
  </si>
  <si>
    <t>SOW 9.5.1, 9.6.1</t>
  </si>
  <si>
    <t>Access Ramps (DDA Compliant)</t>
  </si>
  <si>
    <t>Per ramp complete</t>
  </si>
  <si>
    <t>SOW 9.5.2</t>
  </si>
  <si>
    <t>Security Fencing</t>
  </si>
  <si>
    <t>Per gate installed</t>
  </si>
  <si>
    <t>Gate supplied, installed, operational</t>
  </si>
  <si>
    <t>External Handrails &amp; Balustrades</t>
  </si>
  <si>
    <t>Posts, rails, infill complete</t>
  </si>
  <si>
    <t>SOW 9.5.3</t>
  </si>
  <si>
    <t>25-595_A4, A0/02</t>
  </si>
  <si>
    <t>Footing, wall, drainage, backfill</t>
  </si>
  <si>
    <t>SOW 9.6.1</t>
  </si>
  <si>
    <t>SOW 9.6.2</t>
  </si>
  <si>
    <t>Per tree planted</t>
  </si>
  <si>
    <t>SOW 9.5.4</t>
  </si>
  <si>
    <t>Per structure installed</t>
  </si>
  <si>
    <t>Courtyard Retaining Wall</t>
  </si>
  <si>
    <t>Irrigation System</t>
  </si>
  <si>
    <t>Lump sum</t>
  </si>
  <si>
    <t>Per Lm installed</t>
  </si>
  <si>
    <t>WAREHOUSE (Bldg 103)</t>
  </si>
  <si>
    <t>A0/01-02, A3/01</t>
  </si>
  <si>
    <t>Warehouse Parking Area</t>
  </si>
  <si>
    <t>Subbase + paving complete</t>
  </si>
  <si>
    <t>Loading Dock Aprons</t>
  </si>
  <si>
    <t>Concrete poured and finished</t>
  </si>
  <si>
    <t>Warehouse Footpaths &amp; Access</t>
  </si>
  <si>
    <t>Formwork, concrete, finish</t>
  </si>
  <si>
    <t>Warehouse Security Fencing</t>
  </si>
  <si>
    <t>Posts, rails, mesh complete</t>
  </si>
  <si>
    <t>Warehouse Gates</t>
  </si>
  <si>
    <t>WORKSHOP (Bldg 102)</t>
  </si>
  <si>
    <t>A0/01-02, A2/01</t>
  </si>
  <si>
    <t>Workshop Parking Area</t>
  </si>
  <si>
    <t>Workshop Hardstand &amp; Aprons</t>
  </si>
  <si>
    <t>Workshop Footpaths &amp; Access</t>
  </si>
  <si>
    <t>Workshop Compound Fencing</t>
  </si>
  <si>
    <t>Workshop Gates</t>
  </si>
  <si>
    <t>Workshop External Lighting</t>
  </si>
  <si>
    <t>Per light installed</t>
  </si>
  <si>
    <t>Pole, fixture, cabling complete</t>
  </si>
  <si>
    <t>SOW 9.6</t>
  </si>
  <si>
    <t>Workshop Landscaping Allowance</t>
  </si>
  <si>
    <t>Turf, planting as required</t>
  </si>
  <si>
    <t>REGISTRY (Bldg 101)</t>
  </si>
  <si>
    <t>A0/01-02, A1/01-02</t>
  </si>
  <si>
    <t>Registry Parking Area</t>
  </si>
  <si>
    <t>Registry Footpaths &amp; Entry</t>
  </si>
  <si>
    <t>Registry Access Ramps (DDA)</t>
  </si>
  <si>
    <t>Structure, handrails, TGSIs</t>
  </si>
  <si>
    <t>Registry Landscaping - Hardscape</t>
  </si>
  <si>
    <t>Paving, edging complete</t>
  </si>
  <si>
    <t>Registry Landscaping - Softscape</t>
  </si>
  <si>
    <t>Turf/planting, mulch complete</t>
  </si>
  <si>
    <t>Registry External Lighting</t>
  </si>
  <si>
    <t>Registry Perimeter Works</t>
  </si>
  <si>
    <t>Fencing, gates as required</t>
  </si>
  <si>
    <t>New Office Parking Area - Subbase</t>
  </si>
  <si>
    <t>Subbase compacted, tested</t>
  </si>
  <si>
    <t>New Office Parking Area - Paving</t>
  </si>
  <si>
    <t>Paving/concrete surface complete</t>
  </si>
  <si>
    <t>Carpark Line Marking &amp; Signage</t>
  </si>
  <si>
    <t>Supply and fix complete</t>
  </si>
  <si>
    <t>Formwork, pour, finish</t>
  </si>
  <si>
    <t>Feature Paver Footpaths - Entry</t>
  </si>
  <si>
    <t>Bedding, pavers laid, sealed</t>
  </si>
  <si>
    <t>External Stairs &amp; Landings</t>
  </si>
  <si>
    <t>Per flight complete</t>
  </si>
  <si>
    <t>Structure, treads, handrails</t>
  </si>
  <si>
    <t>Per Lm complete</t>
  </si>
  <si>
    <t>Pedestrian &amp; Vehicle Gates</t>
  </si>
  <si>
    <t>Courtyard Hardscape Paving</t>
  </si>
  <si>
    <t>Paving, edging, integration</t>
  </si>
  <si>
    <t>Turf Areas</t>
  </si>
  <si>
    <t>Soil prep, turf supply, laying</t>
  </si>
  <si>
    <t>Garden Beds - Shrubs &amp; Groundcover</t>
  </si>
  <si>
    <t>Soil, plants, mulch complete</t>
  </si>
  <si>
    <t>Feature Trees</t>
  </si>
  <si>
    <t>Tree supply, planting, staking</t>
  </si>
  <si>
    <t>Pipes, heads, controller complete</t>
  </si>
  <si>
    <t>External &amp; Landscape Lighting</t>
  </si>
  <si>
    <t>Shade Structures - Courtyard</t>
  </si>
  <si>
    <t>Footings, structure, membrane</t>
  </si>
  <si>
    <t>Civil/External</t>
  </si>
  <si>
    <t>CIVIL &amp; EXTERNAL WORKS MATERIALS</t>
  </si>
  <si>
    <t>V3.11.01</t>
  </si>
  <si>
    <t>Asphalt Paving (per m²)</t>
  </si>
  <si>
    <t>Delivery docket + install</t>
  </si>
  <si>
    <t>V3.11.02</t>
  </si>
  <si>
    <t>Concrete Paving - Plain</t>
  </si>
  <si>
    <t>Per m² poured</t>
  </si>
  <si>
    <t>Delivery docket + pour</t>
  </si>
  <si>
    <t>5 m²</t>
  </si>
  <si>
    <t>V3.11.03</t>
  </si>
  <si>
    <t>Concrete Paving - Coloured</t>
  </si>
  <si>
    <t>V3.11.04</t>
  </si>
  <si>
    <t>Interlocking Pavers - Standard</t>
  </si>
  <si>
    <t>Supply + install complete</t>
  </si>
  <si>
    <t>V3.11.05</t>
  </si>
  <si>
    <t>Interlocking Pavers - Premium</t>
  </si>
  <si>
    <t>V3.11.06</t>
  </si>
  <si>
    <t>Kerb &amp; Channel - Concrete</t>
  </si>
  <si>
    <t>5 Lm</t>
  </si>
  <si>
    <t>V3.11.07</t>
  </si>
  <si>
    <t>Concrete Edging</t>
  </si>
  <si>
    <t>V3.11.08</t>
  </si>
  <si>
    <t>Chain Wire Fence - 1.8m</t>
  </si>
  <si>
    <t>V3.11.09</t>
  </si>
  <si>
    <t>Chain Wire Fence - 2.4m Security</t>
  </si>
  <si>
    <t>V3.11.10</t>
  </si>
  <si>
    <t>Steel Tubular Fence - PC</t>
  </si>
  <si>
    <t>V3.11.11</t>
  </si>
  <si>
    <t>Swing Gate - Single Pedestrian</t>
  </si>
  <si>
    <t>Per gate</t>
  </si>
  <si>
    <t>1 No.</t>
  </si>
  <si>
    <t>V3.11.12</t>
  </si>
  <si>
    <t>Swing Gate - Double Vehicle</t>
  </si>
  <si>
    <t>V3.11.13</t>
  </si>
  <si>
    <t>Sliding Gate - Motorised</t>
  </si>
  <si>
    <t>Supply + install + commission</t>
  </si>
  <si>
    <t>V3.11.14</t>
  </si>
  <si>
    <t>Decorative Gravel / Mulch</t>
  </si>
  <si>
    <t>Supply + spread complete</t>
  </si>
  <si>
    <t>V3.11.15</t>
  </si>
  <si>
    <t>Garden Bed Edging - Steel</t>
  </si>
  <si>
    <t>V3.11.16</t>
  </si>
  <si>
    <t>Retaining Wall Block</t>
  </si>
  <si>
    <t>Per m² face area</t>
  </si>
  <si>
    <t>V3.11.17</t>
  </si>
  <si>
    <t>Turf - Supply &amp; Lay</t>
  </si>
  <si>
    <t>Supply + lay complete</t>
  </si>
  <si>
    <t>20 m²</t>
  </si>
  <si>
    <t>V3.11.18</t>
  </si>
  <si>
    <t>Topsoil - Imported</t>
  </si>
  <si>
    <t>Delivery docket + spread</t>
  </si>
  <si>
    <t>V3.11.19</t>
  </si>
  <si>
    <t>Shrubs - 200mm pot</t>
  </si>
  <si>
    <t>Per plant</t>
  </si>
  <si>
    <t>Supply + plant complete</t>
  </si>
  <si>
    <t>5 No.</t>
  </si>
  <si>
    <t>V3.11.20</t>
  </si>
  <si>
    <t>Groundcover - 140mm pot</t>
  </si>
  <si>
    <t>10 No.</t>
  </si>
  <si>
    <t>V3.11.21</t>
  </si>
  <si>
    <t>Feature Tree - 45L</t>
  </si>
  <si>
    <t>Per tree</t>
  </si>
  <si>
    <t>Supply + plant + stake</t>
  </si>
  <si>
    <t>V3.11.22</t>
  </si>
  <si>
    <t>Feature Tree - 100L</t>
  </si>
  <si>
    <t>V3.11.23</t>
  </si>
  <si>
    <t>Irrigation - Pop-up Sprinkler</t>
  </si>
  <si>
    <t>Per head</t>
  </si>
  <si>
    <t>Supply + install + test</t>
  </si>
  <si>
    <t>V3.11.24</t>
  </si>
  <si>
    <t>Irrigation - Drip Line</t>
  </si>
  <si>
    <t>V3.11.25</t>
  </si>
  <si>
    <t>Irrigation Controller</t>
  </si>
  <si>
    <t>Per controller</t>
  </si>
  <si>
    <t>V3.11.26</t>
  </si>
  <si>
    <t>Wheel Stop - Concrete</t>
  </si>
  <si>
    <t>Per wheel stop</t>
  </si>
  <si>
    <t>Supply + fix complete</t>
  </si>
  <si>
    <t>V3.11.27</t>
  </si>
  <si>
    <t>Bollard - Steel Fixed</t>
  </si>
  <si>
    <t>Per bollard</t>
  </si>
  <si>
    <t>V3.11.28</t>
  </si>
  <si>
    <t>Shade Structure - Cantilever</t>
  </si>
  <si>
    <t>V3.11.29</t>
  </si>
  <si>
    <t>External Bench Seat</t>
  </si>
  <si>
    <t>Per seat</t>
  </si>
  <si>
    <t>V3.11.30</t>
  </si>
  <si>
    <t>Bike Rack - 5 Capacity</t>
  </si>
  <si>
    <t>Per rack</t>
  </si>
  <si>
    <t>TRAVEL ALLOWANCES</t>
  </si>
  <si>
    <t>A7.01.01</t>
  </si>
  <si>
    <t>Vehicle Allowance (Site Vehicle)</t>
  </si>
  <si>
    <t>A7.01.02</t>
  </si>
  <si>
    <t>Flights Allowance (Key Personnel)</t>
  </si>
  <si>
    <t>Trip</t>
  </si>
  <si>
    <t>A7.01.03</t>
  </si>
  <si>
    <t>Mileage / Fuel Reimbursement</t>
  </si>
  <si>
    <t>ACCOMMODATION</t>
  </si>
  <si>
    <t>A7.02.01</t>
  </si>
  <si>
    <t>Management Personnel Accommodation</t>
  </si>
  <si>
    <t>Night</t>
  </si>
  <si>
    <t>A7.02.02</t>
  </si>
  <si>
    <t>Supervision Personnel Accommodation</t>
  </si>
  <si>
    <t>A7.02.03</t>
  </si>
  <si>
    <t>Workforce Accommodation Allowance</t>
  </si>
  <si>
    <t>MEALS &amp; INCIDENTALS</t>
  </si>
  <si>
    <t>A7.03.01</t>
  </si>
  <si>
    <t>Meals Allowance (Per Diem)</t>
  </si>
  <si>
    <t>A7.03.02</t>
  </si>
  <si>
    <t>Incidental Expenses Allowance</t>
  </si>
  <si>
    <t>REMOTE AREA ALLOWANCES</t>
  </si>
  <si>
    <t>A7.04</t>
  </si>
  <si>
    <t>A7.04.01</t>
  </si>
  <si>
    <t>Site Disability / Remote Area Allowance</t>
  </si>
  <si>
    <t>A7.04.02</t>
  </si>
  <si>
    <t>Living Away from Home Allowance (LAFHA)</t>
  </si>
  <si>
    <t>1.01.01</t>
  </si>
  <si>
    <t>1.01.02</t>
  </si>
  <si>
    <t>1.01.03</t>
  </si>
  <si>
    <t>1.01.04</t>
  </si>
  <si>
    <t>1.01.05</t>
  </si>
  <si>
    <t>1.01.06</t>
  </si>
  <si>
    <t>1.01.07</t>
  </si>
  <si>
    <t>1.01.08</t>
  </si>
  <si>
    <t>1.01.09</t>
  </si>
  <si>
    <t>1.01.10</t>
  </si>
  <si>
    <t>1.02.01</t>
  </si>
  <si>
    <t>1.02.02</t>
  </si>
  <si>
    <t>1.02.03</t>
  </si>
  <si>
    <t>1.02.04</t>
  </si>
  <si>
    <t>1.02.05</t>
  </si>
  <si>
    <t>1.02.06</t>
  </si>
  <si>
    <t>1.02.07</t>
  </si>
  <si>
    <t>1.03.01</t>
  </si>
  <si>
    <t>1.03.02</t>
  </si>
  <si>
    <t>1.03.03</t>
  </si>
  <si>
    <t>1.03.04</t>
  </si>
  <si>
    <t>1.03.05</t>
  </si>
  <si>
    <t>1.04.01</t>
  </si>
  <si>
    <t>1.04.02</t>
  </si>
  <si>
    <t>1.04.03</t>
  </si>
  <si>
    <t>1.05.01</t>
  </si>
  <si>
    <t>1.05.02</t>
  </si>
  <si>
    <t>1.05.03</t>
  </si>
  <si>
    <t>1.05.04</t>
  </si>
  <si>
    <t>1.05.05</t>
  </si>
  <si>
    <t>1.05.06</t>
  </si>
  <si>
    <t>1.05.07</t>
  </si>
  <si>
    <t>2.06.01</t>
  </si>
  <si>
    <t>2.06.02</t>
  </si>
  <si>
    <t>2.06.03</t>
  </si>
  <si>
    <t>2.06.04</t>
  </si>
  <si>
    <t>2.07.01</t>
  </si>
  <si>
    <t>2.07.02</t>
  </si>
  <si>
    <t>2.07.03</t>
  </si>
  <si>
    <t>2.08.01</t>
  </si>
  <si>
    <t>2.08.02</t>
  </si>
  <si>
    <t>2.08.03</t>
  </si>
  <si>
    <t>2.08.04</t>
  </si>
  <si>
    <t>2.09.01</t>
  </si>
  <si>
    <t>2.09.02</t>
  </si>
  <si>
    <t>2.09.03</t>
  </si>
  <si>
    <t>2.09.04</t>
  </si>
  <si>
    <t>3.11.01</t>
  </si>
  <si>
    <t>3.11.02</t>
  </si>
  <si>
    <t>3.11.03</t>
  </si>
  <si>
    <t>3.11.04</t>
  </si>
  <si>
    <t>3.12.01</t>
  </si>
  <si>
    <t>3.12.02</t>
  </si>
  <si>
    <t>3.12.03</t>
  </si>
  <si>
    <t>3.12.04</t>
  </si>
  <si>
    <t>3.12.05</t>
  </si>
  <si>
    <t>3.12.06</t>
  </si>
  <si>
    <t>3.13.01</t>
  </si>
  <si>
    <t>3.13.02</t>
  </si>
  <si>
    <t>3.13.03</t>
  </si>
  <si>
    <t>3.13.04</t>
  </si>
  <si>
    <t>3.13.05</t>
  </si>
  <si>
    <t>3.13.06</t>
  </si>
  <si>
    <t>3.13.07</t>
  </si>
  <si>
    <t>7.01.01</t>
  </si>
  <si>
    <t>7.01.02</t>
  </si>
  <si>
    <t>7.01.03</t>
  </si>
  <si>
    <t>7.02.01</t>
  </si>
  <si>
    <t>7.02.02</t>
  </si>
  <si>
    <t>7.02.03</t>
  </si>
  <si>
    <t>7.03.01</t>
  </si>
  <si>
    <t>7.03.02</t>
  </si>
  <si>
    <t>7.04.01</t>
  </si>
  <si>
    <t>7.04.02</t>
  </si>
  <si>
    <t>1.06.01</t>
  </si>
  <si>
    <t>1.06.02</t>
  </si>
  <si>
    <t>P</t>
  </si>
  <si>
    <t>P1.01</t>
  </si>
  <si>
    <t>P1.01.01</t>
  </si>
  <si>
    <t>P1.01.02</t>
  </si>
  <si>
    <t>P1.01.03</t>
  </si>
  <si>
    <t>P1.02</t>
  </si>
  <si>
    <t>P1.02.01</t>
  </si>
  <si>
    <t>P1.02.02</t>
  </si>
  <si>
    <t>P1.02.03</t>
  </si>
  <si>
    <t>P1.04</t>
  </si>
  <si>
    <t>P1.04.01</t>
  </si>
  <si>
    <t>P1.04.02</t>
  </si>
  <si>
    <t>P1.04.03</t>
  </si>
  <si>
    <t>P1.05</t>
  </si>
  <si>
    <t>P1.05.01</t>
  </si>
  <si>
    <t>P1.05.02</t>
  </si>
  <si>
    <t>P1.05.03</t>
  </si>
  <si>
    <t>P1.06</t>
  </si>
  <si>
    <t>P1.06.01</t>
  </si>
  <si>
    <t>P1.06.02</t>
  </si>
  <si>
    <t>STORMWATER</t>
  </si>
  <si>
    <t>EARTHWORKS</t>
  </si>
  <si>
    <t>TRENCHING</t>
  </si>
  <si>
    <t>ROADS</t>
  </si>
  <si>
    <t>01</t>
  </si>
  <si>
    <t>02</t>
  </si>
  <si>
    <t>03</t>
  </si>
  <si>
    <t>04</t>
  </si>
  <si>
    <t>05</t>
  </si>
  <si>
    <t>06</t>
  </si>
  <si>
    <t>07</t>
  </si>
  <si>
    <t>08</t>
  </si>
  <si>
    <t>09</t>
  </si>
  <si>
    <t>10</t>
  </si>
  <si>
    <t>11</t>
  </si>
  <si>
    <t>12</t>
  </si>
  <si>
    <t>13</t>
  </si>
  <si>
    <t>WBS Ref#</t>
  </si>
  <si>
    <t>Demolition Complete, Clearance Certificate</t>
  </si>
  <si>
    <t>Windows Installed, Glazing Certificate</t>
  </si>
  <si>
    <t>Contingency Expenditure Records</t>
  </si>
  <si>
    <t>A2.01</t>
  </si>
  <si>
    <t>A2.01.01</t>
  </si>
  <si>
    <t>A2.01.02</t>
  </si>
  <si>
    <t>A2.01.03</t>
  </si>
  <si>
    <t>A2.01.04</t>
  </si>
  <si>
    <t>A2.01.05</t>
  </si>
  <si>
    <t>A2.01.06</t>
  </si>
  <si>
    <t>A2.02.01</t>
  </si>
  <si>
    <t>A2.02.02</t>
  </si>
  <si>
    <t>A2.02.03</t>
  </si>
  <si>
    <t>A2.03.01</t>
  </si>
  <si>
    <t>A2.03.02</t>
  </si>
  <si>
    <t>A2.03.03</t>
  </si>
  <si>
    <t>A2.03.04</t>
  </si>
  <si>
    <t>A2.03.05</t>
  </si>
  <si>
    <t>A2.04.01</t>
  </si>
  <si>
    <t>A2.04.02</t>
  </si>
  <si>
    <t>A2.04.03</t>
  </si>
  <si>
    <t>A2.04.04</t>
  </si>
  <si>
    <t>A2.04.05</t>
  </si>
  <si>
    <t>A2.04.06</t>
  </si>
  <si>
    <t>A2.04.07</t>
  </si>
  <si>
    <t>A2.05.01</t>
  </si>
  <si>
    <t>A2.05.02</t>
  </si>
  <si>
    <t>A2.05.03</t>
  </si>
  <si>
    <t>A2.05.04</t>
  </si>
  <si>
    <t>A2.05.05</t>
  </si>
  <si>
    <t>A2.05.06</t>
  </si>
  <si>
    <t>A3.08.05</t>
  </si>
  <si>
    <t>A2.07.04</t>
  </si>
  <si>
    <t>A4.01.01</t>
  </si>
  <si>
    <t>A3.01.02</t>
  </si>
  <si>
    <t>A3.01.03</t>
  </si>
  <si>
    <t>A3.01.04</t>
  </si>
  <si>
    <t>A3.01.05</t>
  </si>
  <si>
    <t>A3.01.06</t>
  </si>
  <si>
    <t>A3.01.07</t>
  </si>
  <si>
    <t>A3.02.01</t>
  </si>
  <si>
    <t>A3.02.02</t>
  </si>
  <si>
    <t>A3.02.03</t>
  </si>
  <si>
    <t>A3.02.04</t>
  </si>
  <si>
    <t>A3.02.05</t>
  </si>
  <si>
    <t>A3.02.06</t>
  </si>
  <si>
    <t>A3.02.07</t>
  </si>
  <si>
    <t>A3.02.08</t>
  </si>
  <si>
    <t>A3.03.07</t>
  </si>
  <si>
    <t>A0.13</t>
  </si>
  <si>
    <t>A3.04.01</t>
  </si>
  <si>
    <t>A3.04.02</t>
  </si>
  <si>
    <t>A3.04.03</t>
  </si>
  <si>
    <t>A3.04.04</t>
  </si>
  <si>
    <t>A3.05.01</t>
  </si>
  <si>
    <t>A3.05.02</t>
  </si>
  <si>
    <t>A3.05.03</t>
  </si>
  <si>
    <t>A3.05.04</t>
  </si>
  <si>
    <t>A3.05.05</t>
  </si>
  <si>
    <t>A3.05.06</t>
  </si>
  <si>
    <t>A3.06.01</t>
  </si>
  <si>
    <t>A3.06.02</t>
  </si>
  <si>
    <t>A3.06.03</t>
  </si>
  <si>
    <t>A3.06.04</t>
  </si>
  <si>
    <t>A3.06.05</t>
  </si>
  <si>
    <t>A3.06.06</t>
  </si>
  <si>
    <t>A3.07.01</t>
  </si>
  <si>
    <t>A3.07.02</t>
  </si>
  <si>
    <t>A3.07.03</t>
  </si>
  <si>
    <t>A3.07.04</t>
  </si>
  <si>
    <t>A3.07.05</t>
  </si>
  <si>
    <t>A3.07.06</t>
  </si>
  <si>
    <t>A3.07.07</t>
  </si>
  <si>
    <t>A3.07.08</t>
  </si>
  <si>
    <t>A3.08.01</t>
  </si>
  <si>
    <t>A3.08.02</t>
  </si>
  <si>
    <t>A3.08.03</t>
  </si>
  <si>
    <t>A3.08.04</t>
  </si>
  <si>
    <t>A3.09.01</t>
  </si>
  <si>
    <t>A3.09.02</t>
  </si>
  <si>
    <t>A3.09.03</t>
  </si>
  <si>
    <t>A3.09.04</t>
  </si>
  <si>
    <t>A3.09.05</t>
  </si>
  <si>
    <t>A3.10</t>
  </si>
  <si>
    <t>A3.10.01</t>
  </si>
  <si>
    <t>A3.10.02</t>
  </si>
  <si>
    <t>A3.10.03</t>
  </si>
  <si>
    <t>A3.10.04</t>
  </si>
  <si>
    <t>A3.10.05</t>
  </si>
  <si>
    <t>A3.10.06</t>
  </si>
  <si>
    <t>A3.13.08</t>
  </si>
  <si>
    <t>A3.13.09</t>
  </si>
  <si>
    <t>A3.13.10</t>
  </si>
  <si>
    <t>A3.13.11</t>
  </si>
  <si>
    <t>A3.13.12</t>
  </si>
  <si>
    <t>A3.13.13</t>
  </si>
  <si>
    <t>A3.13.14</t>
  </si>
  <si>
    <t>A3.13.15</t>
  </si>
  <si>
    <t>A3.13.16</t>
  </si>
  <si>
    <t>A3.13.17</t>
  </si>
  <si>
    <t>A3.13.18</t>
  </si>
  <si>
    <t>A3.13.19</t>
  </si>
  <si>
    <t>A4.01.02</t>
  </si>
  <si>
    <t>A4.02.01</t>
  </si>
  <si>
    <t>A4.02.02</t>
  </si>
  <si>
    <t>A5.02.02</t>
  </si>
  <si>
    <t>A5.04.01</t>
  </si>
  <si>
    <t>A5.04.02</t>
  </si>
  <si>
    <t>A4.04.03</t>
  </si>
  <si>
    <t>A4.04.04</t>
  </si>
  <si>
    <t>A6.07.04</t>
  </si>
  <si>
    <t>A4.05.01</t>
  </si>
  <si>
    <t>A4.05.02</t>
  </si>
  <si>
    <t>A4.05.03</t>
  </si>
  <si>
    <t>A6.07.05</t>
  </si>
  <si>
    <t>A0.13.01</t>
  </si>
  <si>
    <t>A0.13.02</t>
  </si>
  <si>
    <t>A0.13.03</t>
  </si>
  <si>
    <t>A0.13.04</t>
  </si>
  <si>
    <t>A0.13.05</t>
  </si>
  <si>
    <t>A0.13.06</t>
  </si>
  <si>
    <t>A0.13.07</t>
  </si>
  <si>
    <t>A5.01.01</t>
  </si>
  <si>
    <t>A5.02.01</t>
  </si>
  <si>
    <t>A5.04.03</t>
  </si>
  <si>
    <t>A5.05.01</t>
  </si>
  <si>
    <t>A5.05.02</t>
  </si>
  <si>
    <t>A0.13.09</t>
  </si>
  <si>
    <t>A0.13.10</t>
  </si>
  <si>
    <t>A0.13.11</t>
  </si>
  <si>
    <t>A0.13.12</t>
  </si>
  <si>
    <t>A0.13.13</t>
  </si>
  <si>
    <t>A0.13.14</t>
  </si>
  <si>
    <t>A0.13.15</t>
  </si>
  <si>
    <t>A6.07.01</t>
  </si>
  <si>
    <t>A6.07.02</t>
  </si>
  <si>
    <t>A6.07.03</t>
  </si>
  <si>
    <t>A0.13.17</t>
  </si>
  <si>
    <t>A0.13.18</t>
  </si>
  <si>
    <t>A0.13.19</t>
  </si>
  <si>
    <t>A0.13.20</t>
  </si>
  <si>
    <t>A0.13.21</t>
  </si>
  <si>
    <t>P1.04.05</t>
  </si>
  <si>
    <t>P1.04.06</t>
  </si>
  <si>
    <t>P1.04.07</t>
  </si>
  <si>
    <t>2.01.01</t>
  </si>
  <si>
    <t>2.01.02</t>
  </si>
  <si>
    <t>2.01.03</t>
  </si>
  <si>
    <t>2.01.04</t>
  </si>
  <si>
    <t>2.01.05</t>
  </si>
  <si>
    <t>2.01.06</t>
  </si>
  <si>
    <t>2.02.01</t>
  </si>
  <si>
    <t>2.02.02</t>
  </si>
  <si>
    <t>2.02.03</t>
  </si>
  <si>
    <t>2.03.01</t>
  </si>
  <si>
    <t>2.03.02</t>
  </si>
  <si>
    <t>2.03.03</t>
  </si>
  <si>
    <t>2.03.04</t>
  </si>
  <si>
    <t>2.03.05</t>
  </si>
  <si>
    <t>2.04.01</t>
  </si>
  <si>
    <t>2.04.02</t>
  </si>
  <si>
    <t>2.04.03</t>
  </si>
  <si>
    <t>2.04.04</t>
  </si>
  <si>
    <t>2.04.05</t>
  </si>
  <si>
    <t>2.04.06</t>
  </si>
  <si>
    <t>2.04.07</t>
  </si>
  <si>
    <t>2.05.01</t>
  </si>
  <si>
    <t>2.05.02</t>
  </si>
  <si>
    <t>2.05.03</t>
  </si>
  <si>
    <t>2.05.04</t>
  </si>
  <si>
    <t>2.05.05</t>
  </si>
  <si>
    <t>2.05.06</t>
  </si>
  <si>
    <t>3.08.05</t>
  </si>
  <si>
    <t>2.07.04</t>
  </si>
  <si>
    <t>4.01.01</t>
  </si>
  <si>
    <t>3.01.02</t>
  </si>
  <si>
    <t>3.01.03</t>
  </si>
  <si>
    <t>3.01.04</t>
  </si>
  <si>
    <t>3.01.05</t>
  </si>
  <si>
    <t>3.01.06</t>
  </si>
  <si>
    <t>3.01.07</t>
  </si>
  <si>
    <t>3.02.01</t>
  </si>
  <si>
    <t>3.02.02</t>
  </si>
  <si>
    <t>3.02.03</t>
  </si>
  <si>
    <t>3.02.04</t>
  </si>
  <si>
    <t>3.02.05</t>
  </si>
  <si>
    <t>3.02.06</t>
  </si>
  <si>
    <t>3.02.07</t>
  </si>
  <si>
    <t>3.02.08</t>
  </si>
  <si>
    <t>3.03.01</t>
  </si>
  <si>
    <t>3.03.02</t>
  </si>
  <si>
    <t>3.03.03</t>
  </si>
  <si>
    <t>3.03.04</t>
  </si>
  <si>
    <t>3.03.05</t>
  </si>
  <si>
    <t>3.03.06</t>
  </si>
  <si>
    <t>3.03.07</t>
  </si>
  <si>
    <t>3.04.01</t>
  </si>
  <si>
    <t>3.04.02</t>
  </si>
  <si>
    <t>3.04.03</t>
  </si>
  <si>
    <t>3.04.04</t>
  </si>
  <si>
    <t>3.05.01</t>
  </si>
  <si>
    <t>3.05.02</t>
  </si>
  <si>
    <t>3.05.03</t>
  </si>
  <si>
    <t>3.05.04</t>
  </si>
  <si>
    <t>3.05.05</t>
  </si>
  <si>
    <t>3.05.06</t>
  </si>
  <si>
    <t>3.06.01</t>
  </si>
  <si>
    <t>3.06.02</t>
  </si>
  <si>
    <t>3.06.03</t>
  </si>
  <si>
    <t>3.06.04</t>
  </si>
  <si>
    <t>3.06.05</t>
  </si>
  <si>
    <t>3.06.06</t>
  </si>
  <si>
    <t>3.07.01</t>
  </si>
  <si>
    <t>3.07.02</t>
  </si>
  <si>
    <t>3.07.03</t>
  </si>
  <si>
    <t>3.07.04</t>
  </si>
  <si>
    <t>3.07.05</t>
  </si>
  <si>
    <t>3.07.06</t>
  </si>
  <si>
    <t>3.07.07</t>
  </si>
  <si>
    <t>3.07.08</t>
  </si>
  <si>
    <t>3.08.01</t>
  </si>
  <si>
    <t>3.08.02</t>
  </si>
  <si>
    <t>3.08.03</t>
  </si>
  <si>
    <t>3.08.04</t>
  </si>
  <si>
    <t>3.09.01</t>
  </si>
  <si>
    <t>3.09.02</t>
  </si>
  <si>
    <t>3.09.03</t>
  </si>
  <si>
    <t>3.09.04</t>
  </si>
  <si>
    <t>3.09.05</t>
  </si>
  <si>
    <t>3.10.01</t>
  </si>
  <si>
    <t>3.10.02</t>
  </si>
  <si>
    <t>3.10.03</t>
  </si>
  <si>
    <t>3.10.04</t>
  </si>
  <si>
    <t>3.10.05</t>
  </si>
  <si>
    <t>3.10.06</t>
  </si>
  <si>
    <t>3.13.08</t>
  </si>
  <si>
    <t>3.13.09</t>
  </si>
  <si>
    <t>3.13.10</t>
  </si>
  <si>
    <t>3.13.11</t>
  </si>
  <si>
    <t>3.13.12</t>
  </si>
  <si>
    <t>3.13.13</t>
  </si>
  <si>
    <t>3.13.14</t>
  </si>
  <si>
    <t>3.13.15</t>
  </si>
  <si>
    <t>3.13.16</t>
  </si>
  <si>
    <t>3.13.17</t>
  </si>
  <si>
    <t>3.13.18</t>
  </si>
  <si>
    <t>3.13.19</t>
  </si>
  <si>
    <t>4.01.02</t>
  </si>
  <si>
    <t>4.02.01</t>
  </si>
  <si>
    <t>4.02.02</t>
  </si>
  <si>
    <t>5.02.02</t>
  </si>
  <si>
    <t>5.04.01</t>
  </si>
  <si>
    <t>5.04.02</t>
  </si>
  <si>
    <t>4.04.03</t>
  </si>
  <si>
    <t>4.04.04</t>
  </si>
  <si>
    <t>6.07.04</t>
  </si>
  <si>
    <t>4.05.01</t>
  </si>
  <si>
    <t>4.05.02</t>
  </si>
  <si>
    <t>4.05.03</t>
  </si>
  <si>
    <t>6.07.05</t>
  </si>
  <si>
    <t>0.13.01</t>
  </si>
  <si>
    <t>0.13.02</t>
  </si>
  <si>
    <t>0.13.03</t>
  </si>
  <si>
    <t>0.13.04</t>
  </si>
  <si>
    <t>0.13.05</t>
  </si>
  <si>
    <t>0.13.06</t>
  </si>
  <si>
    <t>0.13.07</t>
  </si>
  <si>
    <t>5.01.01</t>
  </si>
  <si>
    <t>5.02.01</t>
  </si>
  <si>
    <t>5.04.03</t>
  </si>
  <si>
    <t>5.05.01</t>
  </si>
  <si>
    <t>5.05.02</t>
  </si>
  <si>
    <t>0.13.09</t>
  </si>
  <si>
    <t>0.13.10</t>
  </si>
  <si>
    <t>0.13.11</t>
  </si>
  <si>
    <t>0.13.12</t>
  </si>
  <si>
    <t>0.13.13</t>
  </si>
  <si>
    <t>0.13.14</t>
  </si>
  <si>
    <t>0.13.15</t>
  </si>
  <si>
    <t>6.07.01</t>
  </si>
  <si>
    <t>6.07.02</t>
  </si>
  <si>
    <t>6.07.03</t>
  </si>
  <si>
    <t>0.13.17</t>
  </si>
  <si>
    <t>0.13.18</t>
  </si>
  <si>
    <t>0.13.19</t>
  </si>
  <si>
    <t>0.13.20</t>
  </si>
  <si>
    <t>0.13.21</t>
  </si>
  <si>
    <t>1.04.05</t>
  </si>
  <si>
    <t>1.04.06</t>
  </si>
  <si>
    <t>1.04.07</t>
  </si>
  <si>
    <t>A2.05</t>
  </si>
  <si>
    <t>A3.05</t>
  </si>
  <si>
    <t>A3.06</t>
  </si>
  <si>
    <t>A3.07</t>
  </si>
  <si>
    <t>A3.08</t>
  </si>
  <si>
    <t>A3.09</t>
  </si>
  <si>
    <t>A4.01</t>
  </si>
  <si>
    <t>A4.02</t>
  </si>
  <si>
    <t>A4.03</t>
  </si>
  <si>
    <t>A4.04</t>
  </si>
  <si>
    <t>A5.01</t>
  </si>
  <si>
    <t>A5.02</t>
  </si>
  <si>
    <t>A5.04</t>
  </si>
  <si>
    <t>A5.05</t>
  </si>
  <si>
    <t>A6.07</t>
  </si>
  <si>
    <t>Cost</t>
  </si>
  <si>
    <t>Monthly Progress Reports, Meeting Minutes, Programme Updates</t>
  </si>
  <si>
    <t>Daily Site Reports, Site Diaries, Resource Reports</t>
  </si>
  <si>
    <t>RFIs, Technical Reports, Engineering Reviews, Design Coordination</t>
  </si>
  <si>
    <t>Supervisor</t>
  </si>
  <si>
    <t>Daily Work Records, Labour Reports, Task Allocation Sheets</t>
  </si>
  <si>
    <t>Safety Reports, Toolbox Talks, Hazard Registers, Incident Reports</t>
  </si>
  <si>
    <t>Quality Reports, Audit Reports, NCR Register</t>
  </si>
  <si>
    <t>DC</t>
  </si>
  <si>
    <t>Document Register, Transmittals, Filing System, MDR Tracking</t>
  </si>
  <si>
    <t>Contract Correspondence, Variation Registers, Payment Claims</t>
  </si>
  <si>
    <t>Cost Reports, Forecasts, Budget Tracking, EVM Reports</t>
  </si>
  <si>
    <t>Planner</t>
  </si>
  <si>
    <t>Programme Updates, Look-Ahead Schedules, Delay Analysis</t>
  </si>
  <si>
    <t>WHSMP, HSE Procedures Manual, Safety System Documentation</t>
  </si>
  <si>
    <t>Permit Register, Active Permits, Permit Closure Records</t>
  </si>
  <si>
    <t>CEMP, Environmental Monitoring Reports, Waste Records</t>
  </si>
  <si>
    <t>Approved SWMS Register, Safe Work Method Statements</t>
  </si>
  <si>
    <t>Induction Records, Competency Matrix, Training Register</t>
  </si>
  <si>
    <t>Incident Reports, Investigation Records, Corrective Actions</t>
  </si>
  <si>
    <t>TMP, Traffic Control Plans, VMS Schedules</t>
  </si>
  <si>
    <t>Approved QMP Document</t>
  </si>
  <si>
    <t>Approved ITPs per Discipline, ITP Checklists</t>
  </si>
  <si>
    <t>NCR Register, Corrective Action Reports, Close-out Records</t>
  </si>
  <si>
    <t>Signed Inspection Records, Hold Point Sign-offs</t>
  </si>
  <si>
    <t>MDR Packages, Test Certificates, Material Certificates</t>
  </si>
  <si>
    <t>Design Programme, Design Reports, Coordination Meeting Minutes</t>
  </si>
  <si>
    <t>IFC Drawings, Design Documentation, Design Certificates</t>
  </si>
  <si>
    <t>Approved Shop Drawings, Fabrication Drawings</t>
  </si>
  <si>
    <t>Building Approval Certificate, BA Documentation</t>
  </si>
  <si>
    <t>Inspection Certificates, Authority Sign-offs</t>
  </si>
  <si>
    <t>Council Approvals, DA Documentation</t>
  </si>
  <si>
    <t>Utility Connection Certificates, Service Agreements</t>
  </si>
  <si>
    <t>Fire SC</t>
  </si>
  <si>
    <t>QFES Approval, Fire Safety Certificate</t>
  </si>
  <si>
    <t>Occupancy Certificate, Final Inspection Certificate</t>
  </si>
  <si>
    <t>Form 21 Lodgement, Final Certificate</t>
  </si>
  <si>
    <t>Site Establishment Complete, Mobilisation Report</t>
  </si>
  <si>
    <t>Site Office Operational, Amenities Setup Complete</t>
  </si>
  <si>
    <t>Temporary Power/Water Connected, Services Certificates</t>
  </si>
  <si>
    <t>Security Fencing Installed, Hoarding Complete</t>
  </si>
  <si>
    <t>Site Signage Installed, Safety Barriers in Place</t>
  </si>
  <si>
    <t>Waste Management System Operational, Bin Setup</t>
  </si>
  <si>
    <t>A2.02</t>
  </si>
  <si>
    <t>Site Reinstatement Complete, Make-good Certificate</t>
  </si>
  <si>
    <t>Defects Register, DLP Support Documentation</t>
  </si>
  <si>
    <t>A2.03</t>
  </si>
  <si>
    <t>Mech SC</t>
  </si>
  <si>
    <t>Equipment Delivered &amp; Inspected, Delivery Dockets</t>
  </si>
  <si>
    <t>Materials Delivered, Quality Certificates</t>
  </si>
  <si>
    <t>Struct SC</t>
  </si>
  <si>
    <t>A2.04</t>
  </si>
  <si>
    <t>Services Complete</t>
  </si>
  <si>
    <t>Commissioning Complete</t>
  </si>
  <si>
    <t>Pre-Commissioning Checklists Complete</t>
  </si>
  <si>
    <t>HVAC Commissioning Certificate, Air Balance Reports</t>
  </si>
  <si>
    <t>Elec SC</t>
  </si>
  <si>
    <t>Electrical Test Certificates, Compliance Docs</t>
  </si>
  <si>
    <t>Fire Equipment Delivered, Compliance Certificates</t>
  </si>
  <si>
    <t>Hyd SC</t>
  </si>
  <si>
    <t>Hydraulic Test Certificates, Pressure Test Results</t>
  </si>
  <si>
    <t>BMS Commissioning Certificate, Points List Verified</t>
  </si>
  <si>
    <t>IST Report, Systems Integration Complete</t>
  </si>
  <si>
    <t>Final Completion</t>
  </si>
  <si>
    <t>As-Built Drawings Package, Final Documentation</t>
  </si>
  <si>
    <t>O&amp;M Manuals per System, Digital Handover Package</t>
  </si>
  <si>
    <t>Training Completion Records, Attendee Sign-off Sheets</t>
  </si>
  <si>
    <t>PC Certificate, PC Documentation Package</t>
  </si>
  <si>
    <t>Civil SC</t>
  </si>
  <si>
    <t>Earthworks Complete, Survey Confirmation, Compaction Tests</t>
  </si>
  <si>
    <t>Roof Complete, Weathertight Certificate</t>
  </si>
  <si>
    <t>Stormwater Complete, CCTV Inspection, Test Certificates</t>
  </si>
  <si>
    <t>Electrical Services Complete, Test Certificates</t>
  </si>
  <si>
    <t>Comms Services Complete, Test Results</t>
  </si>
  <si>
    <t>Hydraulic Services Complete, Test Certificates</t>
  </si>
  <si>
    <t>A3.01</t>
  </si>
  <si>
    <t>3.01.01</t>
  </si>
  <si>
    <t>A3.01.01</t>
  </si>
  <si>
    <t>Demo Complete</t>
  </si>
  <si>
    <t>Strip Out Complete, Waste Disposal Records</t>
  </si>
  <si>
    <t>Asbestos Clearance Certificate, Air Monitoring Reports</t>
  </si>
  <si>
    <t>A3.02</t>
  </si>
  <si>
    <t>Structure Complete</t>
  </si>
  <si>
    <t>Structural Works Complete, Engineer's Certificate</t>
  </si>
  <si>
    <t>Structural Works Complete, Inspection Certificate</t>
  </si>
  <si>
    <t>Slab Pour Complete, Concrete Test Certificates</t>
  </si>
  <si>
    <t>A3.03</t>
  </si>
  <si>
    <t>Roof Complete</t>
  </si>
  <si>
    <t>Roof Works Complete, Weathertight Certificate</t>
  </si>
  <si>
    <t>Roof Sheeting Complete, Waterproof Inspection</t>
  </si>
  <si>
    <t>A3.04</t>
  </si>
  <si>
    <t>Cladding Complete, Weatherseal Inspection</t>
  </si>
  <si>
    <t>External Doors Installed, Hardware Complete</t>
  </si>
  <si>
    <t>Painting Complete, Final Inspection</t>
  </si>
  <si>
    <t>Fitout Complete</t>
  </si>
  <si>
    <t>Steel Frame Erected, Structural Inspection Certificate</t>
  </si>
  <si>
    <t>Ceilings Complete, Inspection Sign-off</t>
  </si>
  <si>
    <t>Fitout Works Complete, Inspection Sign-off</t>
  </si>
  <si>
    <t>Mechanical Services Complete, Test Certificates</t>
  </si>
  <si>
    <t>Switchboards Delivered, Factory Test Certificates</t>
  </si>
  <si>
    <t>Drainage Complete, Test Certificates</t>
  </si>
  <si>
    <t>Fire Services Complete, Compliance Certificate</t>
  </si>
  <si>
    <t>Finishes Complete, Inspection Sign-off</t>
  </si>
  <si>
    <t>Joinery Installed, Inspection Sign-off</t>
  </si>
  <si>
    <t>External Works Complete, Inspection Certificate</t>
  </si>
  <si>
    <t>Paving Complete, Inspection Sign-off</t>
  </si>
  <si>
    <t>Concrete Works Complete, Strength Test Results</t>
  </si>
  <si>
    <t>4.03.01</t>
  </si>
  <si>
    <t>4.04.01</t>
  </si>
  <si>
    <t>A4.04.01</t>
  </si>
  <si>
    <t>4.04.02</t>
  </si>
  <si>
    <t>A4.04.02</t>
  </si>
  <si>
    <t>A4.05</t>
  </si>
  <si>
    <t>Partitions Complete, Inspection Sign-off</t>
  </si>
  <si>
    <t>Internal Finishes Complete</t>
  </si>
  <si>
    <t>4.05.04</t>
  </si>
  <si>
    <t>A4.05.04</t>
  </si>
  <si>
    <t>Furniture &amp; Equipment Installed, Asset Register</t>
  </si>
  <si>
    <t>Landscaping Complete, Planting Schedule Confirmed</t>
  </si>
  <si>
    <t>External Lighting Operational, Test Certificates</t>
  </si>
  <si>
    <t>5.05.03</t>
  </si>
  <si>
    <t>A5.05.03</t>
  </si>
  <si>
    <t>T&amp;A</t>
  </si>
  <si>
    <t>Accommodation Records, Booking Confirmations</t>
  </si>
  <si>
    <t>Meal Allowance Records</t>
  </si>
  <si>
    <t>Remote Area Allowance Records</t>
  </si>
  <si>
    <t>Latent Conditions Report, Assessment Documentation</t>
  </si>
  <si>
    <t>Rock Excavation Records, Volume Measurements</t>
  </si>
  <si>
    <t>Design Documentation &amp; Drawings</t>
  </si>
  <si>
    <t>Data Cabling Complete, Certification</t>
  </si>
  <si>
    <t>Trenching Complete, Bedding &amp; Backfill Records</t>
  </si>
  <si>
    <t>Roads Complete, Level Survey, Compaction Tests</t>
  </si>
  <si>
    <t>Joinery Installed, QA Inspection Complete</t>
  </si>
  <si>
    <t>Refurbishment Works Complete, Inspection Sign-off</t>
  </si>
  <si>
    <t>Travel Records &amp; Claim Documentation</t>
  </si>
  <si>
    <t>Remote Area Allowance Documentation</t>
  </si>
  <si>
    <t>Latent Conditions Report, Site Assessment</t>
  </si>
  <si>
    <t>Hazmat Clearance Certificate, Disposal Records</t>
  </si>
  <si>
    <t>AV Systems Installed, Commissioning Certificate</t>
  </si>
  <si>
    <t>G</t>
  </si>
  <si>
    <t>Z</t>
  </si>
  <si>
    <t>Tenderer Identified Items</t>
  </si>
  <si>
    <t>WORK BREAKDOWN STRUCTURE (WBS)</t>
  </si>
  <si>
    <t>TENDERER INSTRUCTIONS</t>
  </si>
  <si>
    <t>Pricing Table &amp; Variation Table Completion Guide</t>
  </si>
  <si>
    <t>1. INTRODUCTION</t>
  </si>
  <si>
    <t>This document provides instructions for Tenderers on how to complete the Pay Table and Variation Table.</t>
  </si>
  <si>
    <t>All pricing must be entered in Australian Dollars (AUD) exclusive of GST unless otherwise stated.</t>
  </si>
  <si>
    <t>Do not modify the structure of the tables, column headings, or item numbers.</t>
  </si>
  <si>
    <t>2. PAY TABLE - COLUMN DEFINITIONS</t>
  </si>
  <si>
    <t>Column</t>
  </si>
  <si>
    <t>Header</t>
  </si>
  <si>
    <t>Data Type</t>
  </si>
  <si>
    <t>Tenderer Action</t>
  </si>
  <si>
    <t>Validation</t>
  </si>
  <si>
    <t>A-H</t>
  </si>
  <si>
    <t>N1-N7</t>
  </si>
  <si>
    <t>Internal numbering hierarchy codes used for sorting and filtering</t>
  </si>
  <si>
    <t>Text/Number</t>
  </si>
  <si>
    <t>DO NOT MODIFY</t>
  </si>
  <si>
    <t>System generated</t>
  </si>
  <si>
    <t>Used for data management only</t>
  </si>
  <si>
    <t>I</t>
  </si>
  <si>
    <t>Hierarchy level indicator (1=Section, 2=Category, 3=Sub-category, 4=Line Item)</t>
  </si>
  <si>
    <t>Number (1-4)</t>
  </si>
  <si>
    <t>1, 2, 3, or 4</t>
  </si>
  <si>
    <t>Level 4 items require pricing</t>
  </si>
  <si>
    <t>J</t>
  </si>
  <si>
    <t>Level 1 Description - Major section heading (e.g., Section A - Lump Sum)</t>
  </si>
  <si>
    <t>Text</t>
  </si>
  <si>
    <t>Pre-populated</t>
  </si>
  <si>
    <t>Section identifier</t>
  </si>
  <si>
    <t>K</t>
  </si>
  <si>
    <t>Level 2 Description - Cost category (e.g., INDIRECT COSTS, SITE WIDE)</t>
  </si>
  <si>
    <t>Cost area classification</t>
  </si>
  <si>
    <t>L</t>
  </si>
  <si>
    <t>Level 3 Description - Sub-category (e.g., PROJECT MANAGEMENT, DEMOLITION)</t>
  </si>
  <si>
    <t>Work type classification</t>
  </si>
  <si>
    <t>Level 4 Description - Activity/Commodity detail</t>
  </si>
  <si>
    <t>Specific work item</t>
  </si>
  <si>
    <t>N</t>
  </si>
  <si>
    <t>Level 5 Description - Additional detail level (if required)</t>
  </si>
  <si>
    <t>Extended detail</t>
  </si>
  <si>
    <t>O</t>
  </si>
  <si>
    <t>Unique Pay Table item number (e.g., A1.01.01, A3.12.05)</t>
  </si>
  <si>
    <t>Alphanumeric format</t>
  </si>
  <si>
    <t>Reference for WBS linkage</t>
  </si>
  <si>
    <t>Scope of Work reference clause(s) applicable to this item</t>
  </si>
  <si>
    <t>Links to SOW document</t>
  </si>
  <si>
    <t>Q</t>
  </si>
  <si>
    <t>Contract clause reference(s) applicable to this item</t>
  </si>
  <si>
    <t>Links to Contract conditions</t>
  </si>
  <si>
    <t>R</t>
  </si>
  <si>
    <t>Drawing reference(s) applicable to this item</t>
  </si>
  <si>
    <t>Links to project drawings</t>
  </si>
  <si>
    <t>S</t>
  </si>
  <si>
    <t>Work Breakdown Structure reference code</t>
  </si>
  <si>
    <t>Links to WBS for scheduling</t>
  </si>
  <si>
    <t>T</t>
  </si>
  <si>
    <t>Full description of the work item or deliverable</t>
  </si>
  <si>
    <t>Defines scope of item</t>
  </si>
  <si>
    <t>U</t>
  </si>
  <si>
    <t>Unit of Measure (e.g., Lot, m², m³, No., Days, Wk)</t>
  </si>
  <si>
    <t>Standard units</t>
  </si>
  <si>
    <t>Basis for quantity measurement</t>
  </si>
  <si>
    <t>Pricing type indicator (LS=Lump Sum, SOR=Schedule of Rates, PS=Provisional Sum)</t>
  </si>
  <si>
    <t>LS, SOR, or PS</t>
  </si>
  <si>
    <t>Determines pricing method</t>
  </si>
  <si>
    <t>W</t>
  </si>
  <si>
    <t>Quantity for the item - Principal estimated or Tenderer to confirm</t>
  </si>
  <si>
    <t>Number</t>
  </si>
  <si>
    <t>VERIFY/ENTER</t>
  </si>
  <si>
    <t>Positive number</t>
  </si>
  <si>
    <t>Check against drawings/specs</t>
  </si>
  <si>
    <t>X</t>
  </si>
  <si>
    <t>Tenderer's rate per unit of measure in AUD</t>
  </si>
  <si>
    <t>Currency</t>
  </si>
  <si>
    <t>ENTER RATE</t>
  </si>
  <si>
    <t>Must include all costs</t>
  </si>
  <si>
    <t>Y</t>
  </si>
  <si>
    <t>Calculated amount = Qty × Rate</t>
  </si>
  <si>
    <t>Currency (Formula)</t>
  </si>
  <si>
    <t>AUTO-CALCULATED</t>
  </si>
  <si>
    <t>Do not manually override</t>
  </si>
  <si>
    <t>Reserved column for internal use</t>
  </si>
  <si>
    <t>DO NOT USE</t>
  </si>
  <si>
    <t>System reserved</t>
  </si>
  <si>
    <t>AA</t>
  </si>
  <si>
    <t>How the work will be measured for payment purposes</t>
  </si>
  <si>
    <t>Defines measurement basis</t>
  </si>
  <si>
    <t>AB</t>
  </si>
  <si>
    <t>Payment milestone rules and conditions for claiming</t>
  </si>
  <si>
    <t>Defines payment triggers</t>
  </si>
  <si>
    <t>3. PAY TABLE - PRICING TYPES EXPLAINED</t>
  </si>
  <si>
    <t>Lump Sum</t>
  </si>
  <si>
    <t>Fixed price for complete delivery of the item regardless of actual quantities</t>
  </si>
  <si>
    <t>Enter total fixed price in Rate column, Qty = 1</t>
  </si>
  <si>
    <t>Milestone-based per Rule of Credit</t>
  </si>
  <si>
    <t>Schedule of Rates</t>
  </si>
  <si>
    <t>Unit rate applied to measured quantities</t>
  </si>
  <si>
    <t>Enter rate per UOM; final payment based on actual measured qty</t>
  </si>
  <si>
    <t>Measured quantities × Rate</t>
  </si>
  <si>
    <t>Allowance for undefined scope - Principal directed expenditure only</t>
  </si>
  <si>
    <t>Enter rate if applicable; PS amounts are Principal-controlled</t>
  </si>
  <si>
    <t>Actual costs + margin as defined</t>
  </si>
  <si>
    <t>4. METHOD OF MEASURE DEFINITIONS</t>
  </si>
  <si>
    <t>Method</t>
  </si>
  <si>
    <t>Documentation Required</t>
  </si>
  <si>
    <t>Payment distributed evenly across contract period</t>
  </si>
  <si>
    <t>Personnel, ongoing services</t>
  </si>
  <si>
    <t>Monthly timesheets, attendance records</t>
  </si>
  <si>
    <t>Same as above with specific contract duration reference</t>
  </si>
  <si>
    <t>Management roles, site services</t>
  </si>
  <si>
    <t>Monthly reports, site diaries</t>
  </si>
  <si>
    <t>Single payment upon achievement of defined milestone</t>
  </si>
  <si>
    <t>Deliverables, approvals, certificates</t>
  </si>
  <si>
    <t>Milestone evidence, sign-off</t>
  </si>
  <si>
    <t>Partial milestone payment plus monthly pro-rata</t>
  </si>
  <si>
    <t>Plans with ongoing compliance</t>
  </si>
  <si>
    <t>Initial acceptance + monthly reports</t>
  </si>
  <si>
    <t>Separate milestones per discipline/trade</t>
  </si>
  <si>
    <t>Multi-discipline design work</t>
  </si>
  <si>
    <t>Per-discipline completion evidence</t>
  </si>
  <si>
    <t>Payment per completed inspection event</t>
  </si>
  <si>
    <t>QA inspections, hold points</t>
  </si>
  <si>
    <t>Signed inspection records</t>
  </si>
  <si>
    <t>Per ITP</t>
  </si>
  <si>
    <t>Payment per completed Inspection Test Plan</t>
  </si>
  <si>
    <t>Quality activities</t>
  </si>
  <si>
    <t>Completed ITP documentation</t>
  </si>
  <si>
    <t>Measured in place</t>
  </si>
  <si>
    <t>Payment based on installed/completed quantities</t>
  </si>
  <si>
    <t>Construction items</t>
  </si>
  <si>
    <t>Survey, measurement records</t>
  </si>
  <si>
    <t>Lump sum complete</t>
  </si>
  <si>
    <t>Single payment on completion of all works</t>
  </si>
  <si>
    <t>Discrete packages</t>
  </si>
  <si>
    <t>Completion certificate</t>
  </si>
  <si>
    <t>5. RULE OF CREDIT DEFINITIONS</t>
  </si>
  <si>
    <t>Rule</t>
  </si>
  <si>
    <t>Example</t>
  </si>
  <si>
    <t>Claim Requirement</t>
  </si>
  <si>
    <t>25% payable on WHS Management Plan acceptance, remaining 75% paid monthly</t>
  </si>
  <si>
    <t>HSE Management</t>
  </si>
  <si>
    <t>WHSMP approval letter + monthly HSE reports</t>
  </si>
  <si>
    <t>30% payable on Traffic Management Plan acceptance, remaining 70% monthly</t>
  </si>
  <si>
    <t>Traffic Management</t>
  </si>
  <si>
    <t>TMP approval + monthly compliance records</t>
  </si>
  <si>
    <t>30% Design kickoff, 40% IFC, 30% As-built</t>
  </si>
  <si>
    <t>Design payments split across key milestones</t>
  </si>
  <si>
    <t>Design Management</t>
  </si>
  <si>
    <t>Design meeting minutes, IFC issue, As-built acceptance</t>
  </si>
  <si>
    <t>Design deliverable payments linked to certification</t>
  </si>
  <si>
    <t>Contractor Design</t>
  </si>
  <si>
    <t>IFC approval, Form 15 &amp; 12 certificates</t>
  </si>
  <si>
    <t>100% on completion</t>
  </si>
  <si>
    <t>100% per milestone passed</t>
  </si>
  <si>
    <t>Full item value on milestone achievement</t>
  </si>
  <si>
    <t>Inspections, approvals</t>
  </si>
  <si>
    <t>Passed inspection/approval evidence</t>
  </si>
  <si>
    <t>Monthly payment subject to record keeping compliance</t>
  </si>
  <si>
    <t>Ongoing compliance activities</t>
  </si>
  <si>
    <t>Up-to-date registers and records</t>
  </si>
  <si>
    <t>6. VARIATION TABLE - COLUMN DEFINITIONS</t>
  </si>
  <si>
    <t>Classification of cost (VARIATION)</t>
  </si>
  <si>
    <t>All items are variations</t>
  </si>
  <si>
    <t>Main category (e.g., PERSONNEL DAYWORK RATES, PLANT &amp; EQUIPMENT)</t>
  </si>
  <si>
    <t>Groups similar items</t>
  </si>
  <si>
    <t>Sub-category detail (e.g., Management, Engineering, Trades)</t>
  </si>
  <si>
    <t>Further classification</t>
  </si>
  <si>
    <t>D</t>
  </si>
  <si>
    <t>Unique Variation item number (e.g., V1.01.01, V2.03.05)</t>
  </si>
  <si>
    <t>Reference for variations</t>
  </si>
  <si>
    <t>E</t>
  </si>
  <si>
    <t>F</t>
  </si>
  <si>
    <t>Unit of Measure (e.g., Day, Hr, Wk, m², m³, No.)</t>
  </si>
  <si>
    <t>Basis for rate application</t>
  </si>
  <si>
    <t>Rate type indicator (SOR=Schedule of Rates)</t>
  </si>
  <si>
    <t>All variation items are SOR</t>
  </si>
  <si>
    <t>H</t>
  </si>
  <si>
    <t>Standard hourly/daily rate for normal working hours</t>
  </si>
  <si>
    <t>Mon-Fri, standard hours</t>
  </si>
  <si>
    <t>Overtime rate at 1.5 times normal rate</t>
  </si>
  <si>
    <t>≥1.5 × Normal Rate</t>
  </si>
  <si>
    <t>First 2-3 hours OT</t>
  </si>
  <si>
    <t>Overtime rate at 2.0 times normal rate</t>
  </si>
  <si>
    <t>≥2.0 × Normal Rate</t>
  </si>
  <si>
    <t>After initial OT / Saturdays</t>
  </si>
  <si>
    <t>Overtime rate at 2.5 times normal rate</t>
  </si>
  <si>
    <t>≥2.5 × Normal Rate</t>
  </si>
  <si>
    <t>Sundays / Public Holidays</t>
  </si>
  <si>
    <t>Additional allowances applicable (travel, site, height, etc.)</t>
  </si>
  <si>
    <t>ENTER IF APPLICABLE</t>
  </si>
  <si>
    <t>Positive number or blank</t>
  </si>
  <si>
    <t>Per applicable EBA/Award</t>
  </si>
  <si>
    <t>Mobilisation rate for equipment/plant</t>
  </si>
  <si>
    <t>One-off mobilisation cost</t>
  </si>
  <si>
    <t>Demobilisation rate for equipment/plant</t>
  </si>
  <si>
    <t>One-off demobilisation cost</t>
  </si>
  <si>
    <t>Equipment hire rate without operator</t>
  </si>
  <si>
    <t>Equipment only</t>
  </si>
  <si>
    <t>Equipment hire rate including operator and fuel</t>
  </si>
  <si>
    <t>Equipment + operator + fuel</t>
  </si>
  <si>
    <t>Rate for supply of materials only</t>
  </si>
  <si>
    <t>Materials ex-delivery</t>
  </si>
  <si>
    <t>Rate for installation labour only</t>
  </si>
  <si>
    <t>Labour to install</t>
  </si>
  <si>
    <t>Combined supply and install rate</t>
  </si>
  <si>
    <t>Supply + Install combined</t>
  </si>
  <si>
    <t>How the variation work will be measured</t>
  </si>
  <si>
    <t>Measurement basis</t>
  </si>
  <si>
    <t>Conditions for claiming variation payment</t>
  </si>
  <si>
    <t>Approval requirements</t>
  </si>
  <si>
    <t>Minimum charge per call-out/engagement</t>
  </si>
  <si>
    <t>e.g., 4 hrs</t>
  </si>
  <si>
    <t>Minimum billing increment</t>
  </si>
  <si>
    <t>Billing increment after minimum</t>
  </si>
  <si>
    <t>e.g., 1 hr</t>
  </si>
  <si>
    <t>Charging increment</t>
  </si>
  <si>
    <t>Rate validity start date</t>
  </si>
  <si>
    <t>ENTER DATE</t>
  </si>
  <si>
    <t>DD-MMM-YY</t>
  </si>
  <si>
    <t>Rate effective from</t>
  </si>
  <si>
    <t>Additional notes or conditions</t>
  </si>
  <si>
    <t>ENTER IF REQUIRED</t>
  </si>
  <si>
    <t>Free text</t>
  </si>
  <si>
    <t>Clarifications, exclusions</t>
  </si>
  <si>
    <t>7. GENERAL INSTRUCTIONS FOR TENDERERS</t>
  </si>
  <si>
    <t>Ref</t>
  </si>
  <si>
    <t>Instruction</t>
  </si>
  <si>
    <t>Complete ALL Level 4 items in the Pay Table with rates. Do not leave blank cells.</t>
  </si>
  <si>
    <t>Ensure all rates are inclusive of overheads, margins, insurances, and all costs to complete the work.</t>
  </si>
  <si>
    <t>Verify quantities against the drawings and specifications. Note any discrepancies in the Notes column.</t>
  </si>
  <si>
    <t>For Provisional Sum items, enter your proposed margin percentage in the Notes column.</t>
  </si>
  <si>
    <t>All rates in the Variation Table will be used for valuing variations and daywork during the contract.</t>
  </si>
  <si>
    <t>Plant &amp; Equipment rates must distinguish between Dry Hire (equipment only) and Wet Hire (with operator).</t>
  </si>
  <si>
    <t>Material rates should be based on current supplier pricing and include delivery to site.</t>
  </si>
  <si>
    <t>All rates are to remain fixed for the duration of the contract unless rise and fall provisions apply.</t>
  </si>
  <si>
    <t>If adding Tenderer Identified Items, use the designated rows at the end of each section.</t>
  </si>
  <si>
    <t>VariationTable Template</t>
  </si>
  <si>
    <t>Pro-rata monthly based on contract duration</t>
  </si>
  <si>
    <t>Monthly payment subject to: (1) Personnel actively engaged on project, (2) Monthly progress report submitted, (3) All management plans current and accepted</t>
  </si>
  <si>
    <t>Milestone + Pro-rata monthly</t>
  </si>
  <si>
    <t>25% upon Plan acceptance by Principal, 75% pro-rata monthly over construction period</t>
  </si>
  <si>
    <t>Per approved Variation</t>
  </si>
  <si>
    <t>RFT # [To be added]
SPS Annex</t>
  </si>
  <si>
    <t>RFT # [To be added]</t>
  </si>
  <si>
    <t>Services Engineer (Mech/Elec/Hyd)</t>
  </si>
  <si>
    <t xml:space="preserve">RFT # </t>
  </si>
  <si>
    <t>RFT # 1221995761
Annex 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</si>
</sst>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 #,##0.00_-;_-* &quot;-&quot;??_-;_-@_-"/>
  </numFmts>
  <fonts count="51" x14ac:knownFonts="1">
    <font>
      <sz val="11"/>
      <color theme="1"/>
      <name val="Calibri"/>
      <family val="2"/>
      <scheme val="minor"/>
    </font>
    <font>
      <sz val="11"/>
      <color theme="1"/>
      <name val="Calibri"/>
      <family val="2"/>
      <scheme val="minor"/>
    </font>
    <font>
      <sz val="8"/>
      <name val="Calibri"/>
      <family val="2"/>
      <scheme val="minor"/>
    </font>
    <font>
      <sz val="10"/>
      <name val="Arial"/>
      <family val="2"/>
    </font>
    <font>
      <b/>
      <sz val="11"/>
      <color theme="1"/>
      <name val="Calibri"/>
      <family val="2"/>
      <scheme val="minor"/>
    </font>
    <font>
      <sz val="11"/>
      <color theme="1"/>
      <name val="Arial Nova"/>
      <family val="2"/>
    </font>
    <font>
      <b/>
      <sz val="11"/>
      <color theme="0"/>
      <name val="Arial Nova"/>
      <family val="2"/>
    </font>
    <font>
      <b/>
      <sz val="12"/>
      <color theme="0"/>
      <name val="Arial Nova"/>
      <family val="2"/>
    </font>
    <font>
      <sz val="9"/>
      <color theme="1"/>
      <name val="Arial Nova"/>
      <family val="2"/>
    </font>
    <font>
      <b/>
      <sz val="9"/>
      <color theme="1"/>
      <name val="Arial Nova"/>
      <family val="2"/>
    </font>
    <font>
      <b/>
      <sz val="9"/>
      <color theme="0"/>
      <name val="Arial Nova"/>
      <family val="2"/>
    </font>
    <font>
      <b/>
      <sz val="11"/>
      <color rgb="FFFFFFFF"/>
      <name val="Calibri"/>
      <family val="2"/>
      <scheme val="minor"/>
    </font>
    <font>
      <b/>
      <sz val="14"/>
      <color rgb="FFFFFFFF"/>
      <name val="Calibri"/>
      <family val="2"/>
      <scheme val="minor"/>
    </font>
    <font>
      <b/>
      <sz val="14"/>
      <color theme="1"/>
      <name val="Calibri"/>
      <family val="2"/>
      <scheme val="minor"/>
    </font>
    <font>
      <b/>
      <sz val="16"/>
      <color rgb="FF1F4E79"/>
      <name val="Calibri"/>
      <family val="2"/>
      <scheme val="minor"/>
    </font>
    <font>
      <b/>
      <sz val="14"/>
      <color rgb="FF1F4E79"/>
      <name val="Calibri"/>
      <family val="2"/>
      <scheme val="minor"/>
    </font>
    <font>
      <b/>
      <sz val="18"/>
      <color rgb="FF2E75B6"/>
      <name val="Calibri"/>
      <family val="2"/>
      <scheme val="minor"/>
    </font>
    <font>
      <sz val="9"/>
      <color rgb="FF000000"/>
      <name val="Calibri"/>
      <scheme val="minor"/>
    </font>
    <font>
      <b/>
      <sz val="10"/>
      <color rgb="FFFFFFFF"/>
      <name val="Calibri"/>
      <scheme val="minor"/>
    </font>
    <font>
      <b/>
      <sz val="9"/>
      <color rgb="FF1F4E79"/>
      <name val="Calibri"/>
      <scheme val="minor"/>
    </font>
    <font>
      <b/>
      <i/>
      <sz val="9"/>
      <color rgb="FF1F4E79"/>
      <name val="Calibri"/>
      <scheme val="minor"/>
    </font>
    <font>
      <b/>
      <sz val="10"/>
      <color rgb="FF2E75B6"/>
      <name val="Calibri"/>
      <scheme val="minor"/>
    </font>
    <font>
      <b/>
      <sz val="9"/>
      <color rgb="FF2E75B6"/>
      <name val="Calibri"/>
      <scheme val="minor"/>
    </font>
    <font>
      <sz val="9"/>
      <color rgb="FF2E75B6"/>
      <name val="Calibri"/>
      <scheme val="minor"/>
    </font>
    <font>
      <b/>
      <sz val="10"/>
      <color rgb="FFC65911"/>
      <name val="Calibri"/>
      <scheme val="minor"/>
    </font>
    <font>
      <b/>
      <sz val="9"/>
      <color rgb="FFC65911"/>
      <name val="Calibri"/>
      <scheme val="minor"/>
    </font>
    <font>
      <sz val="9"/>
      <color rgb="FFC65911"/>
      <name val="Calibri"/>
      <scheme val="minor"/>
    </font>
    <font>
      <b/>
      <i/>
      <sz val="10"/>
      <color rgb="FFFFFFFF"/>
      <name val="Calibri"/>
      <scheme val="minor"/>
    </font>
    <font>
      <b/>
      <sz val="9"/>
      <color rgb="FF333333"/>
      <name val="Calibri"/>
      <scheme val="minor"/>
    </font>
    <font>
      <sz val="9"/>
      <color rgb="FF333333"/>
      <name val="Calibri"/>
      <scheme val="minor"/>
    </font>
    <font>
      <i/>
      <sz val="9"/>
      <color rgb="FF333333"/>
      <name val="Calibri"/>
      <scheme val="minor"/>
    </font>
    <font>
      <b/>
      <sz val="9"/>
      <color rgb="FF000000"/>
      <name val="Calibri"/>
      <scheme val="minor"/>
    </font>
    <font>
      <i/>
      <sz val="9"/>
      <color rgb="FF000000"/>
      <name val="Calibri"/>
      <scheme val="minor"/>
    </font>
    <font>
      <b/>
      <i/>
      <sz val="10"/>
      <color rgb="FF666666"/>
      <name val="Calibri"/>
      <scheme val="minor"/>
    </font>
    <font>
      <b/>
      <i/>
      <sz val="9"/>
      <color rgb="FF666666"/>
      <name val="Calibri"/>
      <scheme val="minor"/>
    </font>
    <font>
      <i/>
      <sz val="9"/>
      <color rgb="FF666666"/>
      <name val="Calibri"/>
      <scheme val="minor"/>
    </font>
    <font>
      <b/>
      <sz val="10"/>
      <color rgb="FFFFFFFF"/>
      <name val="Calibri"/>
      <family val="2"/>
      <scheme val="minor"/>
    </font>
    <font>
      <sz val="9"/>
      <color theme="1"/>
      <name val="Calibri"/>
      <family val="2"/>
      <scheme val="minor"/>
    </font>
    <font>
      <sz val="10"/>
      <color theme="1"/>
      <name val="Calibri"/>
      <family val="2"/>
      <scheme val="minor"/>
    </font>
    <font>
      <b/>
      <sz val="10"/>
      <color rgb="FF1F4E79"/>
      <name val="Calibri"/>
      <family val="2"/>
      <scheme val="minor"/>
    </font>
    <font>
      <sz val="14"/>
      <color theme="1"/>
      <name val="Calibri"/>
      <family val="2"/>
      <scheme val="minor"/>
    </font>
    <font>
      <b/>
      <sz val="9"/>
      <color rgb="FF006400"/>
      <name val="Calibri"/>
      <family val="2"/>
      <scheme val="minor"/>
    </font>
    <font>
      <b/>
      <sz val="9"/>
      <color rgb="FF9C0006"/>
      <name val="Calibri"/>
      <family val="2"/>
      <scheme val="minor"/>
    </font>
    <font>
      <b/>
      <sz val="9"/>
      <color rgb="FFFFFFFF"/>
      <name val="Calibri"/>
      <family val="2"/>
      <scheme val="minor"/>
    </font>
    <font>
      <b/>
      <sz val="9"/>
      <name val="Calibri"/>
      <family val="2"/>
      <scheme val="minor"/>
    </font>
    <font>
      <b/>
      <sz val="14"/>
      <color theme="0"/>
      <name val="Calibri"/>
      <family val="2"/>
      <scheme val="minor"/>
    </font>
    <font>
      <b/>
      <sz val="16"/>
      <color theme="0"/>
      <name val="Calibri"/>
      <family val="2"/>
      <scheme val="minor"/>
    </font>
    <font>
      <b/>
      <sz val="20"/>
      <color theme="0"/>
      <name val="Calibri"/>
      <family val="2"/>
      <scheme val="minor"/>
    </font>
    <font>
      <b/>
      <sz val="12"/>
      <color theme="0"/>
      <name val="Calibri"/>
      <family val="2"/>
      <scheme val="minor"/>
    </font>
    <font>
      <b/>
      <sz val="9"/>
      <color theme="1"/>
      <name val="Calibri"/>
      <family val="2"/>
      <scheme val="minor"/>
    </font>
    <font>
      <sz val="9"/>
      <name val="Calibri"/>
      <family val="2"/>
      <scheme val="minor"/>
    </font>
  </fonts>
  <fills count="23">
    <fill>
      <patternFill patternType="none"/>
    </fill>
    <fill>
      <patternFill patternType="gray125"/>
    </fill>
    <fill>
      <patternFill patternType="solid">
        <fgColor rgb="FFFFFFCC"/>
        <bgColor indexed="64"/>
      </patternFill>
    </fill>
    <fill>
      <patternFill patternType="solid">
        <fgColor theme="1" tint="4.9989318521683403E-2"/>
        <bgColor indexed="64"/>
      </patternFill>
    </fill>
    <fill>
      <patternFill patternType="solid">
        <fgColor theme="1"/>
        <bgColor indexed="64"/>
      </patternFill>
    </fill>
    <fill>
      <patternFill patternType="solid">
        <fgColor theme="4"/>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8" tint="0.79998168889431442"/>
        <bgColor theme="8" tint="0.79998168889431442"/>
      </patternFill>
    </fill>
    <fill>
      <patternFill patternType="solid">
        <fgColor rgb="FF1F4E79"/>
        <bgColor indexed="64"/>
      </patternFill>
    </fill>
    <fill>
      <patternFill patternType="solid">
        <fgColor rgb="FF2E75B6"/>
        <bgColor indexed="64"/>
      </patternFill>
    </fill>
    <fill>
      <patternFill patternType="solid">
        <fgColor rgb="FFBDD7EE"/>
        <bgColor indexed="64"/>
      </patternFill>
    </fill>
    <fill>
      <patternFill patternType="solid">
        <fgColor rgb="FFF2F2F2"/>
        <bgColor indexed="64"/>
      </patternFill>
    </fill>
    <fill>
      <patternFill patternType="solid">
        <fgColor rgb="FFE2EFDA"/>
        <bgColor indexed="64"/>
      </patternFill>
    </fill>
    <fill>
      <patternFill patternType="solid">
        <fgColor rgb="FFFFFFFF"/>
        <bgColor indexed="64"/>
      </patternFill>
    </fill>
    <fill>
      <patternFill patternType="solid">
        <fgColor rgb="FFFFF2CC"/>
        <bgColor indexed="64"/>
      </patternFill>
    </fill>
    <fill>
      <patternFill patternType="solid">
        <fgColor rgb="FF002060"/>
        <bgColor indexed="64"/>
      </patternFill>
    </fill>
    <fill>
      <patternFill patternType="solid">
        <fgColor rgb="FFB4C6E7"/>
        <bgColor indexed="64"/>
      </patternFill>
    </fill>
    <fill>
      <patternFill patternType="solid">
        <fgColor rgb="FFF9F9F9"/>
        <bgColor indexed="64"/>
      </patternFill>
    </fill>
    <fill>
      <patternFill patternType="solid">
        <fgColor rgb="FFDEEBF7"/>
        <bgColor indexed="64"/>
      </patternFill>
    </fill>
    <fill>
      <patternFill patternType="solid">
        <fgColor rgb="FFC6EFCE"/>
        <bgColor indexed="64"/>
      </patternFill>
    </fill>
    <fill>
      <patternFill patternType="solid">
        <fgColor rgb="FFFFC7CE"/>
        <bgColor indexed="64"/>
      </patternFill>
    </fill>
  </fills>
  <borders count="51">
    <border>
      <left/>
      <right/>
      <top/>
      <bottom/>
      <diagonal/>
    </border>
    <border>
      <left/>
      <right style="thin">
        <color indexed="64"/>
      </right>
      <top/>
      <bottom/>
      <diagonal/>
    </border>
    <border>
      <left style="thin">
        <color indexed="64"/>
      </left>
      <right/>
      <top/>
      <bottom/>
      <diagonal/>
    </border>
    <border>
      <left style="thin">
        <color auto="1"/>
      </left>
      <right style="thin">
        <color auto="1"/>
      </right>
      <top style="hair">
        <color auto="1"/>
      </top>
      <bottom style="hair">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indexed="64"/>
      </right>
      <top style="thin">
        <color auto="1"/>
      </top>
      <bottom/>
      <diagonal/>
    </border>
    <border>
      <left style="thin">
        <color auto="1"/>
      </left>
      <right/>
      <top/>
      <bottom style="thin">
        <color auto="1"/>
      </bottom>
      <diagonal/>
    </border>
    <border>
      <left/>
      <right/>
      <top/>
      <bottom style="thin">
        <color auto="1"/>
      </bottom>
      <diagonal/>
    </border>
    <border>
      <left/>
      <right style="thin">
        <color indexed="64"/>
      </right>
      <top/>
      <bottom style="thin">
        <color auto="1"/>
      </bottom>
      <diagonal/>
    </border>
    <border>
      <left style="thin">
        <color auto="1"/>
      </left>
      <right style="thin">
        <color auto="1"/>
      </right>
      <top style="hair">
        <color auto="1"/>
      </top>
      <bottom/>
      <diagonal/>
    </border>
    <border>
      <left style="thin">
        <color theme="1"/>
      </left>
      <right style="thin">
        <color theme="1"/>
      </right>
      <top style="thin">
        <color theme="1"/>
      </top>
      <bottom style="thin">
        <color theme="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diagonal/>
    </border>
    <border>
      <left style="thin">
        <color auto="1"/>
      </left>
      <right style="thin">
        <color auto="1"/>
      </right>
      <top style="thin">
        <color auto="1"/>
      </top>
      <bottom/>
      <diagonal/>
    </border>
    <border>
      <left style="thin">
        <color auto="1"/>
      </left>
      <right style="thin">
        <color auto="1"/>
      </right>
      <top/>
      <bottom style="hair">
        <color auto="1"/>
      </bottom>
      <diagonal/>
    </border>
    <border>
      <left style="thin">
        <color auto="1"/>
      </left>
      <right/>
      <top/>
      <bottom style="hair">
        <color auto="1"/>
      </bottom>
      <diagonal/>
    </border>
    <border>
      <left style="thin">
        <color theme="1"/>
      </left>
      <right style="thin">
        <color theme="1"/>
      </right>
      <top style="thin">
        <color theme="1"/>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auto="1"/>
      </bottom>
      <diagonal/>
    </border>
    <border>
      <left style="thin">
        <color rgb="FFD9D9D9"/>
      </left>
      <right style="thin">
        <color auto="1"/>
      </right>
      <top style="thin">
        <color rgb="FFD9D9D9"/>
      </top>
      <bottom style="thin">
        <color rgb="FFD9D9D9"/>
      </bottom>
      <diagonal/>
    </border>
    <border>
      <left style="thin">
        <color rgb="FFD9D9D9"/>
      </left>
      <right style="thin">
        <color auto="1"/>
      </right>
      <top style="thin">
        <color rgb="FFD9D9D9"/>
      </top>
      <bottom style="thin">
        <color auto="1"/>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style="thin">
        <color rgb="FFD9D9D9"/>
      </left>
      <right style="thin">
        <color rgb="FFD9D9D9"/>
      </right>
      <top style="medium">
        <color rgb="FF1F4E79"/>
      </top>
      <bottom style="thin">
        <color rgb="FFD9D9D9"/>
      </bottom>
      <diagonal/>
    </border>
    <border>
      <left style="thin">
        <color rgb="FFD9D9D9"/>
      </left>
      <right style="thin">
        <color rgb="FFD9D9D9"/>
      </right>
      <top style="thin">
        <color rgb="FFD9D9D9"/>
      </top>
      <bottom style="medium">
        <color rgb="FF1F4E79"/>
      </bottom>
      <diagonal/>
    </border>
    <border>
      <left style="medium">
        <color rgb="FF1F4E79"/>
      </left>
      <right style="thin">
        <color rgb="FFD9D9D9"/>
      </right>
      <top style="medium">
        <color rgb="FF1F4E79"/>
      </top>
      <bottom style="thin">
        <color rgb="FFD9D9D9"/>
      </bottom>
      <diagonal/>
    </border>
    <border>
      <left style="medium">
        <color rgb="FF1F4E79"/>
      </left>
      <right style="thin">
        <color rgb="FFD9D9D9"/>
      </right>
      <top style="thin">
        <color rgb="FFD9D9D9"/>
      </top>
      <bottom style="thin">
        <color rgb="FFD9D9D9"/>
      </bottom>
      <diagonal/>
    </border>
    <border>
      <left style="medium">
        <color rgb="FF1F4E79"/>
      </left>
      <right style="thin">
        <color rgb="FFD9D9D9"/>
      </right>
      <top style="thin">
        <color rgb="FFD9D9D9"/>
      </top>
      <bottom style="medium">
        <color rgb="FF1F4E79"/>
      </bottom>
      <diagonal/>
    </border>
    <border>
      <left style="thin">
        <color rgb="FFD9D9D9"/>
      </left>
      <right style="medium">
        <color rgb="FF1F4E79"/>
      </right>
      <top style="medium">
        <color rgb="FF1F4E79"/>
      </top>
      <bottom style="thin">
        <color rgb="FFD9D9D9"/>
      </bottom>
      <diagonal/>
    </border>
    <border>
      <left style="thin">
        <color rgb="FFD9D9D9"/>
      </left>
      <right style="medium">
        <color rgb="FF1F4E79"/>
      </right>
      <top style="thin">
        <color rgb="FFD9D9D9"/>
      </top>
      <bottom style="thin">
        <color rgb="FFD9D9D9"/>
      </bottom>
      <diagonal/>
    </border>
    <border>
      <left style="thin">
        <color rgb="FFD9D9D9"/>
      </left>
      <right style="medium">
        <color rgb="FF1F4E79"/>
      </right>
      <top style="thin">
        <color rgb="FFD9D9D9"/>
      </top>
      <bottom style="medium">
        <color rgb="FF1F4E79"/>
      </bottom>
      <diagonal/>
    </border>
    <border>
      <left style="thin">
        <color auto="1"/>
      </left>
      <right style="thin">
        <color auto="1"/>
      </right>
      <top style="thin">
        <color rgb="FF2E75B6"/>
      </top>
      <bottom style="thin">
        <color auto="1"/>
      </bottom>
      <diagonal/>
    </border>
    <border>
      <left style="thin">
        <color rgb="FF2E75B6"/>
      </left>
      <right style="thin">
        <color auto="1"/>
      </right>
      <top style="thin">
        <color rgb="FF2E75B6"/>
      </top>
      <bottom style="thin">
        <color auto="1"/>
      </bottom>
      <diagonal/>
    </border>
    <border>
      <left style="thin">
        <color rgb="FF2E75B6"/>
      </left>
      <right style="thin">
        <color auto="1"/>
      </right>
      <top style="thin">
        <color auto="1"/>
      </top>
      <bottom style="thin">
        <color auto="1"/>
      </bottom>
      <diagonal/>
    </border>
    <border>
      <left style="thin">
        <color auto="1"/>
      </left>
      <right style="thin">
        <color rgb="FF2E75B6"/>
      </right>
      <top style="thin">
        <color rgb="FF2E75B6"/>
      </top>
      <bottom style="thin">
        <color auto="1"/>
      </bottom>
      <diagonal/>
    </border>
    <border>
      <left style="thin">
        <color auto="1"/>
      </left>
      <right style="thin">
        <color rgb="FF2E75B6"/>
      </right>
      <top style="thin">
        <color auto="1"/>
      </top>
      <bottom style="thin">
        <color auto="1"/>
      </bottom>
      <diagonal/>
    </border>
    <border>
      <left style="thin">
        <color rgb="FF2E75B6"/>
      </left>
      <right/>
      <top style="thin">
        <color auto="1"/>
      </top>
      <bottom style="thin">
        <color rgb="FF2E75B6"/>
      </bottom>
      <diagonal/>
    </border>
    <border>
      <left/>
      <right/>
      <top style="thin">
        <color auto="1"/>
      </top>
      <bottom style="thin">
        <color rgb="FF2E75B6"/>
      </bottom>
      <diagonal/>
    </border>
    <border>
      <left/>
      <right style="thin">
        <color rgb="FF2E75B6"/>
      </right>
      <top style="thin">
        <color auto="1"/>
      </top>
      <bottom style="thin">
        <color rgb="FF2E75B6"/>
      </bottom>
      <diagonal/>
    </border>
    <border>
      <left style="thin">
        <color rgb="FF2E75B6"/>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rgb="FF2E75B6"/>
      </right>
      <top/>
      <bottom style="thin">
        <color auto="1"/>
      </bottom>
      <diagonal/>
    </border>
    <border>
      <left style="thin">
        <color rgb="FFD9D9D9"/>
      </left>
      <right style="thin">
        <color rgb="FFD9D9D9"/>
      </right>
      <top/>
      <bottom style="thin">
        <color rgb="FFD9D9D9"/>
      </bottom>
      <diagonal/>
    </border>
    <border>
      <left style="thin">
        <color rgb="FFD9D9D9"/>
      </left>
      <right style="thin">
        <color auto="1"/>
      </right>
      <top/>
      <bottom style="thin">
        <color rgb="FFD9D9D9"/>
      </bottom>
      <diagonal/>
    </border>
  </borders>
  <cellStyleXfs count="4">
    <xf numFmtId="0" fontId="0" fillId="0" borderId="0"/>
    <xf numFmtId="43" fontId="1" fillId="0" borderId="0" applyFont="0" applyFill="0" applyBorder="0" applyAlignment="0" applyProtection="0"/>
    <xf numFmtId="0" fontId="3" fillId="0" borderId="0"/>
    <xf numFmtId="43" fontId="1" fillId="0" borderId="0" applyFont="0" applyFill="0" applyBorder="0" applyAlignment="0" applyProtection="0"/>
  </cellStyleXfs>
  <cellXfs count="268">
    <xf numFmtId="0" fontId="0" fillId="0" borderId="0" xfId="0"/>
    <xf numFmtId="0" fontId="4" fillId="0" borderId="0" xfId="0" applyFont="1"/>
    <xf numFmtId="0" fontId="0" fillId="0" borderId="0" xfId="0" quotePrefix="1"/>
    <xf numFmtId="0" fontId="5" fillId="0" borderId="0" xfId="0" applyFont="1"/>
    <xf numFmtId="0" fontId="6" fillId="5" borderId="9" xfId="0" applyFont="1" applyFill="1" applyBorder="1" applyAlignment="1">
      <alignment vertical="top" wrapText="1"/>
    </xf>
    <xf numFmtId="0" fontId="5" fillId="5" borderId="10" xfId="0" applyFont="1" applyFill="1" applyBorder="1"/>
    <xf numFmtId="0" fontId="5" fillId="5" borderId="11" xfId="0" applyFont="1" applyFill="1" applyBorder="1"/>
    <xf numFmtId="0" fontId="5" fillId="4" borderId="0" xfId="0" applyFont="1" applyFill="1"/>
    <xf numFmtId="0" fontId="6" fillId="5" borderId="0" xfId="0" applyFont="1" applyFill="1" applyAlignment="1">
      <alignment vertical="top"/>
    </xf>
    <xf numFmtId="0" fontId="5" fillId="5" borderId="0" xfId="0" applyFont="1" applyFill="1"/>
    <xf numFmtId="0" fontId="7" fillId="5" borderId="2" xfId="0" applyFont="1" applyFill="1" applyBorder="1"/>
    <xf numFmtId="0" fontId="7" fillId="5" borderId="0" xfId="0" applyFont="1" applyFill="1"/>
    <xf numFmtId="0" fontId="5" fillId="5" borderId="1" xfId="0" applyFont="1" applyFill="1" applyBorder="1"/>
    <xf numFmtId="0" fontId="8" fillId="0" borderId="0" xfId="0" applyFont="1"/>
    <xf numFmtId="0" fontId="8" fillId="5" borderId="0" xfId="0" applyFont="1" applyFill="1"/>
    <xf numFmtId="0" fontId="8" fillId="5" borderId="1" xfId="0" applyFont="1" applyFill="1" applyBorder="1"/>
    <xf numFmtId="0" fontId="7" fillId="5" borderId="12" xfId="0" applyFont="1" applyFill="1" applyBorder="1"/>
    <xf numFmtId="0" fontId="7" fillId="5" borderId="13" xfId="0" applyFont="1" applyFill="1" applyBorder="1"/>
    <xf numFmtId="0" fontId="8" fillId="5" borderId="13" xfId="0" applyFont="1" applyFill="1" applyBorder="1"/>
    <xf numFmtId="0" fontId="8" fillId="5" borderId="14" xfId="0" applyFont="1" applyFill="1" applyBorder="1"/>
    <xf numFmtId="0" fontId="9" fillId="0" borderId="0" xfId="0" applyFont="1"/>
    <xf numFmtId="0" fontId="9" fillId="4" borderId="8" xfId="0" applyFont="1" applyFill="1" applyBorder="1"/>
    <xf numFmtId="43" fontId="9" fillId="3" borderId="8" xfId="1" applyFont="1" applyFill="1" applyBorder="1" applyAlignment="1">
      <alignment horizontal="left"/>
    </xf>
    <xf numFmtId="0" fontId="10" fillId="3" borderId="8" xfId="0" applyFont="1" applyFill="1" applyBorder="1" applyAlignment="1">
      <alignment horizontal="center"/>
    </xf>
    <xf numFmtId="43" fontId="10" fillId="3" borderId="8" xfId="1" applyFont="1" applyFill="1" applyBorder="1" applyAlignment="1">
      <alignment horizontal="center"/>
    </xf>
    <xf numFmtId="43" fontId="10" fillId="3" borderId="5" xfId="1" applyFont="1" applyFill="1" applyBorder="1" applyAlignment="1">
      <alignment horizontal="right"/>
    </xf>
    <xf numFmtId="0" fontId="8" fillId="4" borderId="20" xfId="0" applyFont="1" applyFill="1" applyBorder="1"/>
    <xf numFmtId="43" fontId="10" fillId="3" borderId="7" xfId="1" applyFont="1" applyFill="1" applyBorder="1" applyAlignment="1">
      <alignment horizontal="left"/>
    </xf>
    <xf numFmtId="43" fontId="10" fillId="3" borderId="8" xfId="1" applyFont="1" applyFill="1" applyBorder="1" applyAlignment="1">
      <alignment horizontal="left"/>
    </xf>
    <xf numFmtId="0" fontId="6" fillId="4" borderId="0" xfId="0" applyFont="1" applyFill="1" applyAlignment="1">
      <alignment horizontal="centerContinuous"/>
    </xf>
    <xf numFmtId="0" fontId="9" fillId="4" borderId="0" xfId="0" applyFont="1" applyFill="1" applyAlignment="1">
      <alignment horizontal="center" vertical="top"/>
    </xf>
    <xf numFmtId="0" fontId="9" fillId="4" borderId="0" xfId="0" applyFont="1" applyFill="1" applyAlignment="1">
      <alignment vertical="top"/>
    </xf>
    <xf numFmtId="0" fontId="9" fillId="4" borderId="0" xfId="0" applyFont="1" applyFill="1"/>
    <xf numFmtId="0" fontId="9" fillId="4" borderId="5" xfId="0" applyFont="1" applyFill="1" applyBorder="1" applyAlignment="1">
      <alignment vertical="top"/>
    </xf>
    <xf numFmtId="0" fontId="9" fillId="4" borderId="6" xfId="0" applyFont="1" applyFill="1" applyBorder="1" applyAlignment="1">
      <alignment horizontal="center" vertical="top"/>
    </xf>
    <xf numFmtId="0" fontId="9" fillId="4" borderId="6" xfId="0" applyFont="1" applyFill="1" applyBorder="1" applyAlignment="1">
      <alignment vertical="top"/>
    </xf>
    <xf numFmtId="0" fontId="9" fillId="4" borderId="6" xfId="0" applyFont="1" applyFill="1" applyBorder="1" applyAlignment="1">
      <alignment horizontal="center" vertical="top" wrapText="1"/>
    </xf>
    <xf numFmtId="0" fontId="9" fillId="4" borderId="6" xfId="0" applyFont="1" applyFill="1" applyBorder="1" applyAlignment="1">
      <alignment horizontal="right" vertical="top"/>
    </xf>
    <xf numFmtId="43" fontId="9" fillId="4" borderId="6" xfId="1" applyFont="1" applyFill="1" applyBorder="1" applyAlignment="1">
      <alignment horizontal="right" vertical="top"/>
    </xf>
    <xf numFmtId="0" fontId="9" fillId="4" borderId="16" xfId="0" applyFont="1" applyFill="1" applyBorder="1" applyAlignment="1">
      <alignment vertical="top"/>
    </xf>
    <xf numFmtId="0" fontId="9" fillId="4" borderId="7" xfId="0" applyFont="1" applyFill="1" applyBorder="1" applyAlignment="1">
      <alignment vertical="top"/>
    </xf>
    <xf numFmtId="43" fontId="6" fillId="4" borderId="13" xfId="1" applyFont="1" applyFill="1" applyBorder="1" applyAlignment="1">
      <alignment horizontal="right"/>
    </xf>
    <xf numFmtId="43" fontId="5" fillId="4" borderId="13" xfId="1" applyFont="1" applyFill="1" applyBorder="1" applyAlignment="1">
      <alignment horizontal="right"/>
    </xf>
    <xf numFmtId="0" fontId="8" fillId="7" borderId="4" xfId="0" applyFont="1" applyFill="1" applyBorder="1" applyAlignment="1">
      <alignment horizontal="center" vertical="top"/>
    </xf>
    <xf numFmtId="0" fontId="8" fillId="7" borderId="4" xfId="0" applyFont="1" applyFill="1" applyBorder="1" applyAlignment="1">
      <alignment horizontal="left" vertical="top"/>
    </xf>
    <xf numFmtId="0" fontId="8" fillId="0" borderId="0" xfId="0" applyFont="1" applyAlignment="1">
      <alignment vertical="top"/>
    </xf>
    <xf numFmtId="0" fontId="8" fillId="0" borderId="3" xfId="0" applyFont="1" applyBorder="1" applyAlignment="1">
      <alignment horizontal="left" vertical="top"/>
    </xf>
    <xf numFmtId="0" fontId="8" fillId="0" borderId="3" xfId="0" applyFont="1" applyBorder="1" applyAlignment="1">
      <alignment horizontal="center" vertical="top"/>
    </xf>
    <xf numFmtId="0" fontId="8" fillId="0" borderId="3" xfId="0" applyFont="1" applyBorder="1" applyAlignment="1">
      <alignment vertical="top"/>
    </xf>
    <xf numFmtId="43" fontId="8" fillId="0" borderId="3" xfId="1" applyFont="1" applyBorder="1" applyAlignment="1">
      <alignment horizontal="right" vertical="top"/>
    </xf>
    <xf numFmtId="43" fontId="9" fillId="0" borderId="17" xfId="1" applyFont="1" applyBorder="1" applyAlignment="1">
      <alignment vertical="top"/>
    </xf>
    <xf numFmtId="0" fontId="8" fillId="4" borderId="16" xfId="0" applyFont="1" applyFill="1" applyBorder="1" applyAlignment="1">
      <alignment vertical="top"/>
    </xf>
    <xf numFmtId="0" fontId="8" fillId="0" borderId="18" xfId="0" applyFont="1" applyBorder="1" applyAlignment="1">
      <alignment vertical="top"/>
    </xf>
    <xf numFmtId="0" fontId="8" fillId="9" borderId="21" xfId="0" applyFont="1" applyFill="1" applyBorder="1" applyAlignment="1">
      <alignment horizontal="center" vertical="top"/>
    </xf>
    <xf numFmtId="43" fontId="9" fillId="9" borderId="22" xfId="1" applyFont="1" applyFill="1" applyBorder="1" applyAlignment="1">
      <alignment vertical="top"/>
    </xf>
    <xf numFmtId="0" fontId="8" fillId="0" borderId="3" xfId="0" applyFont="1" applyBorder="1" applyAlignment="1">
      <alignment horizontal="left" vertical="top" indent="1"/>
    </xf>
    <xf numFmtId="43" fontId="8" fillId="9" borderId="3" xfId="1" applyFont="1" applyFill="1" applyBorder="1" applyAlignment="1">
      <alignment horizontal="right" vertical="top"/>
    </xf>
    <xf numFmtId="43" fontId="9" fillId="9" borderId="17" xfId="1" applyFont="1" applyFill="1" applyBorder="1" applyAlignment="1">
      <alignment vertical="top"/>
    </xf>
    <xf numFmtId="0" fontId="8" fillId="0" borderId="3" xfId="0" applyFont="1" applyBorder="1" applyAlignment="1">
      <alignment horizontal="left" vertical="top" indent="2"/>
    </xf>
    <xf numFmtId="0" fontId="8" fillId="6" borderId="3" xfId="0" applyFont="1" applyFill="1" applyBorder="1" applyAlignment="1">
      <alignment horizontal="center" vertical="top"/>
    </xf>
    <xf numFmtId="43" fontId="8" fillId="6" borderId="3" xfId="1" applyFont="1" applyFill="1" applyBorder="1" applyAlignment="1">
      <alignment horizontal="right" vertical="top"/>
    </xf>
    <xf numFmtId="43" fontId="8" fillId="8" borderId="3" xfId="1" applyFont="1" applyFill="1" applyBorder="1" applyAlignment="1">
      <alignment horizontal="right" vertical="top"/>
    </xf>
    <xf numFmtId="43" fontId="9" fillId="2" borderId="17" xfId="1" applyFont="1" applyFill="1" applyBorder="1" applyAlignment="1">
      <alignment vertical="top"/>
    </xf>
    <xf numFmtId="0" fontId="8" fillId="6" borderId="18" xfId="0" applyFont="1" applyFill="1" applyBorder="1" applyAlignment="1">
      <alignment vertical="top"/>
    </xf>
    <xf numFmtId="0" fontId="8" fillId="6" borderId="3" xfId="0" applyFont="1" applyFill="1" applyBorder="1" applyAlignment="1">
      <alignment vertical="top"/>
    </xf>
    <xf numFmtId="0" fontId="8" fillId="6" borderId="3" xfId="0" applyFont="1" applyFill="1" applyBorder="1" applyAlignment="1">
      <alignment horizontal="left" vertical="top"/>
    </xf>
    <xf numFmtId="0" fontId="8" fillId="6" borderId="3" xfId="0" applyFont="1" applyFill="1" applyBorder="1" applyAlignment="1">
      <alignment horizontal="left" vertical="top" indent="2"/>
    </xf>
    <xf numFmtId="43" fontId="8" fillId="2" borderId="17" xfId="1" applyFont="1" applyFill="1" applyBorder="1" applyAlignment="1">
      <alignment vertical="top"/>
    </xf>
    <xf numFmtId="0" fontId="8" fillId="6" borderId="3" xfId="0" applyFont="1" applyFill="1" applyBorder="1" applyAlignment="1">
      <alignment horizontal="left" vertical="top" indent="1"/>
    </xf>
    <xf numFmtId="43" fontId="8" fillId="2" borderId="3" xfId="1" applyFont="1" applyFill="1" applyBorder="1" applyAlignment="1">
      <alignment horizontal="right" vertical="top"/>
    </xf>
    <xf numFmtId="43" fontId="8" fillId="0" borderId="3" xfId="1" applyFont="1" applyFill="1" applyBorder="1" applyAlignment="1">
      <alignment horizontal="right" vertical="top"/>
    </xf>
    <xf numFmtId="43" fontId="8" fillId="0" borderId="3" xfId="1" applyFont="1" applyBorder="1" applyAlignment="1">
      <alignment vertical="top"/>
    </xf>
    <xf numFmtId="43" fontId="8" fillId="6" borderId="3" xfId="1" applyFont="1" applyFill="1" applyBorder="1" applyAlignment="1">
      <alignment horizontal="center" vertical="top"/>
    </xf>
    <xf numFmtId="43" fontId="8" fillId="0" borderId="17" xfId="1" applyFont="1" applyBorder="1" applyAlignment="1">
      <alignment vertical="top"/>
    </xf>
    <xf numFmtId="43" fontId="8" fillId="9" borderId="17" xfId="1" applyFont="1" applyFill="1" applyBorder="1" applyAlignment="1">
      <alignment vertical="top"/>
    </xf>
    <xf numFmtId="0" fontId="8" fillId="0" borderId="2" xfId="0" applyFont="1" applyBorder="1" applyAlignment="1">
      <alignment vertical="top"/>
    </xf>
    <xf numFmtId="0" fontId="8" fillId="0" borderId="15" xfId="0" applyFont="1" applyBorder="1" applyAlignment="1">
      <alignment horizontal="left" vertical="top"/>
    </xf>
    <xf numFmtId="0" fontId="8" fillId="6" borderId="15" xfId="0" applyFont="1" applyFill="1" applyBorder="1" applyAlignment="1">
      <alignment horizontal="center" vertical="top"/>
    </xf>
    <xf numFmtId="0" fontId="8" fillId="0" borderId="15" xfId="0" applyFont="1" applyBorder="1" applyAlignment="1">
      <alignment vertical="top"/>
    </xf>
    <xf numFmtId="0" fontId="8" fillId="0" borderId="19" xfId="0" applyFont="1" applyBorder="1" applyAlignment="1">
      <alignment vertical="top"/>
    </xf>
    <xf numFmtId="0" fontId="8" fillId="0" borderId="15" xfId="0" applyFont="1" applyBorder="1" applyAlignment="1">
      <alignment horizontal="left" vertical="top" indent="2"/>
    </xf>
    <xf numFmtId="0" fontId="8" fillId="0" borderId="15" xfId="0" applyFont="1" applyBorder="1" applyAlignment="1">
      <alignment horizontal="center" vertical="top"/>
    </xf>
    <xf numFmtId="43" fontId="8" fillId="6" borderId="15" xfId="1" applyFont="1" applyFill="1" applyBorder="1" applyAlignment="1">
      <alignment horizontal="center" vertical="top"/>
    </xf>
    <xf numFmtId="0" fontId="8" fillId="4" borderId="23" xfId="0" applyFont="1" applyFill="1" applyBorder="1" applyAlignment="1">
      <alignment vertical="top"/>
    </xf>
    <xf numFmtId="0" fontId="11" fillId="11" borderId="0" xfId="0" applyFont="1" applyFill="1"/>
    <xf numFmtId="0" fontId="11" fillId="17" borderId="24" xfId="0" applyFont="1" applyFill="1" applyBorder="1"/>
    <xf numFmtId="0" fontId="4" fillId="18" borderId="24" xfId="0" applyFont="1" applyFill="1" applyBorder="1"/>
    <xf numFmtId="0" fontId="0" fillId="13" borderId="24" xfId="0" applyFill="1" applyBorder="1"/>
    <xf numFmtId="0" fontId="0" fillId="0" borderId="24" xfId="0" applyBorder="1"/>
    <xf numFmtId="0" fontId="0" fillId="0" borderId="25" xfId="0" applyBorder="1"/>
    <xf numFmtId="0" fontId="11" fillId="17" borderId="26" xfId="0" applyFont="1" applyFill="1" applyBorder="1"/>
    <xf numFmtId="0" fontId="4" fillId="18" borderId="26" xfId="0" applyFont="1" applyFill="1" applyBorder="1"/>
    <xf numFmtId="0" fontId="0" fillId="13" borderId="26" xfId="0" applyFill="1" applyBorder="1"/>
    <xf numFmtId="0" fontId="0" fillId="0" borderId="26" xfId="0" applyBorder="1"/>
    <xf numFmtId="0" fontId="0" fillId="0" borderId="27" xfId="0" applyBorder="1"/>
    <xf numFmtId="43" fontId="8" fillId="0" borderId="3" xfId="1" applyFont="1" applyFill="1" applyBorder="1" applyAlignment="1">
      <alignment horizontal="center" vertical="top"/>
    </xf>
    <xf numFmtId="43" fontId="11" fillId="17" borderId="24" xfId="1" applyFont="1" applyFill="1" applyBorder="1" applyAlignment="1">
      <alignment horizontal="right"/>
    </xf>
    <xf numFmtId="43" fontId="4" fillId="18" borderId="24" xfId="1" applyFont="1" applyFill="1" applyBorder="1" applyAlignment="1">
      <alignment horizontal="right"/>
    </xf>
    <xf numFmtId="43" fontId="0" fillId="13" borderId="24" xfId="1" applyFont="1" applyFill="1" applyBorder="1" applyAlignment="1">
      <alignment horizontal="right"/>
    </xf>
    <xf numFmtId="43" fontId="0" fillId="0" borderId="24" xfId="1" applyFont="1" applyBorder="1" applyAlignment="1">
      <alignment horizontal="right"/>
    </xf>
    <xf numFmtId="43" fontId="0" fillId="0" borderId="25" xfId="1" applyFont="1" applyBorder="1" applyAlignment="1">
      <alignment horizontal="right"/>
    </xf>
    <xf numFmtId="43" fontId="11" fillId="11" borderId="0" xfId="1" applyFont="1" applyFill="1" applyAlignment="1">
      <alignment horizontal="right"/>
    </xf>
    <xf numFmtId="43" fontId="0" fillId="0" borderId="0" xfId="1" applyFont="1" applyAlignment="1">
      <alignment horizontal="right"/>
    </xf>
    <xf numFmtId="0" fontId="11" fillId="17" borderId="24" xfId="0" applyFont="1" applyFill="1" applyBorder="1" applyAlignment="1">
      <alignment horizontal="center"/>
    </xf>
    <xf numFmtId="0" fontId="4" fillId="18" borderId="24" xfId="0" applyFont="1" applyFill="1" applyBorder="1" applyAlignment="1">
      <alignment horizontal="center"/>
    </xf>
    <xf numFmtId="0" fontId="0" fillId="13" borderId="24" xfId="0" applyFill="1"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11" fillId="11" borderId="0" xfId="0" applyFont="1" applyFill="1" applyAlignment="1">
      <alignment horizontal="center"/>
    </xf>
    <xf numFmtId="0" fontId="0" fillId="0" borderId="0" xfId="0" applyAlignment="1">
      <alignment horizontal="center"/>
    </xf>
    <xf numFmtId="0" fontId="0" fillId="0" borderId="28" xfId="0" applyBorder="1"/>
    <xf numFmtId="0" fontId="0" fillId="0" borderId="29" xfId="0" applyBorder="1"/>
    <xf numFmtId="0" fontId="0" fillId="0" borderId="29" xfId="0" quotePrefix="1" applyBorder="1"/>
    <xf numFmtId="0" fontId="18" fillId="10" borderId="24" xfId="0" applyFont="1" applyFill="1" applyBorder="1" applyAlignment="1">
      <alignment horizontal="left" vertical="center"/>
    </xf>
    <xf numFmtId="0" fontId="18" fillId="10" borderId="24" xfId="0" applyFont="1" applyFill="1" applyBorder="1" applyAlignment="1">
      <alignment horizontal="center" vertical="center"/>
    </xf>
    <xf numFmtId="0" fontId="18" fillId="10" borderId="24" xfId="0" applyFont="1" applyFill="1" applyBorder="1" applyAlignment="1">
      <alignment vertical="center"/>
    </xf>
    <xf numFmtId="0" fontId="19" fillId="12" borderId="24" xfId="0" applyFont="1" applyFill="1" applyBorder="1" applyAlignment="1">
      <alignment horizontal="left" vertical="center"/>
    </xf>
    <xf numFmtId="0" fontId="19" fillId="12" borderId="24" xfId="0" applyFont="1" applyFill="1" applyBorder="1" applyAlignment="1">
      <alignment horizontal="center" vertical="center"/>
    </xf>
    <xf numFmtId="0" fontId="19" fillId="12" borderId="24" xfId="0" applyFont="1" applyFill="1" applyBorder="1" applyAlignment="1">
      <alignment vertical="center"/>
    </xf>
    <xf numFmtId="0" fontId="21" fillId="10" borderId="24" xfId="0" applyFont="1" applyFill="1" applyBorder="1" applyAlignment="1">
      <alignment horizontal="center" vertical="center"/>
    </xf>
    <xf numFmtId="0" fontId="22" fillId="12" borderId="24" xfId="0" applyFont="1" applyFill="1" applyBorder="1" applyAlignment="1">
      <alignment horizontal="center" vertical="center"/>
    </xf>
    <xf numFmtId="0" fontId="24" fillId="10" borderId="24" xfId="0" applyFont="1" applyFill="1" applyBorder="1" applyAlignment="1">
      <alignment horizontal="center" vertical="center"/>
    </xf>
    <xf numFmtId="0" fontId="25" fillId="12" borderId="24" xfId="0" applyFont="1" applyFill="1" applyBorder="1" applyAlignment="1">
      <alignment horizontal="center" vertical="center"/>
    </xf>
    <xf numFmtId="0" fontId="18" fillId="10" borderId="24" xfId="0" applyFont="1" applyFill="1" applyBorder="1" applyAlignment="1">
      <alignment horizontal="left" vertical="center" wrapText="1"/>
    </xf>
    <xf numFmtId="0" fontId="19" fillId="12" borderId="24" xfId="0" applyFont="1" applyFill="1" applyBorder="1" applyAlignment="1">
      <alignment horizontal="left" vertical="center" wrapText="1"/>
    </xf>
    <xf numFmtId="0" fontId="0" fillId="0" borderId="0" xfId="0" applyAlignment="1">
      <alignment wrapText="1"/>
    </xf>
    <xf numFmtId="0" fontId="27" fillId="10" borderId="24" xfId="0" applyFont="1" applyFill="1" applyBorder="1" applyAlignment="1">
      <alignment horizontal="left" vertical="center" wrapText="1"/>
    </xf>
    <xf numFmtId="0" fontId="23" fillId="0" borderId="24" xfId="0" applyFont="1" applyBorder="1" applyAlignment="1">
      <alignment horizontal="center" vertical="center"/>
    </xf>
    <xf numFmtId="0" fontId="26" fillId="0" borderId="24" xfId="0" applyFont="1" applyBorder="1" applyAlignment="1">
      <alignment horizontal="center" vertical="center"/>
    </xf>
    <xf numFmtId="0" fontId="17" fillId="0" borderId="24" xfId="0" applyFont="1" applyBorder="1" applyAlignment="1">
      <alignment horizontal="center" vertical="center"/>
    </xf>
    <xf numFmtId="0" fontId="17" fillId="0" borderId="24" xfId="0" applyFont="1" applyBorder="1" applyAlignment="1">
      <alignment horizontal="left" vertical="center"/>
    </xf>
    <xf numFmtId="0" fontId="17" fillId="0" borderId="24" xfId="0" applyFont="1" applyBorder="1" applyAlignment="1">
      <alignment vertical="center"/>
    </xf>
    <xf numFmtId="0" fontId="32" fillId="0" borderId="24" xfId="0" applyFont="1" applyBorder="1" applyAlignment="1">
      <alignment horizontal="left" vertical="center" wrapText="1"/>
    </xf>
    <xf numFmtId="0" fontId="17" fillId="0" borderId="24" xfId="0" applyFont="1" applyBorder="1" applyAlignment="1">
      <alignment horizontal="left" vertical="center" wrapText="1"/>
    </xf>
    <xf numFmtId="16" fontId="17" fillId="0" borderId="24" xfId="0" applyNumberFormat="1" applyFont="1" applyBorder="1" applyAlignment="1">
      <alignment horizontal="center" vertical="center"/>
    </xf>
    <xf numFmtId="15" fontId="17" fillId="0" borderId="24" xfId="0" applyNumberFormat="1" applyFont="1" applyBorder="1" applyAlignment="1">
      <alignment horizontal="center" vertical="center"/>
    </xf>
    <xf numFmtId="0" fontId="29" fillId="19" borderId="24" xfId="0" applyFont="1" applyFill="1" applyBorder="1" applyAlignment="1">
      <alignment horizontal="center" vertical="center"/>
    </xf>
    <xf numFmtId="0" fontId="29" fillId="19" borderId="24" xfId="0" applyFont="1" applyFill="1" applyBorder="1" applyAlignment="1">
      <alignment horizontal="left" vertical="center"/>
    </xf>
    <xf numFmtId="0" fontId="29" fillId="19" borderId="24" xfId="0" applyFont="1" applyFill="1" applyBorder="1" applyAlignment="1">
      <alignment vertical="center"/>
    </xf>
    <xf numFmtId="0" fontId="29" fillId="19" borderId="24" xfId="0" applyFont="1" applyFill="1" applyBorder="1" applyAlignment="1">
      <alignment horizontal="left" vertical="center" wrapText="1"/>
    </xf>
    <xf numFmtId="0" fontId="29" fillId="15" borderId="24" xfId="0" applyFont="1" applyFill="1" applyBorder="1" applyAlignment="1">
      <alignment horizontal="center" vertical="center"/>
    </xf>
    <xf numFmtId="0" fontId="29" fillId="15" borderId="24" xfId="0" applyFont="1" applyFill="1" applyBorder="1" applyAlignment="1">
      <alignment horizontal="left" vertical="center"/>
    </xf>
    <xf numFmtId="0" fontId="29" fillId="15" borderId="24" xfId="0" applyFont="1" applyFill="1" applyBorder="1" applyAlignment="1">
      <alignment vertical="center"/>
    </xf>
    <xf numFmtId="0" fontId="29" fillId="15" borderId="24" xfId="0" applyFont="1" applyFill="1" applyBorder="1" applyAlignment="1">
      <alignment horizontal="left" vertical="center" wrapText="1"/>
    </xf>
    <xf numFmtId="0" fontId="23" fillId="19" borderId="24" xfId="0" applyFont="1" applyFill="1" applyBorder="1" applyAlignment="1">
      <alignment horizontal="center" vertical="center"/>
    </xf>
    <xf numFmtId="0" fontId="23" fillId="15" borderId="24" xfId="0" applyFont="1" applyFill="1" applyBorder="1" applyAlignment="1">
      <alignment horizontal="center" vertical="center"/>
    </xf>
    <xf numFmtId="0" fontId="26" fillId="19" borderId="24" xfId="0" applyFont="1" applyFill="1" applyBorder="1" applyAlignment="1">
      <alignment horizontal="center" vertical="center"/>
    </xf>
    <xf numFmtId="0" fontId="26" fillId="15" borderId="24" xfId="0" applyFont="1" applyFill="1" applyBorder="1" applyAlignment="1">
      <alignment horizontal="center" vertical="center"/>
    </xf>
    <xf numFmtId="0" fontId="30" fillId="19" borderId="24" xfId="0" applyFont="1" applyFill="1" applyBorder="1" applyAlignment="1">
      <alignment horizontal="left" vertical="center" wrapText="1"/>
    </xf>
    <xf numFmtId="0" fontId="30" fillId="15" borderId="24" xfId="0" applyFont="1" applyFill="1" applyBorder="1" applyAlignment="1">
      <alignment horizontal="left" vertical="center" wrapText="1"/>
    </xf>
    <xf numFmtId="0" fontId="20" fillId="12" borderId="24" xfId="0" applyFont="1" applyFill="1" applyBorder="1" applyAlignment="1">
      <alignment horizontal="left" vertical="center" wrapText="1"/>
    </xf>
    <xf numFmtId="0" fontId="18" fillId="11" borderId="30" xfId="0" applyFont="1" applyFill="1" applyBorder="1" applyAlignment="1">
      <alignment horizontal="center" vertical="center" wrapText="1"/>
    </xf>
    <xf numFmtId="15" fontId="17" fillId="0" borderId="31" xfId="0" applyNumberFormat="1" applyFont="1" applyBorder="1" applyAlignment="1">
      <alignment horizontal="center" vertical="center"/>
    </xf>
    <xf numFmtId="0" fontId="17" fillId="0" borderId="31" xfId="0" applyFont="1" applyBorder="1" applyAlignment="1">
      <alignment horizontal="center" vertical="center"/>
    </xf>
    <xf numFmtId="0" fontId="17" fillId="0" borderId="31" xfId="0" applyFont="1" applyBorder="1" applyAlignment="1">
      <alignment horizontal="left" vertical="center"/>
    </xf>
    <xf numFmtId="0" fontId="17" fillId="0" borderId="31" xfId="0" applyFont="1" applyBorder="1" applyAlignment="1">
      <alignment horizontal="left" vertical="center" wrapText="1"/>
    </xf>
    <xf numFmtId="0" fontId="23" fillId="0" borderId="31" xfId="0" applyFont="1" applyBorder="1" applyAlignment="1">
      <alignment horizontal="center" vertical="center"/>
    </xf>
    <xf numFmtId="0" fontId="26" fillId="0" borderId="31" xfId="0" applyFont="1" applyBorder="1" applyAlignment="1">
      <alignment horizontal="center" vertical="center"/>
    </xf>
    <xf numFmtId="0" fontId="17" fillId="0" borderId="31" xfId="0" applyFont="1" applyBorder="1" applyAlignment="1">
      <alignment vertical="center"/>
    </xf>
    <xf numFmtId="0" fontId="32" fillId="0" borderId="31" xfId="0" applyFont="1" applyBorder="1" applyAlignment="1">
      <alignment horizontal="left" vertical="center" wrapText="1"/>
    </xf>
    <xf numFmtId="0" fontId="18" fillId="11" borderId="32" xfId="0" applyFont="1" applyFill="1" applyBorder="1" applyAlignment="1">
      <alignment horizontal="center" vertical="center" wrapText="1"/>
    </xf>
    <xf numFmtId="0" fontId="18" fillId="10" borderId="33" xfId="0" applyFont="1" applyFill="1" applyBorder="1" applyAlignment="1">
      <alignment horizontal="left" vertical="center"/>
    </xf>
    <xf numFmtId="0" fontId="19" fillId="12" borderId="33" xfId="0" applyFont="1" applyFill="1" applyBorder="1" applyAlignment="1">
      <alignment horizontal="left" vertical="center"/>
    </xf>
    <xf numFmtId="0" fontId="28" fillId="19" borderId="33" xfId="0" applyFont="1" applyFill="1" applyBorder="1" applyAlignment="1">
      <alignment horizontal="left" vertical="center"/>
    </xf>
    <xf numFmtId="0" fontId="28" fillId="15" borderId="33" xfId="0" applyFont="1" applyFill="1" applyBorder="1" applyAlignment="1">
      <alignment horizontal="left" vertical="center"/>
    </xf>
    <xf numFmtId="49" fontId="28" fillId="15" borderId="33" xfId="0" applyNumberFormat="1" applyFont="1" applyFill="1" applyBorder="1" applyAlignment="1">
      <alignment horizontal="left" vertical="center"/>
    </xf>
    <xf numFmtId="0" fontId="31" fillId="0" borderId="33" xfId="0" applyFont="1" applyBorder="1" applyAlignment="1">
      <alignment horizontal="left" vertical="center"/>
    </xf>
    <xf numFmtId="0" fontId="31" fillId="0" borderId="34" xfId="0" applyFont="1" applyBorder="1" applyAlignment="1">
      <alignment horizontal="left" vertical="center"/>
    </xf>
    <xf numFmtId="0" fontId="18" fillId="11" borderId="35" xfId="0" applyFont="1" applyFill="1" applyBorder="1" applyAlignment="1">
      <alignment horizontal="center" vertical="center" wrapText="1"/>
    </xf>
    <xf numFmtId="0" fontId="33" fillId="10" borderId="36" xfId="0" applyFont="1" applyFill="1" applyBorder="1" applyAlignment="1">
      <alignment horizontal="left" vertical="center" wrapText="1"/>
    </xf>
    <xf numFmtId="0" fontId="34" fillId="12" borderId="36" xfId="0" applyFont="1" applyFill="1" applyBorder="1" applyAlignment="1">
      <alignment horizontal="left" vertical="center" wrapText="1"/>
    </xf>
    <xf numFmtId="0" fontId="35" fillId="19" borderId="36" xfId="0" applyFont="1" applyFill="1" applyBorder="1" applyAlignment="1">
      <alignment horizontal="left" vertical="center" wrapText="1"/>
    </xf>
    <xf numFmtId="0" fontId="35" fillId="15" borderId="36" xfId="0" applyFont="1" applyFill="1" applyBorder="1" applyAlignment="1">
      <alignment horizontal="left" vertical="center" wrapText="1"/>
    </xf>
    <xf numFmtId="0" fontId="35" fillId="0" borderId="36" xfId="0" applyFont="1" applyBorder="1" applyAlignment="1">
      <alignment horizontal="left" vertical="center" wrapText="1"/>
    </xf>
    <xf numFmtId="0" fontId="35" fillId="0" borderId="37" xfId="0" applyFont="1" applyBorder="1" applyAlignment="1">
      <alignment horizontal="left" vertical="center" wrapText="1"/>
    </xf>
    <xf numFmtId="0" fontId="0" fillId="0" borderId="0" xfId="0" applyAlignment="1">
      <alignment vertical="center"/>
    </xf>
    <xf numFmtId="0" fontId="0" fillId="0" borderId="0" xfId="0" applyAlignment="1">
      <alignment vertical="center" wrapText="1"/>
    </xf>
    <xf numFmtId="0" fontId="36" fillId="11" borderId="39" xfId="0" applyFont="1" applyFill="1" applyBorder="1" applyAlignment="1">
      <alignment horizontal="center" vertical="center"/>
    </xf>
    <xf numFmtId="0" fontId="36" fillId="11" borderId="38" xfId="0" applyFont="1" applyFill="1" applyBorder="1" applyAlignment="1">
      <alignment horizontal="center" vertical="center"/>
    </xf>
    <xf numFmtId="0" fontId="36" fillId="11" borderId="38" xfId="0" applyFont="1" applyFill="1" applyBorder="1" applyAlignment="1">
      <alignment horizontal="center" vertical="center" wrapText="1"/>
    </xf>
    <xf numFmtId="0" fontId="36" fillId="11" borderId="41" xfId="0" applyFont="1" applyFill="1" applyBorder="1" applyAlignment="1">
      <alignment horizontal="center" vertical="center" wrapText="1"/>
    </xf>
    <xf numFmtId="0" fontId="37" fillId="13" borderId="40" xfId="0" applyFont="1" applyFill="1" applyBorder="1" applyAlignment="1">
      <alignment vertical="center"/>
    </xf>
    <xf numFmtId="0" fontId="37" fillId="13" borderId="8" xfId="0" applyFont="1" applyFill="1" applyBorder="1" applyAlignment="1">
      <alignment vertical="center"/>
    </xf>
    <xf numFmtId="0" fontId="37" fillId="13" borderId="8" xfId="0" applyFont="1" applyFill="1" applyBorder="1" applyAlignment="1">
      <alignment vertical="center" wrapText="1"/>
    </xf>
    <xf numFmtId="0" fontId="42" fillId="22" borderId="8" xfId="0" applyFont="1" applyFill="1" applyBorder="1" applyAlignment="1">
      <alignment vertical="center"/>
    </xf>
    <xf numFmtId="0" fontId="37" fillId="13" borderId="42" xfId="0" applyFont="1" applyFill="1" applyBorder="1" applyAlignment="1">
      <alignment vertical="center" wrapText="1"/>
    </xf>
    <xf numFmtId="0" fontId="37" fillId="15" borderId="40" xfId="0" applyFont="1" applyFill="1" applyBorder="1" applyAlignment="1">
      <alignment vertical="center"/>
    </xf>
    <xf numFmtId="0" fontId="37" fillId="15" borderId="8" xfId="0" applyFont="1" applyFill="1" applyBorder="1" applyAlignment="1">
      <alignment vertical="center"/>
    </xf>
    <xf numFmtId="0" fontId="37" fillId="15" borderId="8" xfId="0" applyFont="1" applyFill="1" applyBorder="1" applyAlignment="1">
      <alignment vertical="center" wrapText="1"/>
    </xf>
    <xf numFmtId="0" fontId="37" fillId="15" borderId="42" xfId="0" applyFont="1" applyFill="1" applyBorder="1" applyAlignment="1">
      <alignment vertical="center" wrapText="1"/>
    </xf>
    <xf numFmtId="0" fontId="41" fillId="21" borderId="8" xfId="0" applyFont="1" applyFill="1" applyBorder="1" applyAlignment="1">
      <alignment vertical="center"/>
    </xf>
    <xf numFmtId="0" fontId="36" fillId="11" borderId="0" xfId="0" applyFont="1" applyFill="1" applyAlignment="1">
      <alignment horizontal="center" vertical="center"/>
    </xf>
    <xf numFmtId="0" fontId="36" fillId="11" borderId="0" xfId="0" applyFont="1" applyFill="1" applyAlignment="1">
      <alignment horizontal="center" vertical="center" wrapText="1"/>
    </xf>
    <xf numFmtId="0" fontId="36" fillId="11" borderId="8" xfId="0" applyFont="1" applyFill="1" applyBorder="1" applyAlignment="1">
      <alignment horizontal="center" vertical="center"/>
    </xf>
    <xf numFmtId="0" fontId="36" fillId="11" borderId="8" xfId="0" applyFont="1" applyFill="1" applyBorder="1" applyAlignment="1">
      <alignment horizontal="center" vertical="center" wrapText="1"/>
    </xf>
    <xf numFmtId="0" fontId="37" fillId="14" borderId="8" xfId="0" applyFont="1" applyFill="1" applyBorder="1" applyAlignment="1">
      <alignment vertical="center"/>
    </xf>
    <xf numFmtId="0" fontId="37" fillId="14" borderId="8" xfId="0" applyFont="1" applyFill="1" applyBorder="1" applyAlignment="1">
      <alignment vertical="center" wrapText="1"/>
    </xf>
    <xf numFmtId="0" fontId="37" fillId="16" borderId="8" xfId="0" applyFont="1" applyFill="1" applyBorder="1" applyAlignment="1">
      <alignment vertical="center"/>
    </xf>
    <xf numFmtId="0" fontId="37" fillId="16" borderId="8" xfId="0" applyFont="1" applyFill="1" applyBorder="1" applyAlignment="1">
      <alignment vertical="center" wrapText="1"/>
    </xf>
    <xf numFmtId="0" fontId="39" fillId="0" borderId="0" xfId="0" applyFont="1" applyAlignment="1">
      <alignment vertical="center"/>
    </xf>
    <xf numFmtId="0" fontId="38" fillId="0" borderId="0" xfId="0" applyFont="1" applyAlignment="1">
      <alignment vertical="center"/>
    </xf>
    <xf numFmtId="0" fontId="38" fillId="0" borderId="0" xfId="0" applyFont="1" applyAlignment="1">
      <alignment vertical="center" wrapText="1"/>
    </xf>
    <xf numFmtId="0" fontId="40" fillId="0" borderId="0" xfId="0" applyFont="1" applyAlignment="1">
      <alignment horizontal="center" vertical="center"/>
    </xf>
    <xf numFmtId="0" fontId="41" fillId="15" borderId="8" xfId="0" applyFont="1" applyFill="1" applyBorder="1" applyAlignment="1">
      <alignment vertical="center"/>
    </xf>
    <xf numFmtId="0" fontId="37" fillId="15" borderId="46" xfId="0" applyFont="1" applyFill="1" applyBorder="1" applyAlignment="1">
      <alignment vertical="center"/>
    </xf>
    <xf numFmtId="0" fontId="37" fillId="15" borderId="47" xfId="0" applyFont="1" applyFill="1" applyBorder="1" applyAlignment="1">
      <alignment vertical="center"/>
    </xf>
    <xf numFmtId="0" fontId="37" fillId="15" borderId="47" xfId="0" applyFont="1" applyFill="1" applyBorder="1" applyAlignment="1">
      <alignment vertical="center" wrapText="1"/>
    </xf>
    <xf numFmtId="0" fontId="42" fillId="22" borderId="47" xfId="0" applyFont="1" applyFill="1" applyBorder="1" applyAlignment="1">
      <alignment vertical="center"/>
    </xf>
    <xf numFmtId="0" fontId="37" fillId="15" borderId="48" xfId="0" applyFont="1" applyFill="1" applyBorder="1" applyAlignment="1">
      <alignment vertical="center" wrapText="1"/>
    </xf>
    <xf numFmtId="0" fontId="43" fillId="11" borderId="8" xfId="0" applyFont="1" applyFill="1" applyBorder="1" applyAlignment="1">
      <alignment horizontal="center" vertical="center"/>
    </xf>
    <xf numFmtId="0" fontId="43" fillId="11" borderId="8" xfId="0" applyFont="1" applyFill="1" applyBorder="1" applyAlignment="1">
      <alignment horizontal="center" vertical="center" wrapText="1"/>
    </xf>
    <xf numFmtId="0" fontId="36" fillId="11" borderId="20" xfId="0" applyFont="1" applyFill="1" applyBorder="1" applyAlignment="1">
      <alignment horizontal="center" vertical="center"/>
    </xf>
    <xf numFmtId="0" fontId="36" fillId="11" borderId="20" xfId="0" applyFont="1" applyFill="1" applyBorder="1" applyAlignment="1">
      <alignment horizontal="center" vertical="center" wrapText="1"/>
    </xf>
    <xf numFmtId="0" fontId="37" fillId="16" borderId="47" xfId="0" applyFont="1" applyFill="1" applyBorder="1" applyAlignment="1">
      <alignment vertical="center"/>
    </xf>
    <xf numFmtId="0" fontId="37" fillId="16" borderId="47" xfId="0" applyFont="1" applyFill="1" applyBorder="1" applyAlignment="1">
      <alignment vertical="center" wrapText="1"/>
    </xf>
    <xf numFmtId="0" fontId="37" fillId="0" borderId="8" xfId="0" applyFont="1" applyBorder="1" applyAlignment="1">
      <alignment vertical="center"/>
    </xf>
    <xf numFmtId="0" fontId="37" fillId="0" borderId="8" xfId="0" applyFont="1" applyBorder="1" applyAlignment="1">
      <alignment vertical="center" wrapText="1"/>
    </xf>
    <xf numFmtId="0" fontId="37" fillId="16" borderId="20" xfId="0" applyFont="1" applyFill="1" applyBorder="1" applyAlignment="1">
      <alignment vertical="center"/>
    </xf>
    <xf numFmtId="0" fontId="37" fillId="16" borderId="20" xfId="0" applyFont="1" applyFill="1" applyBorder="1" applyAlignment="1">
      <alignment vertical="center" wrapText="1"/>
    </xf>
    <xf numFmtId="0" fontId="37" fillId="20" borderId="47" xfId="0" applyFont="1" applyFill="1" applyBorder="1" applyAlignment="1">
      <alignment vertical="center"/>
    </xf>
    <xf numFmtId="0" fontId="37" fillId="20" borderId="47" xfId="0" applyFont="1" applyFill="1" applyBorder="1" applyAlignment="1">
      <alignment vertical="center" wrapText="1"/>
    </xf>
    <xf numFmtId="0" fontId="37" fillId="20" borderId="20" xfId="0" applyFont="1" applyFill="1" applyBorder="1" applyAlignment="1">
      <alignment vertical="center"/>
    </xf>
    <xf numFmtId="0" fontId="37" fillId="20" borderId="20" xfId="0" applyFont="1" applyFill="1" applyBorder="1" applyAlignment="1">
      <alignment vertical="center" wrapText="1"/>
    </xf>
    <xf numFmtId="0" fontId="36" fillId="11" borderId="8" xfId="0" applyFont="1" applyFill="1" applyBorder="1" applyAlignment="1">
      <alignment horizontal="left" vertical="center"/>
    </xf>
    <xf numFmtId="0" fontId="11" fillId="17" borderId="49" xfId="0" applyFont="1" applyFill="1" applyBorder="1" applyAlignment="1">
      <alignment horizontal="left" wrapText="1"/>
    </xf>
    <xf numFmtId="0" fontId="0" fillId="5" borderId="0" xfId="0" applyFill="1"/>
    <xf numFmtId="15" fontId="0" fillId="5" borderId="0" xfId="0" applyNumberFormat="1" applyFill="1"/>
    <xf numFmtId="0" fontId="11" fillId="4" borderId="49" xfId="0" applyFont="1" applyFill="1" applyBorder="1" applyAlignment="1">
      <alignment horizontal="left" vertical="top" wrapText="1"/>
    </xf>
    <xf numFmtId="0" fontId="11" fillId="4" borderId="49" xfId="0" applyFont="1" applyFill="1" applyBorder="1" applyAlignment="1">
      <alignment horizontal="center" vertical="top" wrapText="1"/>
    </xf>
    <xf numFmtId="43" fontId="11" fillId="4" borderId="49" xfId="1" applyFont="1" applyFill="1" applyBorder="1" applyAlignment="1">
      <alignment horizontal="right" vertical="top" wrapText="1"/>
    </xf>
    <xf numFmtId="0" fontId="11" fillId="4" borderId="50" xfId="0" applyFont="1" applyFill="1" applyBorder="1" applyAlignment="1">
      <alignment horizontal="center" vertical="top" wrapText="1"/>
    </xf>
    <xf numFmtId="0" fontId="42" fillId="22" borderId="8" xfId="0" applyFont="1" applyFill="1" applyBorder="1" applyAlignment="1">
      <alignment horizontal="left" vertical="center"/>
    </xf>
    <xf numFmtId="0" fontId="36" fillId="11" borderId="8" xfId="0" applyFont="1" applyFill="1" applyBorder="1" applyAlignment="1">
      <alignment horizontal="left" vertical="center" wrapText="1"/>
    </xf>
    <xf numFmtId="0" fontId="37" fillId="20" borderId="8" xfId="0" applyFont="1" applyFill="1" applyBorder="1" applyAlignment="1">
      <alignment horizontal="left" vertical="center"/>
    </xf>
    <xf numFmtId="0" fontId="37" fillId="20" borderId="8" xfId="0" applyFont="1" applyFill="1" applyBorder="1" applyAlignment="1">
      <alignment horizontal="left" vertical="center" wrapText="1"/>
    </xf>
    <xf numFmtId="0" fontId="37" fillId="15" borderId="8" xfId="0" applyFont="1" applyFill="1" applyBorder="1" applyAlignment="1">
      <alignment horizontal="left" vertical="center"/>
    </xf>
    <xf numFmtId="0" fontId="37" fillId="15" borderId="8" xfId="0" applyFont="1" applyFill="1" applyBorder="1" applyAlignment="1">
      <alignment horizontal="left" vertical="center" wrapText="1"/>
    </xf>
    <xf numFmtId="0" fontId="37" fillId="0" borderId="8" xfId="0" applyFont="1" applyBorder="1" applyAlignment="1">
      <alignment horizontal="left" vertical="center"/>
    </xf>
    <xf numFmtId="0" fontId="37" fillId="0" borderId="8" xfId="0" applyFont="1" applyBorder="1" applyAlignment="1">
      <alignment horizontal="left" vertical="center" wrapText="1"/>
    </xf>
    <xf numFmtId="0" fontId="49" fillId="20" borderId="8" xfId="0" applyFont="1" applyFill="1" applyBorder="1" applyAlignment="1">
      <alignment horizontal="left" vertical="center"/>
    </xf>
    <xf numFmtId="0" fontId="49" fillId="20" borderId="8" xfId="0" applyFont="1" applyFill="1" applyBorder="1" applyAlignment="1">
      <alignment horizontal="left" vertical="center" wrapText="1"/>
    </xf>
    <xf numFmtId="0" fontId="50" fillId="13" borderId="8" xfId="0" applyFont="1" applyFill="1" applyBorder="1" applyAlignment="1">
      <alignment horizontal="left" vertical="center"/>
    </xf>
    <xf numFmtId="0" fontId="50" fillId="13" borderId="8" xfId="0" applyFont="1" applyFill="1" applyBorder="1" applyAlignment="1">
      <alignment horizontal="left" vertical="center" wrapText="1"/>
    </xf>
    <xf numFmtId="0" fontId="12" fillId="10" borderId="0" xfId="0" applyFont="1" applyFill="1" applyAlignment="1">
      <alignment vertical="center"/>
    </xf>
    <xf numFmtId="0" fontId="43" fillId="10" borderId="8" xfId="0" applyFont="1" applyFill="1" applyBorder="1" applyAlignment="1">
      <alignment vertical="center"/>
    </xf>
    <xf numFmtId="0" fontId="37" fillId="20" borderId="8" xfId="0" applyFont="1" applyFill="1" applyBorder="1" applyAlignment="1">
      <alignment horizontal="left" vertical="center"/>
    </xf>
    <xf numFmtId="0" fontId="44" fillId="13" borderId="5" xfId="0" applyFont="1" applyFill="1" applyBorder="1" applyAlignment="1">
      <alignment vertical="center"/>
    </xf>
    <xf numFmtId="0" fontId="44" fillId="13" borderId="6" xfId="0" applyFont="1" applyFill="1" applyBorder="1" applyAlignment="1">
      <alignment vertical="center"/>
    </xf>
    <xf numFmtId="0" fontId="44" fillId="13" borderId="7" xfId="0" applyFont="1" applyFill="1" applyBorder="1" applyAlignment="1">
      <alignment vertical="center"/>
    </xf>
    <xf numFmtId="0" fontId="43" fillId="13" borderId="8" xfId="0" applyFont="1" applyFill="1" applyBorder="1" applyAlignment="1">
      <alignment vertical="center"/>
    </xf>
    <xf numFmtId="0" fontId="12" fillId="10" borderId="5" xfId="0" applyFont="1" applyFill="1" applyBorder="1" applyAlignment="1">
      <alignment vertical="center"/>
    </xf>
    <xf numFmtId="0" fontId="12" fillId="10" borderId="6" xfId="0" applyFont="1" applyFill="1" applyBorder="1" applyAlignment="1">
      <alignment vertical="center"/>
    </xf>
    <xf numFmtId="0" fontId="12" fillId="10" borderId="7" xfId="0" applyFont="1" applyFill="1" applyBorder="1" applyAlignment="1">
      <alignment vertical="center"/>
    </xf>
    <xf numFmtId="0" fontId="12" fillId="10" borderId="43" xfId="0" applyFont="1" applyFill="1" applyBorder="1" applyAlignment="1">
      <alignment vertical="center"/>
    </xf>
    <xf numFmtId="0" fontId="12" fillId="10" borderId="44" xfId="0" applyFont="1" applyFill="1" applyBorder="1" applyAlignment="1">
      <alignment vertical="center"/>
    </xf>
    <xf numFmtId="0" fontId="12" fillId="10" borderId="45" xfId="0" applyFont="1" applyFill="1" applyBorder="1" applyAlignment="1">
      <alignment vertical="center"/>
    </xf>
    <xf numFmtId="0" fontId="12" fillId="10" borderId="13" xfId="0" applyFont="1" applyFill="1" applyBorder="1" applyAlignment="1">
      <alignment vertical="center"/>
    </xf>
    <xf numFmtId="0" fontId="0" fillId="0" borderId="0" xfId="0" applyAlignment="1">
      <alignment vertical="center" wrapText="1"/>
    </xf>
    <xf numFmtId="0" fontId="36" fillId="11" borderId="8" xfId="0" applyFont="1" applyFill="1" applyBorder="1" applyAlignment="1">
      <alignment horizontal="center" vertical="center"/>
    </xf>
    <xf numFmtId="0" fontId="45" fillId="5" borderId="0" xfId="0" applyFont="1" applyFill="1" applyAlignment="1">
      <alignment vertical="center"/>
    </xf>
    <xf numFmtId="0" fontId="46" fillId="5" borderId="0" xfId="0" applyFont="1" applyFill="1" applyAlignment="1">
      <alignment vertical="center"/>
    </xf>
    <xf numFmtId="0" fontId="47" fillId="5" borderId="0" xfId="0" applyFont="1" applyFill="1" applyAlignment="1">
      <alignment vertical="center"/>
    </xf>
    <xf numFmtId="0" fontId="48" fillId="5" borderId="0" xfId="0" applyFont="1" applyFill="1" applyAlignment="1">
      <alignment vertical="center"/>
    </xf>
    <xf numFmtId="0" fontId="13" fillId="5" borderId="0" xfId="0" applyFont="1" applyFill="1" applyAlignment="1">
      <alignment horizontal="center"/>
    </xf>
    <xf numFmtId="0" fontId="4" fillId="5" borderId="0" xfId="0" applyFont="1" applyFill="1" applyAlignment="1">
      <alignment horizontal="center"/>
    </xf>
    <xf numFmtId="0" fontId="15" fillId="15" borderId="0" xfId="0" applyFont="1" applyFill="1"/>
    <xf numFmtId="0" fontId="14" fillId="15" borderId="0" xfId="0" applyFont="1" applyFill="1"/>
    <xf numFmtId="0" fontId="16" fillId="15" borderId="0" xfId="0" applyFont="1" applyFill="1"/>
  </cellXfs>
  <cellStyles count="4">
    <cellStyle name="Comma" xfId="1" builtinId="3"/>
    <cellStyle name="Comma 2" xfId="3" xr:uid="{125F1602-FB78-433C-9F10-F3E6C98AC835}"/>
    <cellStyle name="Normal" xfId="0" builtinId="0"/>
    <cellStyle name="Normal 2 3" xfId="2" xr:uid="{5FE7FC41-A187-423D-B935-6F0EF4D19B37}"/>
  </cellStyles>
  <dxfs count="63">
    <dxf>
      <font>
        <b val="0"/>
        <i val="0"/>
        <color auto="1"/>
      </font>
      <fill>
        <patternFill patternType="none">
          <bgColor auto="1"/>
        </patternFill>
      </fill>
    </dxf>
    <dxf>
      <font>
        <b/>
        <i val="0"/>
        <color theme="0"/>
      </font>
      <fill>
        <patternFill>
          <bgColor theme="3" tint="0.499984740745262"/>
        </patternFill>
      </fill>
    </dxf>
    <dxf>
      <font>
        <b/>
        <i val="0"/>
        <color theme="0"/>
      </font>
      <fill>
        <patternFill>
          <bgColor theme="3" tint="0.24994659260841701"/>
        </patternFill>
      </fill>
    </dxf>
    <dxf>
      <font>
        <b/>
        <i val="0"/>
        <color theme="0"/>
      </font>
      <fill>
        <patternFill>
          <bgColor theme="3"/>
        </patternFill>
      </fill>
    </dxf>
    <dxf>
      <font>
        <b/>
        <i val="0"/>
        <color theme="0"/>
      </font>
      <fill>
        <patternFill>
          <bgColor theme="3"/>
        </patternFill>
      </fill>
    </dxf>
    <dxf>
      <font>
        <b/>
        <i val="0"/>
        <color auto="1"/>
      </font>
      <fill>
        <patternFill patternType="solid">
          <bgColor theme="3" tint="0.749961851863155"/>
        </patternFill>
      </fill>
    </dxf>
    <dxf>
      <font>
        <b val="0"/>
        <i val="0"/>
        <color auto="1"/>
      </font>
      <fill>
        <patternFill patternType="none">
          <bgColor auto="1"/>
        </patternFill>
      </fill>
    </dxf>
    <dxf>
      <font>
        <b/>
        <i val="0"/>
        <color theme="0"/>
      </font>
      <fill>
        <patternFill>
          <bgColor theme="3" tint="0.499984740745262"/>
        </patternFill>
      </fill>
    </dxf>
    <dxf>
      <font>
        <b/>
        <i val="0"/>
        <color theme="0"/>
      </font>
      <fill>
        <patternFill>
          <bgColor theme="3" tint="0.24994659260841701"/>
        </patternFill>
      </fill>
    </dxf>
    <dxf>
      <font>
        <b/>
        <i val="0"/>
        <color theme="0"/>
      </font>
      <fill>
        <patternFill>
          <bgColor theme="3"/>
        </patternFill>
      </fill>
    </dxf>
    <dxf>
      <font>
        <b/>
        <i val="0"/>
        <color theme="0"/>
      </font>
      <fill>
        <patternFill>
          <bgColor theme="3"/>
        </patternFill>
      </fill>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border outline="0">
        <bottom style="thin">
          <color rgb="FFD9D9D9"/>
        </bottom>
      </border>
    </dxf>
    <dxf>
      <font>
        <b/>
        <i val="0"/>
        <strike val="0"/>
        <condense val="0"/>
        <extend val="0"/>
        <outline val="0"/>
        <shadow val="0"/>
        <u val="none"/>
        <vertAlign val="baseline"/>
        <sz val="11"/>
        <color rgb="FFFFFFFF"/>
        <name val="Calibri"/>
        <family val="2"/>
        <scheme val="minor"/>
      </font>
      <fill>
        <patternFill patternType="solid">
          <fgColor indexed="64"/>
          <bgColor rgb="FF002060"/>
        </patternFill>
      </fill>
      <alignment horizontal="center" vertical="bottom" textRotation="0" wrapText="1" indent="0" justifyLastLine="0" shrinkToFit="0" readingOrder="0"/>
      <border diagonalUp="0" diagonalDown="0" outline="0">
        <left style="thin">
          <color rgb="FFD9D9D9"/>
        </left>
        <right style="thin">
          <color rgb="FFD9D9D9"/>
        </right>
        <top/>
        <bottom/>
      </border>
    </dxf>
    <dxf>
      <font>
        <strike val="0"/>
        <outline val="0"/>
        <shadow val="0"/>
        <u val="none"/>
        <vertAlign val="baseline"/>
        <sz val="9"/>
        <name val="Arial Nova"/>
        <family val="2"/>
        <scheme val="none"/>
      </font>
      <alignment vertical="top" textRotation="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9"/>
        <name val="Arial Nova"/>
        <family val="2"/>
        <scheme val="none"/>
      </font>
      <alignment vertical="top" textRotation="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9"/>
        <color theme="1"/>
        <name val="Arial Nova"/>
        <family val="2"/>
        <scheme val="none"/>
      </font>
      <fill>
        <patternFill patternType="solid">
          <fgColor indexed="64"/>
          <bgColor theme="1"/>
        </patternFill>
      </fill>
      <alignment vertical="top" textRotation="0" indent="0" justifyLastLine="0" shrinkToFit="0" readingOrder="0"/>
      <border diagonalUp="0" diagonalDown="0" outline="0">
        <left style="thin">
          <color theme="1"/>
        </left>
        <right style="thin">
          <color theme="1"/>
        </right>
        <top style="thin">
          <color theme="1"/>
        </top>
        <bottom style="thin">
          <color theme="1"/>
        </bottom>
      </border>
    </dxf>
    <dxf>
      <font>
        <strike val="0"/>
        <outline val="0"/>
        <shadow val="0"/>
        <u val="none"/>
        <vertAlign val="baseline"/>
        <sz val="9"/>
        <name val="Arial Nova"/>
        <family val="2"/>
        <scheme val="none"/>
      </font>
      <alignment vertical="top" textRotation="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9"/>
        <name val="Arial Nova"/>
        <family val="2"/>
        <scheme val="none"/>
      </font>
      <alignment vertical="top" textRotation="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9"/>
        <color theme="1"/>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9"/>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9"/>
        <name val="Arial Nova"/>
        <family val="2"/>
        <scheme val="none"/>
      </font>
      <alignment horizontal="center" vertical="top" textRotation="0" wrapText="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9"/>
        <name val="Arial Nova"/>
        <family val="2"/>
        <scheme val="none"/>
      </font>
      <numFmt numFmtId="0" formatCode="General"/>
      <alignment vertical="top" textRotation="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9"/>
        <color theme="1"/>
        <name val="Arial Nova"/>
        <family val="2"/>
        <scheme val="none"/>
      </font>
      <numFmt numFmtId="0" formatCode="General"/>
      <fill>
        <patternFill patternType="solid">
          <fgColor indexed="64"/>
          <bgColor theme="0"/>
        </patternFill>
      </fill>
      <alignment horizontal="center" vertical="top" textRotation="0" wrapText="0" indent="0" justifyLastLine="0" shrinkToFit="0" readingOrder="0"/>
      <border diagonalUp="0" diagonalDown="0">
        <left style="thin">
          <color auto="1"/>
        </left>
        <right style="thin">
          <color auto="1"/>
        </right>
        <top style="hair">
          <color auto="1"/>
        </top>
        <bottom style="hair">
          <color auto="1"/>
        </bottom>
        <vertical/>
        <horizontal/>
      </border>
    </dxf>
    <dxf>
      <font>
        <b val="0"/>
        <i val="0"/>
        <strike val="0"/>
        <condense val="0"/>
        <extend val="0"/>
        <outline val="0"/>
        <shadow val="0"/>
        <u val="none"/>
        <vertAlign val="baseline"/>
        <sz val="9"/>
        <color theme="1"/>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auto="1"/>
        </left>
        <right style="thin">
          <color auto="1"/>
        </right>
        <top style="hair">
          <color auto="1"/>
        </top>
        <bottom style="hair">
          <color auto="1"/>
        </bottom>
        <vertical/>
        <horizontal/>
      </border>
    </dxf>
    <dxf>
      <font>
        <b val="0"/>
        <i val="0"/>
        <strike val="0"/>
        <condense val="0"/>
        <extend val="0"/>
        <outline val="0"/>
        <shadow val="0"/>
        <u val="none"/>
        <vertAlign val="baseline"/>
        <sz val="9"/>
        <color theme="1"/>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9"/>
        <color theme="1"/>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9"/>
        <name val="Arial Nova"/>
        <family val="2"/>
        <scheme val="none"/>
      </font>
      <numFmt numFmtId="0" formatCode="General"/>
      <alignment horizontal="left" vertical="top" textRotation="0" wrapText="0" indent="0" justifyLastLine="0" shrinkToFit="0" readingOrder="0"/>
      <border diagonalUp="0" diagonalDown="0">
        <left style="thin">
          <color auto="1"/>
        </left>
        <right style="thin">
          <color auto="1"/>
        </right>
        <top style="hair">
          <color auto="1"/>
        </top>
        <bottom style="hair">
          <color auto="1"/>
        </bottom>
      </border>
    </dxf>
    <dxf>
      <font>
        <strike val="0"/>
        <outline val="0"/>
        <shadow val="0"/>
        <u val="none"/>
        <vertAlign val="baseline"/>
        <sz val="9"/>
        <name val="Arial Nova"/>
        <family val="2"/>
        <scheme val="none"/>
      </font>
      <alignment vertical="top" textRotation="0" wrapText="0" indent="0" justifyLastLine="0" shrinkToFit="0" readingOrder="0"/>
    </dxf>
    <dxf>
      <font>
        <strike val="0"/>
        <outline val="0"/>
        <shadow val="0"/>
        <u val="none"/>
        <vertAlign val="baseline"/>
        <sz val="9"/>
        <name val="Arial Nova"/>
        <family val="2"/>
        <scheme val="none"/>
      </font>
      <alignment vertical="top" textRotation="0" wrapText="0" indent="0" justifyLastLine="0" shrinkToFit="0" readingOrder="0"/>
    </dxf>
    <dxf>
      <font>
        <strike val="0"/>
        <outline val="0"/>
        <shadow val="0"/>
        <u val="none"/>
        <vertAlign val="baseline"/>
        <sz val="9"/>
        <name val="Arial Nova"/>
        <family val="2"/>
        <scheme val="none"/>
      </font>
      <alignment vertical="top" textRotation="0" wrapText="0" indent="0" justifyLastLine="0" shrinkToFit="0" readingOrder="0"/>
    </dxf>
    <dxf>
      <font>
        <strike val="0"/>
        <outline val="0"/>
        <shadow val="0"/>
        <u val="none"/>
        <vertAlign val="baseline"/>
        <sz val="9"/>
        <name val="Arial Nova"/>
        <family val="2"/>
        <scheme val="none"/>
      </font>
      <alignment vertical="top" textRotation="0" wrapText="0" indent="0" justifyLastLine="0" shrinkToFit="0" readingOrder="0"/>
    </dxf>
    <dxf>
      <font>
        <strike val="0"/>
        <outline val="0"/>
        <shadow val="0"/>
        <u val="none"/>
        <vertAlign val="baseline"/>
        <sz val="9"/>
        <name val="Arial Nova"/>
        <family val="2"/>
        <scheme val="none"/>
      </font>
      <alignment vertical="top" textRotation="0" wrapText="0" indent="0" justifyLastLine="0" shrinkToFit="0" readingOrder="0"/>
      <border outline="0">
        <left style="thin">
          <color auto="1"/>
        </left>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left" vertical="top" textRotation="0" wrapText="0" indent="0" justifyLastLine="0" shrinkToFit="0" readingOrder="0"/>
      <border diagonalUp="0" diagonalDown="0">
        <left style="thin">
          <color auto="1"/>
        </left>
        <right style="thin">
          <color auto="1"/>
        </right>
        <top/>
        <bottom/>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left style="thin">
          <color auto="1"/>
        </left>
        <right style="thin">
          <color auto="1"/>
        </right>
        <top/>
        <bottom/>
      </border>
    </dxf>
    <dxf>
      <font>
        <b val="0"/>
        <i val="0"/>
        <strike val="0"/>
        <condense val="0"/>
        <extend val="0"/>
        <outline val="0"/>
        <shadow val="0"/>
        <u val="none"/>
        <vertAlign val="baseline"/>
        <sz val="9"/>
        <color theme="1"/>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left style="thin">
          <color auto="1"/>
        </left>
        <right style="thin">
          <color auto="1"/>
        </right>
        <top/>
        <bottom/>
        <vertical/>
        <horizontal/>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left style="thin">
          <color auto="1"/>
        </left>
        <right style="thin">
          <color auto="1"/>
        </right>
        <top/>
        <bottom/>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9"/>
        <name val="Arial Nova"/>
        <family val="2"/>
        <scheme val="none"/>
      </font>
      <alignment vertical="top" textRotation="0" indent="0" justifyLastLine="0" shrinkToFit="0" readingOrder="0"/>
    </dxf>
    <dxf>
      <font>
        <b/>
        <i val="0"/>
        <strike val="0"/>
        <condense val="0"/>
        <extend val="0"/>
        <outline val="0"/>
        <shadow val="0"/>
        <u val="none"/>
        <vertAlign val="baseline"/>
        <sz val="9"/>
        <color theme="1"/>
        <name val="Arial Nova"/>
        <family val="2"/>
        <scheme val="none"/>
      </font>
    </dxf>
    <dxf>
      <font>
        <b/>
        <color theme="1"/>
      </font>
      <border>
        <bottom style="thin">
          <color rgb="FF4F81BD"/>
        </bottom>
        <vertical/>
        <horizontal/>
      </border>
    </dxf>
    <dxf>
      <font>
        <sz val="8"/>
        <color theme="1"/>
      </font>
      <border>
        <left style="thin">
          <color rgb="FF4F81BD"/>
        </left>
        <right style="thin">
          <color rgb="FF4F81BD"/>
        </right>
        <top style="thin">
          <color rgb="FF4F81BD"/>
        </top>
        <bottom style="thin">
          <color rgb="FF4F81BD"/>
        </bottom>
        <vertical/>
        <horizontal/>
      </border>
    </dxf>
    <dxf>
      <font>
        <b/>
        <color theme="1"/>
      </font>
      <border>
        <bottom style="thin">
          <color theme="8"/>
        </bottom>
        <vertical/>
        <horizontal/>
      </border>
    </dxf>
    <dxf>
      <font>
        <sz val="8"/>
        <color theme="1"/>
      </font>
      <border>
        <left style="thin">
          <color theme="8"/>
        </left>
        <right style="thin">
          <color theme="8"/>
        </right>
        <top style="thin">
          <color theme="8"/>
        </top>
        <bottom style="thin">
          <color theme="8"/>
        </bottom>
        <vertical/>
        <horizontal/>
      </border>
    </dxf>
  </dxfs>
  <tableStyles count="2" defaultTableStyle="TableStyleMedium2" defaultPivotStyle="PivotStyleLight16">
    <tableStyle name="CQH2" pivot="0" table="0" count="10" xr9:uid="{AEA9EB62-B433-4B80-9DC4-5376AD8154C8}">
      <tableStyleElement type="wholeTable" dxfId="62"/>
      <tableStyleElement type="headerRow" dxfId="61"/>
    </tableStyle>
    <tableStyle name="SlicerStyleOther2 2" pivot="0" table="0" count="10" xr9:uid="{13C164B4-10BC-4A3B-9A8D-56D2670ADBC1}">
      <tableStyleElement type="wholeTable" dxfId="60"/>
      <tableStyleElement type="headerRow" dxfId="59"/>
    </tableStyle>
  </tableStyles>
  <colors>
    <mruColors>
      <color rgb="FFFFFFCC"/>
      <color rgb="FFFFCC99"/>
      <color rgb="FFFFCCCC"/>
    </mruColors>
  </colors>
  <extLst>
    <ext xmlns:x14="http://schemas.microsoft.com/office/spreadsheetml/2009/9/main" uri="{46F421CA-312F-682f-3DD2-61675219B42D}">
      <x14:dxfs count="16">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QH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externalLink" Target="externalLinks/externalLink2.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ustomXml" Target="../customXml/item2.xml"/><Relationship Id="rId10" Type="http://schemas.openxmlformats.org/officeDocument/2006/relationships/externalLink" Target="externalLinks/externalLink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07/relationships/slicerCache" Target="slicerCaches/slicerCache3.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absoluteAnchor>
    <xdr:pos x="1762125" y="0"/>
    <xdr:ext cx="546735" cy="1636875"/>
    <mc:AlternateContent xmlns:mc="http://schemas.openxmlformats.org/markup-compatibility/2006" xmlns:sle15="http://schemas.microsoft.com/office/drawing/2012/slicer">
      <mc:Choice Requires="sle15">
        <xdr:graphicFrame macro="">
          <xdr:nvGraphicFramePr>
            <xdr:cNvPr id="3" name="LEVEL 12">
              <a:extLst>
                <a:ext uri="{FF2B5EF4-FFF2-40B4-BE49-F238E27FC236}">
                  <a16:creationId xmlns:a16="http://schemas.microsoft.com/office/drawing/2014/main" id="{CAB75DC5-2257-4174-9F0F-5B619131C768}"/>
                </a:ext>
              </a:extLst>
            </xdr:cNvPr>
            <xdr:cNvGraphicFramePr/>
          </xdr:nvGraphicFramePr>
          <xdr:xfrm>
            <a:off x="0" y="0"/>
            <a:ext cx="0" cy="0"/>
          </xdr:xfrm>
          <a:graphic>
            <a:graphicData uri="http://schemas.microsoft.com/office/drawing/2010/slicer">
              <sle:slicer xmlns:sle="http://schemas.microsoft.com/office/drawing/2010/slicer" name="LEVEL 12"/>
            </a:graphicData>
          </a:graphic>
        </xdr:graphicFrame>
      </mc:Choice>
      <mc:Fallback xmlns="">
        <xdr:sp macro="" textlink="">
          <xdr:nvSpPr>
            <xdr:cNvPr id="0" name=""/>
            <xdr:cNvSpPr>
              <a:spLocks noTextEdit="1"/>
            </xdr:cNvSpPr>
          </xdr:nvSpPr>
          <xdr:spPr>
            <a:xfrm>
              <a:off x="1762125" y="0"/>
              <a:ext cx="546735" cy="1636875"/>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twoCellAnchor editAs="absolute">
    <xdr:from>
      <xdr:col>17</xdr:col>
      <xdr:colOff>809625</xdr:colOff>
      <xdr:row>0</xdr:row>
      <xdr:rowOff>0</xdr:rowOff>
    </xdr:from>
    <xdr:to>
      <xdr:col>20</xdr:col>
      <xdr:colOff>556260</xdr:colOff>
      <xdr:row>5</xdr:row>
      <xdr:rowOff>152100</xdr:rowOff>
    </xdr:to>
    <mc:AlternateContent xmlns:mc="http://schemas.openxmlformats.org/markup-compatibility/2006" xmlns:sle15="http://schemas.microsoft.com/office/drawing/2012/slicer">
      <mc:Choice Requires="sle15">
        <xdr:graphicFrame macro="">
          <xdr:nvGraphicFramePr>
            <xdr:cNvPr id="4" name="L2 10">
              <a:extLst>
                <a:ext uri="{FF2B5EF4-FFF2-40B4-BE49-F238E27FC236}">
                  <a16:creationId xmlns:a16="http://schemas.microsoft.com/office/drawing/2014/main" id="{DF256F95-5BF9-4DAD-8FC9-153C2B8FD7B6}"/>
                </a:ext>
              </a:extLst>
            </xdr:cNvPr>
            <xdr:cNvGraphicFramePr/>
          </xdr:nvGraphicFramePr>
          <xdr:xfrm>
            <a:off x="0" y="0"/>
            <a:ext cx="0" cy="0"/>
          </xdr:xfrm>
          <a:graphic>
            <a:graphicData uri="http://schemas.microsoft.com/office/drawing/2010/slicer">
              <sle:slicer xmlns:sle="http://schemas.microsoft.com/office/drawing/2010/slicer" name="L2 10"/>
            </a:graphicData>
          </a:graphic>
        </xdr:graphicFrame>
      </mc:Choice>
      <mc:Fallback xmlns="">
        <xdr:sp macro="" textlink="">
          <xdr:nvSpPr>
            <xdr:cNvPr id="0" name=""/>
            <xdr:cNvSpPr>
              <a:spLocks noTextEdit="1"/>
            </xdr:cNvSpPr>
          </xdr:nvSpPr>
          <xdr:spPr>
            <a:xfrm>
              <a:off x="3910965" y="0"/>
              <a:ext cx="4943475" cy="1638000"/>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20</xdr:col>
      <xdr:colOff>579120</xdr:colOff>
      <xdr:row>0</xdr:row>
      <xdr:rowOff>0</xdr:rowOff>
    </xdr:from>
    <xdr:to>
      <xdr:col>27</xdr:col>
      <xdr:colOff>7526655</xdr:colOff>
      <xdr:row>5</xdr:row>
      <xdr:rowOff>152100</xdr:rowOff>
    </xdr:to>
    <mc:AlternateContent xmlns:mc="http://schemas.openxmlformats.org/markup-compatibility/2006" xmlns:sle15="http://schemas.microsoft.com/office/drawing/2012/slicer">
      <mc:Choice Requires="sle15">
        <xdr:graphicFrame macro="">
          <xdr:nvGraphicFramePr>
            <xdr:cNvPr id="2" name="L3">
              <a:extLst>
                <a:ext uri="{FF2B5EF4-FFF2-40B4-BE49-F238E27FC236}">
                  <a16:creationId xmlns:a16="http://schemas.microsoft.com/office/drawing/2014/main" id="{FAE8EB71-F809-8834-00E0-8C5AD6EDE61D}"/>
                </a:ext>
              </a:extLst>
            </xdr:cNvPr>
            <xdr:cNvGraphicFramePr/>
          </xdr:nvGraphicFramePr>
          <xdr:xfrm>
            <a:off x="0" y="0"/>
            <a:ext cx="0" cy="0"/>
          </xdr:xfrm>
          <a:graphic>
            <a:graphicData uri="http://schemas.microsoft.com/office/drawing/2010/slicer">
              <sle:slicer xmlns:sle="http://schemas.microsoft.com/office/drawing/2010/slicer" name="L3"/>
            </a:graphicData>
          </a:graphic>
        </xdr:graphicFrame>
      </mc:Choice>
      <mc:Fallback xmlns="">
        <xdr:sp macro="" textlink="">
          <xdr:nvSpPr>
            <xdr:cNvPr id="0" name=""/>
            <xdr:cNvSpPr>
              <a:spLocks noTextEdit="1"/>
            </xdr:cNvSpPr>
          </xdr:nvSpPr>
          <xdr:spPr>
            <a:xfrm>
              <a:off x="8877300" y="0"/>
              <a:ext cx="14498955" cy="1638000"/>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236220</xdr:colOff>
      <xdr:row>0</xdr:row>
      <xdr:rowOff>0</xdr:rowOff>
    </xdr:from>
    <xdr:to>
      <xdr:col>17</xdr:col>
      <xdr:colOff>822960</xdr:colOff>
      <xdr:row>5</xdr:row>
      <xdr:rowOff>152100</xdr:rowOff>
    </xdr:to>
    <mc:AlternateContent xmlns:mc="http://schemas.openxmlformats.org/markup-compatibility/2006" xmlns:sle15="http://schemas.microsoft.com/office/drawing/2012/slicer">
      <mc:Choice Requires="sle15">
        <xdr:graphicFrame macro="">
          <xdr:nvGraphicFramePr>
            <xdr:cNvPr id="6" name="L1">
              <a:extLst>
                <a:ext uri="{FF2B5EF4-FFF2-40B4-BE49-F238E27FC236}">
                  <a16:creationId xmlns:a16="http://schemas.microsoft.com/office/drawing/2014/main" id="{80083DE5-B3B4-A5E5-A8A9-D414F9D9E10A}"/>
                </a:ext>
              </a:extLst>
            </xdr:cNvPr>
            <xdr:cNvGraphicFramePr/>
          </xdr:nvGraphicFramePr>
          <xdr:xfrm>
            <a:off x="0" y="0"/>
            <a:ext cx="0" cy="0"/>
          </xdr:xfrm>
          <a:graphic>
            <a:graphicData uri="http://schemas.microsoft.com/office/drawing/2010/slicer">
              <sle:slicer xmlns:sle="http://schemas.microsoft.com/office/drawing/2010/slicer" name="L1"/>
            </a:graphicData>
          </a:graphic>
        </xdr:graphicFrame>
      </mc:Choice>
      <mc:Fallback xmlns="">
        <xdr:sp macro="" textlink="">
          <xdr:nvSpPr>
            <xdr:cNvPr id="0" name=""/>
            <xdr:cNvSpPr>
              <a:spLocks noTextEdit="1"/>
            </xdr:cNvSpPr>
          </xdr:nvSpPr>
          <xdr:spPr>
            <a:xfrm>
              <a:off x="2331720" y="0"/>
              <a:ext cx="1592580" cy="1638000"/>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4</xdr:col>
      <xdr:colOff>1021080</xdr:colOff>
      <xdr:row>0</xdr:row>
      <xdr:rowOff>1</xdr:rowOff>
    </xdr:from>
    <xdr:to>
      <xdr:col>5</xdr:col>
      <xdr:colOff>312420</xdr:colOff>
      <xdr:row>4</xdr:row>
      <xdr:rowOff>320041</xdr:rowOff>
    </xdr:to>
    <mc:AlternateContent xmlns:mc="http://schemas.openxmlformats.org/markup-compatibility/2006" xmlns:sle15="http://schemas.microsoft.com/office/drawing/2012/slicer">
      <mc:Choice Requires="sle15">
        <xdr:graphicFrame macro="">
          <xdr:nvGraphicFramePr>
            <xdr:cNvPr id="2" name="Category">
              <a:extLst>
                <a:ext uri="{FF2B5EF4-FFF2-40B4-BE49-F238E27FC236}">
                  <a16:creationId xmlns:a16="http://schemas.microsoft.com/office/drawing/2014/main" id="{3D56C6C9-C4AE-1EF6-E765-7FE852B30A2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12620" y="1"/>
              <a:ext cx="1828800" cy="1440180"/>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274320</xdr:colOff>
      <xdr:row>0</xdr:row>
      <xdr:rowOff>1</xdr:rowOff>
    </xdr:from>
    <xdr:to>
      <xdr:col>15</xdr:col>
      <xdr:colOff>708660</xdr:colOff>
      <xdr:row>4</xdr:row>
      <xdr:rowOff>320041</xdr:rowOff>
    </xdr:to>
    <mc:AlternateContent xmlns:mc="http://schemas.openxmlformats.org/markup-compatibility/2006" xmlns:sle15="http://schemas.microsoft.com/office/drawing/2012/slicer">
      <mc:Choice Requires="sle15">
        <xdr:graphicFrame macro="">
          <xdr:nvGraphicFramePr>
            <xdr:cNvPr id="3" name="Sub-Category">
              <a:extLst>
                <a:ext uri="{FF2B5EF4-FFF2-40B4-BE49-F238E27FC236}">
                  <a16:creationId xmlns:a16="http://schemas.microsoft.com/office/drawing/2014/main" id="{44DBD17D-0127-CD6A-0A1F-AF6A7147B9D8}"/>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3703320" y="1"/>
              <a:ext cx="9753600" cy="1440180"/>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raadl-fp04\Uranium_Projects\BE&amp;E%20-%20ADG%20Work%20Folder\Projects\Spence\Model%20-%2002%20Development\Spence%20Model%20-%20Rev%201%20-%20ADG%2024%20Sep%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BOBW\PROCEDRS\PRIN_RPT\SUMRPTS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BOBW\PROCEDRS\PRINCIPL\04_05B_F.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https://stanwell.sharepoint.com/sites/msteams_4e3fd7_569865-08COMMERCIALDELIVERYFEED/Shared%20Documents/08%20COMMERCIAL%20DELIVERY%20(FEED)/10%20Packages/03.%20Pre-Award/1221170930-FOaM%20Consultant/01%20Pre%20Award/03%20Tender%20Documentation/04-Returnable%20Schedules/Manual%20Input%20Qld?35EDFCDB" TargetMode="External"/><Relationship Id="rId1" Type="http://schemas.openxmlformats.org/officeDocument/2006/relationships/externalLinkPath" Target="file:///\\35EDFCDB\Manual%20Input%20Qld"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U:\Documents%20and%20Settings\arel47530\Local%20Settings\Temporary%20Internet%20Files\OLKB7\H318608-000-M-44-001-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O:\&#22522;&#26412;&#35336;&#30011;&#20316;&#25104;&#12489;&#12461;&#12517;&#12513;&#12531;&#12488;\&#28023;&#22806;&#21463;&#27880;&#12503;&#12525;&#12472;&#12455;&#12463;&#12488;\7G27%20TVA%20Colbert\B2-&#22522;&#26412;&#35336;&#30011;\2003-11-13%20WK%20Coal&#20462;&#27491;\&#65423;&#65405;&#65418;&#65438;&#65431;\&#20462;&#27491;&#21069;\Colbert%20URS%20MB%2010-01-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amp; Protocols"/>
      <sheetName val="Summary"/>
      <sheetName val="Prodn&amp;Revenue"/>
      <sheetName val="Capex"/>
      <sheetName val="Opex"/>
      <sheetName val="Taxes"/>
      <sheetName val="Valuation"/>
      <sheetName val="Log"/>
      <sheetName val="X FM_Description"/>
      <sheetName val="Cash Flow"/>
      <sheetName val="X Cathode Production"/>
      <sheetName val="Production &amp; Revenue"/>
      <sheetName val="Op Costs &amp; Capital"/>
      <sheetName val="Deprec &amp; Amort"/>
      <sheetName val="Technical data"/>
      <sheetName val="Tax Model"/>
      <sheetName val="FUT Calculations"/>
      <sheetName val="Financial Statements"/>
      <sheetName val="Balance Sheet"/>
      <sheetName val="CF&amp;Tables"/>
      <sheetName val="Spence Model - Rev 1 - ADG 24 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ach 4-18"/>
      <sheetName val="Attach 5-20 (2)"/>
      <sheetName val="Attach 1-5"/>
      <sheetName val="Attach 1-6"/>
      <sheetName val="Attach 2-1"/>
      <sheetName val="Attach 3-1"/>
      <sheetName val="Attch 3-4"/>
      <sheetName val="Attach 3-5"/>
      <sheetName val="Attach 3-8"/>
      <sheetName val="Attach 3-9"/>
      <sheetName val="Attach 3-10B"/>
      <sheetName val="PDS_TRN"/>
      <sheetName val="Attach 3-23"/>
      <sheetName val="Attch 3-26"/>
      <sheetName val="Attach 4-4"/>
      <sheetName val="Attach 4-10"/>
      <sheetName val="Data Inputs"/>
      <sheetName val="Estimate Set-up Tab"/>
      <sheetName val="Summary Rates"/>
      <sheetName val="SUMRPTS2"/>
      <sheetName val="Attach_4-18"/>
      <sheetName val="Attach_5-20_(2)"/>
      <sheetName val="Attach_1-5"/>
      <sheetName val="Attach_1-6"/>
      <sheetName val="Attach_2-1"/>
      <sheetName val="Attach_3-1"/>
      <sheetName val="Attch_3-4"/>
      <sheetName val="Attach_3-5"/>
      <sheetName val="Attach_3-8"/>
      <sheetName val="Attach_3-9"/>
      <sheetName val="Attach_3-10B"/>
      <sheetName val="Attach_3-23"/>
      <sheetName val="Attch_3-26"/>
      <sheetName val="Attach_4-4"/>
      <sheetName val="Attach_4-10"/>
      <sheetName val="Data_Inputs"/>
      <sheetName val="Fig 6-7"/>
      <sheetName val="Plant EQ"/>
      <sheetName val="Fig 4-14"/>
      <sheetName val="Fig 5-17"/>
      <sheetName val="B.1.1.1"/>
      <sheetName val="Data"/>
      <sheetName val="Valida"/>
      <sheetName val="Register"/>
      <sheetName val="Personnel"/>
      <sheetName val="Anexos"/>
      <sheetName val="mhr"/>
      <sheetName val="Descripción de Servicios"/>
      <sheetName val="Descripción_de_Servicios"/>
      <sheetName val="Attach_4-182"/>
      <sheetName val="Attach_5-20_(2)2"/>
      <sheetName val="Attach_1-52"/>
      <sheetName val="Attach_1-62"/>
      <sheetName val="Attach_2-12"/>
      <sheetName val="Attach_3-12"/>
      <sheetName val="Attch_3-42"/>
      <sheetName val="Attach_3-52"/>
      <sheetName val="Attach_3-82"/>
      <sheetName val="Attach_3-92"/>
      <sheetName val="Attach_3-10B2"/>
      <sheetName val="Attach_3-232"/>
      <sheetName val="Attch_3-262"/>
      <sheetName val="Attach_4-42"/>
      <sheetName val="Attach_4-102"/>
      <sheetName val="Descripción_de_Servicios2"/>
      <sheetName val="Attach_4-181"/>
      <sheetName val="Attach_5-20_(2)1"/>
      <sheetName val="Attach_1-51"/>
      <sheetName val="Attach_1-61"/>
      <sheetName val="Attach_2-11"/>
      <sheetName val="Attach_3-11"/>
      <sheetName val="Attch_3-41"/>
      <sheetName val="Attach_3-51"/>
      <sheetName val="Attach_3-81"/>
      <sheetName val="Attach_3-91"/>
      <sheetName val="Attach_3-10B1"/>
      <sheetName val="Attach_3-231"/>
      <sheetName val="Attch_3-261"/>
      <sheetName val="Attach_4-41"/>
      <sheetName val="Attach_4-101"/>
      <sheetName val="Descripción_de_Servicios1"/>
      <sheetName val="Attach_4-183"/>
      <sheetName val="Attach_5-20_(2)3"/>
      <sheetName val="Attach_1-53"/>
      <sheetName val="Attach_1-63"/>
      <sheetName val="Attach_2-13"/>
      <sheetName val="Attach_3-13"/>
      <sheetName val="Attch_3-43"/>
      <sheetName val="Attach_3-53"/>
      <sheetName val="Attach_3-83"/>
      <sheetName val="Attach_3-93"/>
      <sheetName val="Attach_3-10B3"/>
      <sheetName val="Attach_3-233"/>
      <sheetName val="Attch_3-263"/>
      <sheetName val="Attach_4-43"/>
      <sheetName val="Attach_4-103"/>
      <sheetName val="Descripción_de_Servicios3"/>
      <sheetName val="Dictionary"/>
      <sheetName val="Listado Sondajes"/>
      <sheetName val="Structural_&amp;_Architectural"/>
      <sheetName val="Plumbing_&amp;_Fire_Protection"/>
      <sheetName val="Electrical"/>
      <sheetName val="Summary"/>
      <sheetName val="CEQ"/>
      <sheetName val="DSUMS"/>
      <sheetName val="_Turnover_Status"/>
      <sheetName val="Subcontracts"/>
      <sheetName val="ESTJOB"/>
      <sheetName val="Review_Summary"/>
      <sheetName val="Other_ODC's"/>
      <sheetName val="Material_Rates"/>
      <sheetName val="IST_and_Fac_Costs"/>
      <sheetName val="Mgmt_Summary"/>
      <sheetName val="Project_Info"/>
      <sheetName val="Prime_AEC_Wage_Develop"/>
      <sheetName val="ÖZET"/>
      <sheetName val="betonarme"/>
      <sheetName val="Athens"/>
      <sheetName val="LaRosita"/>
      <sheetName val="Cash_Request"/>
      <sheetName val="Indirect-Sum"/>
      <sheetName val="Startup_Staff"/>
      <sheetName val="Const_Wages"/>
      <sheetName val="Second_AEC_Wage_Develop"/>
      <sheetName val="Cover"/>
      <sheetName val="Aggregate"/>
      <sheetName val="Proj_Info_Sheet"/>
      <sheetName val="30NOV"/>
      <sheetName val="Endcover"/>
      <sheetName val="MaterialPrices"/>
      <sheetName val="mech-4"/>
      <sheetName val="FIELD_STAFF"/>
      <sheetName val="FREU_Wage_Develop"/>
      <sheetName val="Rates"/>
      <sheetName val="Travel_Worksheet"/>
      <sheetName val="DSUMS_TABLE"/>
      <sheetName val="Salary_&amp;_Hr_Sum"/>
      <sheetName val="NM&amp;IDM-Main"/>
      <sheetName val="Manhours"/>
      <sheetName val="Cost_Code"/>
      <sheetName val="Milestone_Input_Sheet_(CCP)"/>
      <sheetName val="Schedule"/>
      <sheetName val="Procurement"/>
      <sheetName val="Labor_Summary"/>
      <sheetName val="DSUM_Criteria"/>
      <sheetName val="Attach_4-184"/>
      <sheetName val="Attach_5-20_(2)4"/>
      <sheetName val="Attach_1-54"/>
      <sheetName val="Attach_1-64"/>
      <sheetName val="Attach_2-14"/>
      <sheetName val="Attach_3-14"/>
      <sheetName val="Attch_3-44"/>
      <sheetName val="Attach_3-54"/>
      <sheetName val="Attach_3-84"/>
      <sheetName val="Attach_3-94"/>
      <sheetName val="Attach_3-10B4"/>
      <sheetName val="Attach_3-234"/>
      <sheetName val="Attch_3-264"/>
      <sheetName val="Attach_4-44"/>
      <sheetName val="Attach_4-104"/>
      <sheetName val="Descripción_de_Servicios4"/>
      <sheetName val="Attach_4-185"/>
      <sheetName val="Attach_5-20_(2)5"/>
      <sheetName val="Attach_1-55"/>
      <sheetName val="Attach_1-65"/>
      <sheetName val="Attach_2-15"/>
      <sheetName val="Attach_3-15"/>
      <sheetName val="Attch_3-45"/>
      <sheetName val="Attach_3-55"/>
      <sheetName val="Attach_3-85"/>
      <sheetName val="Attach_3-95"/>
      <sheetName val="Attach_3-10B5"/>
      <sheetName val="Attach_3-235"/>
      <sheetName val="Attch_3-265"/>
      <sheetName val="Attach_4-45"/>
      <sheetName val="Attach_4-105"/>
      <sheetName val="Descripción_de_Servicios5"/>
      <sheetName val="Hoja1"/>
      <sheetName val="Cash Flows"/>
      <sheetName val="Mine Plan"/>
      <sheetName val="LISTADO"/>
      <sheetName val="A2. PROGRAMA DE AVANCE FISICO"/>
      <sheetName val=""/>
      <sheetName val="MFT TOC"/>
      <sheetName val="GEN-TEC-02"/>
      <sheetName val="CONSOCOS99"/>
      <sheetName val="GRAPH_DATA"/>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_DATA"/>
      <sheetName val="SheetB1"/>
      <sheetName val="A-4 Commodity Codes"/>
      <sheetName val="Attach 4-18"/>
      <sheetName val="Pumps"/>
      <sheetName val="MOV"/>
      <sheetName val="AOV"/>
      <sheetName val="Instr Cali"/>
      <sheetName val="Loops"/>
      <sheetName val="Blow_Flush"/>
      <sheetName val="Elect"/>
      <sheetName val="Tracking"/>
      <sheetName val="Sheet2"/>
      <sheetName val="SVF715"/>
      <sheetName val="Notificación"/>
      <sheetName val="CAPEX"/>
      <sheetName val="Sheet4"/>
      <sheetName val="Sheet3"/>
      <sheetName val="Sheet5"/>
      <sheetName val="Ref"/>
      <sheetName val="Ingenieria_HO Santiago"/>
      <sheetName val="Ingenieria_FO Santiago"/>
      <sheetName val="Field Indirects"/>
      <sheetName val="Factores"/>
      <sheetName val="Manual Labor,Perform &amp; Indirect"/>
      <sheetName val="Referencia Material &amp; Equip"/>
      <sheetName val="Sheet1"/>
      <sheetName val="COA CAPEX"/>
      <sheetName val="E-5"/>
      <sheetName val="EWR CP01 FAC-COMOD"/>
      <sheetName val="Attach_4-18"/>
      <sheetName val="Instr_Cali"/>
      <sheetName val="FitOutConfCent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sheetData sheetId="31"/>
      <sheetData sheetId="3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Cash Flow"/>
      <sheetName val="Manual Input Qld"/>
      <sheetName val="H"/>
      <sheetName val="XERASMaintMOE"/>
      <sheetName val="XERASOpMOE"/>
      <sheetName val="XERASCoalImport"/>
      <sheetName val="XERASDrillBlast"/>
      <sheetName val="XERASWasteImport"/>
      <sheetName val="XERASHours"/>
      <sheetName val="XERASECMInput"/>
      <sheetName val="XERASCapitalInput"/>
      <sheetName val="XERASAvailUtil"/>
      <sheetName val="Date"/>
      <sheetName val="Graph Data"/>
      <sheetName val="#REF"/>
      <sheetName val="15120"/>
      <sheetName val="14020nenapril"/>
      <sheetName val="14020spd-APRIL"/>
      <sheetName val="14020trm"/>
      <sheetName val="17060"/>
      <sheetName val="22930,24300,24301,24302,35540"/>
      <sheetName val="30090"/>
      <sheetName val="30102"/>
      <sheetName val="32120"/>
      <sheetName val="32160"/>
      <sheetName val="INVENTORY WSHEET"/>
      <sheetName val="50428"/>
      <sheetName val="51690"/>
      <sheetName val="51820"/>
      <sheetName val="51861"/>
      <sheetName val="52537"/>
      <sheetName val="52540"/>
      <sheetName val="52546"/>
      <sheetName val="Uploadsheet"/>
      <sheetName val="JnlInfo"/>
      <sheetName val="DUMP movement"/>
      <sheetName val="DUMP opening bal"/>
      <sheetName val="Numbering Defintions"/>
      <sheetName val="MGMT FEE"/>
      <sheetName val="CommodityCodes"/>
      <sheetName val="Validations"/>
      <sheetName val="Control"/>
      <sheetName val="Lists"/>
      <sheetName val="Current Cost Centres"/>
      <sheetName val="COA"/>
      <sheetName val="MARCH - FORECAST (DAY-8)"/>
      <sheetName val=" Drop Down Menus and Notes"/>
      <sheetName val="Monthly Forecast"/>
      <sheetName val="Drop Down"/>
      <sheetName val="TOTAL_Departamentos"/>
      <sheetName val="Formulas"/>
      <sheetName val="Descripciones"/>
      <sheetName val="Cover"/>
      <sheetName val="Financials"/>
      <sheetName val="Production Metrics"/>
      <sheetName val="Unit Cost"/>
      <sheetName val="Process Costs"/>
      <sheetName val="Productivity"/>
      <sheetName val="Logistics"/>
      <sheetName val="Functions"/>
      <sheetName val="Cash_Flow"/>
      <sheetName val="Manual_Input_Qld"/>
      <sheetName val="Graph_Data"/>
      <sheetName val="INVENTORY_WSHEET"/>
      <sheetName val="DUMP_movement"/>
      <sheetName val="DUMP_opening_bal"/>
      <sheetName val="Numbering_Defintions"/>
      <sheetName val="MGMT_FEE"/>
      <sheetName val="Monthly_Forecast"/>
      <sheetName val="MARCH_-_FORECAST_(DAY-8)"/>
      <sheetName val="Current_Cost_Centres"/>
      <sheetName val="Not for use"/>
      <sheetName val="Port - Group"/>
      <sheetName val="NAR"/>
      <sheetName val="MCK"/>
      <sheetName val="TAR"/>
      <sheetName val="ROC"/>
      <sheetName val="WCK"/>
      <sheetName val="Exact Fun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P"/>
      <sheetName val="Drop-down Lists"/>
      <sheetName val="Sheet1"/>
      <sheetName val="Pricing Schedule"/>
      <sheetName val="Direct (Trade) Labour"/>
      <sheetName val="Indirect Labour"/>
      <sheetName val="Plant &amp; Equipment"/>
      <sheetName val="Report"/>
      <sheetName val="H318608-000-M-44-001-1"/>
      <sheetName val="Cover"/>
      <sheetName val="Revision History"/>
      <sheetName val="Drives"/>
    </sheetNames>
    <sheetDataSet>
      <sheetData sheetId="0"/>
      <sheetData sheetId="1" refreshError="1"/>
      <sheetData sheetId="2" refreshError="1"/>
      <sheetData sheetId="3"/>
      <sheetData sheetId="4"/>
      <sheetData sheetId="5"/>
      <sheetData sheetId="6"/>
      <sheetData sheetId="7"/>
      <sheetData sheetId="8" refreshError="1"/>
      <sheetData sheetId="9"/>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 Analysis"/>
      <sheetName val="Check"/>
      <sheetName val="Pittsburgh"/>
      <sheetName val="W Kentucky"/>
      <sheetName val="Illinois"/>
      <sheetName val="Colorado"/>
      <sheetName val="W.K 650 MW"/>
      <sheetName val="W.K 800 MW"/>
      <sheetName val="W.K Range"/>
      <sheetName val="P Range"/>
      <sheetName val="Gas Flow"/>
      <sheetName val="Chloride Normal"/>
      <sheetName val="Chloride High"/>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2132" xr10:uid="{7D6ACBA3-8A57-4353-8E2D-7B588E4718FB}" sourceName="L2">
  <extLst>
    <x:ext xmlns:x15="http://schemas.microsoft.com/office/spreadsheetml/2010/11/main" uri="{2F2917AC-EB37-4324-AD4E-5DD8C200BD13}">
      <x15:tableSlicerCache tableId="19"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3" xr10:uid="{186513BE-BB92-4D15-B9C3-B88AA5FD90F4}" sourceName="L3">
  <extLst>
    <x:ext xmlns:x15="http://schemas.microsoft.com/office/spreadsheetml/2010/11/main" uri="{2F2917AC-EB37-4324-AD4E-5DD8C200BD13}">
      <x15:tableSlicerCache tableId="19"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132" xr10:uid="{69812C3B-A20E-4CBB-81E4-8074A5C43FA6}" sourceName="LEVEL">
  <extLst>
    <x:ext xmlns:x15="http://schemas.microsoft.com/office/spreadsheetml/2010/11/main" uri="{2F2917AC-EB37-4324-AD4E-5DD8C200BD13}">
      <x15:tableSlicerCache tableId="19"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1" xr10:uid="{52BCF984-1A1A-4F75-A931-309CFC2DB531}" sourceName="L1">
  <extLst>
    <x:ext xmlns:x15="http://schemas.microsoft.com/office/spreadsheetml/2010/11/main" uri="{2F2917AC-EB37-4324-AD4E-5DD8C200BD13}">
      <x15:tableSlicerCache tableId="19" column="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A54BB4A-E5C2-420C-9B27-91BB3BAE8577}" sourceName="Category">
  <extLst>
    <x:ext xmlns:x15="http://schemas.microsoft.com/office/spreadsheetml/2010/11/main" uri="{2F2917AC-EB37-4324-AD4E-5DD8C200BD13}">
      <x15:tableSlicerCache tableId="1" column="2"/>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6C6D8315-7AB8-4891-B893-428E5BCA7E82}" sourceName="Sub-Category">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2 10" xr10:uid="{0C927FF4-19E3-4897-9690-75F47BB3C859}" cache="Slicer_L2132" caption="L2" columnCount="3" style="SlicerStyleOther2 2" rowHeight="241300"/>
  <slicer name="L3" xr10:uid="{3A7A3AB0-DE20-43EC-99C4-C6892BC8F721}" cache="Slicer_L3" caption="L3" columnCount="5" style="SlicerStyleOther2 2" rowHeight="241300"/>
  <slicer name="LEVEL 12" xr10:uid="{D6600CD2-922B-46E8-ABA6-DCC848199E73}" cache="Slicer_LEVEL132" caption="LEVEL" style="SlicerStyleOther2 2" rowHeight="241300"/>
  <slicer name="L1" xr10:uid="{5841E596-B360-44BB-8E90-2EC0E83BD838}" cache="Slicer_L1" caption="L1" style="SlicerStyleOther2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4B9F314-B8FB-4B69-A7CB-284BB5F2E854}" cache="Slicer_Category" caption="Category" style="SlicerStyleOther2 2" rowHeight="234950"/>
  <slicer name="Sub-Category" xr10:uid="{234487B2-5077-435B-9AF4-BA7C1D2C18F5}" cache="Slicer_Sub_Category" caption="Sub-Category" columnCount="8" style="SlicerStyleOther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17875FF-E6EC-42B8-9B7F-1F17F8E8D514}" name="Table681620" displayName="Table681620" ref="A6:AB324" totalsRowShown="0" headerRowDxfId="58" dataDxfId="57">
  <autoFilter ref="A6:AB324" xr:uid="{D62F8781-D594-42F6-A21B-C06EE3C4C15A}"/>
  <tableColumns count="28">
    <tableColumn id="12" xr3:uid="{33C7724B-C37A-4C8F-AB9B-7ABCABFE9044}" name="N1" dataDxfId="56">
      <calculatedColumnFormula>INDEX(Table_Numbering[L1],MATCH(Table681620[[#This Row],[L1]],Table_Numbering[L1 Description (Cost Area)],0))</calculatedColumnFormula>
    </tableColumn>
    <tableColumn id="13" xr3:uid="{0BA25AB3-3C35-4609-8BF2-6B8A8CF1A912}" name="N2" dataDxfId="55">
      <calculatedColumnFormula>IFERROR(INDEX(Table_Numbering[L2],MATCH(Table681620[[#This Row],[L2]],Table_Numbering[L2 Description (Area)],0)),"0")</calculatedColumnFormula>
    </tableColumn>
    <tableColumn id="14" xr3:uid="{6592DB27-4036-4FE8-BA70-7676FAD7BDF6}" name="N3" dataDxfId="54">
      <calculatedColumnFormula>IFERROR(INDEX(Table_Numbering[L3],MATCH(Table681620[[#This Row],[L3]],Table_Numbering[L3 Description (Sub Area)],0)),"0")</calculatedColumnFormula>
    </tableColumn>
    <tableColumn id="7" xr3:uid="{C588BBED-09DD-4E63-B301-35B10F3C0EB2}" name="N32" dataDxfId="53">
      <calculatedColumnFormula>Table681620[[#This Row],[N1]]&amp;Table681620[[#This Row],[N2]]&amp;Table681620[[#This Row],[N3]]</calculatedColumnFormula>
    </tableColumn>
    <tableColumn id="15" xr3:uid="{9582374F-4B7B-4378-8084-57BB4F3FA568}" name="N4" dataDxfId="52">
      <calculatedColumnFormula>TEXT(COUNTIF(C6:C$7,Table681620[[#This Row],[N3]]),"00")</calculatedColumnFormula>
    </tableColumn>
    <tableColumn id="16" xr3:uid="{11B2A691-86C0-42A6-8770-4A16EA6DA497}" name="N5" dataDxfId="51">
      <calculatedColumnFormula>COUNTIFS(J$7:J7,J7,K$7:K7,K7,L$7:L7,L7,M$7:M7,M7)</calculatedColumnFormula>
    </tableColumn>
    <tableColumn id="17" xr3:uid="{968E2D45-1AE4-4471-A557-CEB517F54A91}" name="N6" dataDxfId="50">
      <calculatedColumnFormula>TEXT(COUNTIF(F$7:F7,"01"),"00")</calculatedColumnFormula>
    </tableColumn>
    <tableColumn id="18" xr3:uid="{A93F7440-AB5F-4904-A349-4B5243915C3D}" name="N7" dataDxfId="49">
      <calculatedColumnFormula>TEXT(IF(ISBLANK(N7),0,IF(ISBLANK(N6),1,H6+1)),"00")</calculatedColumnFormula>
    </tableColumn>
    <tableColumn id="1" xr3:uid="{C2334A14-1BEB-4977-BFB5-42EB7A74E879}" name="LEVEL" dataDxfId="48">
      <calculatedColumnFormula>IF(AND(ISBLANK(J7),ISBLANK(K7),ISBLANK(L7),ISBLANK(M7),ISBLANK(N7)),"0",
IF(AND(ISBLANK(K7),ISBLANK(L7),ISBLANK(M7),ISBLANK(N7)),"1",
IF(AND(ISBLANK(L7),ISBLANK(M7),ISBLANK(N7)),"2",
IF(AND(ISBLANK(M7),ISBLANK(N7)),"3",
IF(AND(ISBLANK(N7)),"4","5")))))</calculatedColumnFormula>
    </tableColumn>
    <tableColumn id="2" xr3:uid="{6B225F24-FA58-4CA2-A572-BB793587F4A0}" name="L1" dataDxfId="47"/>
    <tableColumn id="3" xr3:uid="{9C3F9F35-1E37-44A2-9E6E-D940C25D871C}" name="L2" dataDxfId="46"/>
    <tableColumn id="4" xr3:uid="{E2E12517-71BC-45BB-9F40-121FD60BCD23}" name="L3" dataDxfId="45"/>
    <tableColumn id="5" xr3:uid="{76060894-13A5-4456-9F61-8B12D415D99C}" name="L4" dataDxfId="44"/>
    <tableColumn id="6" xr3:uid="{F43FE514-C896-416F-B3BD-93276615AC51}" name="L5" dataDxfId="43"/>
    <tableColumn id="19" xr3:uid="{4424CDB0-CED6-4191-8CD1-570A6F1FECC5}" name="Item No." dataDxfId="42">
      <calculatedColumnFormula>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calculatedColumnFormula>
    </tableColumn>
    <tableColumn id="10" xr3:uid="{F6699ED0-EC5F-4B61-8D47-07CEE97796AA}" name="SOW Ref#" dataDxfId="41"/>
    <tableColumn id="8" xr3:uid="{BFA370FD-0D5B-423B-B0DA-722EDE4E8CAC}" name="Contract Ref#" dataDxfId="40"/>
    <tableColumn id="11" xr3:uid="{11055D51-B1B4-4A95-B165-6EA6D937492F}" name="Drawing Ref#" dataDxfId="39"/>
    <tableColumn id="22" xr3:uid="{C354962E-AC7E-49A7-8A1D-9847905036AA}" name="WBS Ref#" dataDxfId="38"/>
    <tableColumn id="20" xr3:uid="{BFFD3285-A63A-4FB1-BFCD-B1CD0AF790BC}" name="Description" dataDxfId="37">
      <calculatedColumnFormula>IF(Table681620[[#This Row],[LEVEL]]="5",Table681620[[#This Row],[L5]],
IF(Table681620[[#This Row],[LEVEL]]="4",Table681620[[#This Row],[L4]],
IF(Table681620[[#This Row],[LEVEL]]="3",Table681620[[#This Row],[L3]],
IF(Table681620[[#This Row],[LEVEL]]="2",Table681620[[#This Row],[L2]],
IF(Table681620[[#This Row],[LEVEL]]="1",Table681620[[#This Row],[L1]],"")))))</calculatedColumnFormula>
    </tableColumn>
    <tableColumn id="21" xr3:uid="{B5D669F9-8222-4F52-AE04-A0749FFF41BD}" name="UOM" dataDxfId="36"/>
    <tableColumn id="94" xr3:uid="{E05E82AF-6666-4361-B441-E807C0DEFB1C}" name="Pricing" dataDxfId="35" dataCellStyle="Comma"/>
    <tableColumn id="9" xr3:uid="{4E0429D1-FC04-454A-B151-7E5513DD3B5C}" name="Qty" dataDxfId="34"/>
    <tableColumn id="93" xr3:uid="{BDE387C4-C1E0-4CE2-882D-54E0973F605C}" name="Rate" dataDxfId="33"/>
    <tableColumn id="95" xr3:uid="{083722D0-3E08-431D-9DCA-0019E732621F}" name="Amount (AUD)" dataDxfId="32" dataCellStyle="Comma">
      <calculatedColumnFormula>IF(Table681620[[#This Row],[Pricing]]="SOR",SUMPRODUCT(#REF!),"")</calculatedColumnFormula>
    </tableColumn>
    <tableColumn id="96" xr3:uid="{30B85B10-4E04-4CC4-B4E5-0F626F7181AB}" name="a" dataDxfId="31"/>
    <tableColumn id="97" xr3:uid="{A709D25D-057C-4EA0-BD4D-10000318531A}" name="Method of Measure" dataDxfId="30"/>
    <tableColumn id="98" xr3:uid="{E0DAFDC0-4637-4243-8D64-205B81DE9B82}" name="Rule of Credit" dataDxfId="29"/>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B37366-359F-4D09-A159-AF15B955DF5D}" name="Table1" displayName="Table1" ref="A5:Z250" totalsRowShown="0" headerRowDxfId="28" headerRowBorderDxfId="27" tableBorderDxfId="26">
  <autoFilter ref="A5:Z250" xr:uid="{5CB37366-359F-4D09-A159-AF15B955DF5D}"/>
  <tableColumns count="26">
    <tableColumn id="1" xr3:uid="{A35BE8F8-CA9A-490E-A994-B423201A7749}" name="Cost Type"/>
    <tableColumn id="2" xr3:uid="{95D092D4-0446-4C47-B308-72311B1C1437}" name="Category"/>
    <tableColumn id="3" xr3:uid="{13ED43E2-64C7-446B-9C56-F4412E6E22D1}" name="Sub-Category"/>
    <tableColumn id="4" xr3:uid="{91D2173F-1E4C-473E-8E26-81E16158D94E}" name="Item No."/>
    <tableColumn id="5" xr3:uid="{6A3E18EB-D196-491A-8F67-50198651683D}" name="Description"/>
    <tableColumn id="6" xr3:uid="{D9BC04F5-B930-4AA4-B308-63DE8F503298}" name="UOM" dataDxfId="25"/>
    <tableColumn id="7" xr3:uid="{E342DFD0-1581-4926-B63E-81332947A2EF}" name="Pricing Type" dataDxfId="24"/>
    <tableColumn id="8" xr3:uid="{03D84DC7-A8FA-438B-8951-04F80CD21691}" name="Normal Rate" dataDxfId="23" dataCellStyle="Comma"/>
    <tableColumn id="9" xr3:uid="{99688E05-A19A-4122-A2E5-CDA52DB8A23C}" name="OT 1.5x" dataDxfId="22" dataCellStyle="Comma"/>
    <tableColumn id="10" xr3:uid="{40A4E921-D4AA-4451-8FE1-EEB2E714051E}" name="OT 2.0x" dataDxfId="21" dataCellStyle="Comma"/>
    <tableColumn id="11" xr3:uid="{27139C9A-D6D6-4183-9ACA-67132A2880C2}" name="OT 2.5x" dataDxfId="20" dataCellStyle="Comma"/>
    <tableColumn id="12" xr3:uid="{0D4D6BC7-7DAC-4C46-A04A-3D9A4D148C63}" name="Allowances" dataDxfId="19" dataCellStyle="Comma"/>
    <tableColumn id="13" xr3:uid="{41DB03D4-2971-4A83-83EB-2DFDBEDD80C8}" name="Mob Rate" dataDxfId="18" dataCellStyle="Comma"/>
    <tableColumn id="14" xr3:uid="{463B3693-3FB4-4601-91AA-0296A59E76DF}" name="Demob Rate" dataDxfId="17" dataCellStyle="Comma"/>
    <tableColumn id="15" xr3:uid="{2EEC60CA-8244-4B9D-8E4E-D8D86DA5B3B5}" name="Dry Hire" dataDxfId="16" dataCellStyle="Comma"/>
    <tableColumn id="16" xr3:uid="{754E3B10-C97B-41EF-AE4B-EB94EAFE4FB4}" name="Wet Hire" dataDxfId="15" dataCellStyle="Comma"/>
    <tableColumn id="17" xr3:uid="{A41BF10F-358C-4E32-8CB9-AB838194C66E}" name="Supply Rate" dataDxfId="14" dataCellStyle="Comma"/>
    <tableColumn id="18" xr3:uid="{27EC7C83-8B76-4700-9434-8FFE7A4C4FE5}" name="Install Rate" dataDxfId="13" dataCellStyle="Comma"/>
    <tableColumn id="19" xr3:uid="{C8E876F7-5C64-423D-91A2-7F14412363A7}" name="All-in Rate" dataDxfId="12" dataCellStyle="Comma"/>
    <tableColumn id="20" xr3:uid="{3423821B-E917-4EFD-9169-5427CB899A0C}" name="Method of Measure"/>
    <tableColumn id="21" xr3:uid="{269C74D0-EB54-4CE0-8AA6-DE3788756B23}" name="Rule of Credit"/>
    <tableColumn id="22" xr3:uid="{28F2DD6B-5985-49AC-9135-D58B40936BAE}" name="Min Charge"/>
    <tableColumn id="23" xr3:uid="{E4219800-9A18-4503-85F9-AC2E0438FB17}" name="Increment"/>
    <tableColumn id="24" xr3:uid="{5EBCADC7-93F7-426E-BE0F-4155E4396BD2}" name="Valid From"/>
    <tableColumn id="25" xr3:uid="{AB01CD39-A3BE-4F69-924A-65219F7858BE}" name="Valid To"/>
    <tableColumn id="26" xr3:uid="{DF6BB311-52CE-4479-939C-44193F4ABE09}" name="Notes"/>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2BA0CF-A869-4074-84B5-7D503255B8C9}" name="Table_Numbering" displayName="Table_Numbering" ref="C4:J67" totalsRowShown="0" headerRowDxfId="11">
  <autoFilter ref="C4:J67" xr:uid="{262BA0CF-A869-4074-84B5-7D503255B8C9}"/>
  <tableColumns count="8">
    <tableColumn id="1" xr3:uid="{99166610-EE39-4C88-AAE6-E431E46B2675}" name="L1"/>
    <tableColumn id="2" xr3:uid="{21AF2F36-DE46-4316-8802-C7CA8FF8865B}" name="L1 Description (Cost Area)"/>
    <tableColumn id="3" xr3:uid="{1EC7E653-3190-4FA8-B372-26E837AD8B81}" name="L2"/>
    <tableColumn id="4" xr3:uid="{645818D2-748D-4E3E-AA14-BB2DD1E4C053}" name="L2 Description (Area)"/>
    <tableColumn id="5" xr3:uid="{8F7E59F1-DA70-41DF-AE54-33A8C3BFB19B}" name="L3"/>
    <tableColumn id="6" xr3:uid="{387808DA-8751-427B-8092-FF98CDE2271F}" name="L3 Description (Sub Area)"/>
    <tableColumn id="7" xr3:uid="{5F3D9E4C-2A1E-4971-9E02-76466B622C45}" name="L4"/>
    <tableColumn id="8" xr3:uid="{40C7E5DB-14DA-4E23-85D4-FE093E69F221}" name="L4 Description (Activity / comoditity))"/>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Stanwell Blue">
      <a:dk1>
        <a:sysClr val="windowText" lastClr="000000"/>
      </a:dk1>
      <a:lt1>
        <a:sysClr val="window" lastClr="FFFFFF"/>
      </a:lt1>
      <a:dk2>
        <a:srgbClr val="0E2841"/>
      </a:dk2>
      <a:lt2>
        <a:srgbClr val="E8E8E8"/>
      </a:lt2>
      <a:accent1>
        <a:srgbClr val="003983"/>
      </a:accent1>
      <a:accent2>
        <a:srgbClr val="1770E4"/>
      </a:accent2>
      <a:accent3>
        <a:srgbClr val="5AE1FA"/>
      </a:accent3>
      <a:accent4>
        <a:srgbClr val="00585F"/>
      </a:accent4>
      <a:accent5>
        <a:srgbClr val="00A5A2"/>
      </a:accent5>
      <a:accent6>
        <a:srgbClr val="00D9B8"/>
      </a:accent6>
      <a:hlink>
        <a:srgbClr val="467886"/>
      </a:hlink>
      <a:folHlink>
        <a:srgbClr val="96607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C9720-0AA2-4EE8-8AC3-E615C978585B}">
  <sheetPr>
    <tabColor theme="3"/>
  </sheetPr>
  <dimension ref="A1:G110"/>
  <sheetViews>
    <sheetView tabSelected="1" workbookViewId="0">
      <pane ySplit="4" topLeftCell="A5" activePane="bottomLeft" state="frozen"/>
      <selection pane="bottomLeft" activeCell="A5" sqref="A5:XFD5"/>
    </sheetView>
  </sheetViews>
  <sheetFormatPr defaultRowHeight="14.4" x14ac:dyDescent="0.3"/>
  <cols>
    <col min="1" max="1" width="14.6640625" customWidth="1"/>
    <col min="2" max="2" width="33.33203125" customWidth="1"/>
    <col min="3" max="3" width="51.88671875" style="125" customWidth="1"/>
    <col min="4" max="4" width="22.33203125" customWidth="1"/>
    <col min="5" max="6" width="25.88671875" customWidth="1"/>
    <col min="7" max="7" width="37" style="125" customWidth="1"/>
  </cols>
  <sheetData>
    <row r="1" spans="1:7" ht="18" x14ac:dyDescent="0.3">
      <c r="A1" s="259" t="s">
        <v>2363</v>
      </c>
      <c r="B1" s="259"/>
      <c r="C1" s="259"/>
      <c r="D1" s="259"/>
      <c r="E1" s="259"/>
      <c r="F1" s="259"/>
      <c r="G1" s="259"/>
    </row>
    <row r="2" spans="1:7" ht="21" x14ac:dyDescent="0.3">
      <c r="A2" s="260" t="s">
        <v>458</v>
      </c>
      <c r="B2" s="260"/>
      <c r="C2" s="260"/>
      <c r="D2" s="260"/>
      <c r="E2" s="260"/>
      <c r="F2" s="260"/>
      <c r="G2" s="260"/>
    </row>
    <row r="3" spans="1:7" ht="25.8" x14ac:dyDescent="0.3">
      <c r="A3" s="261" t="s">
        <v>2118</v>
      </c>
      <c r="B3" s="261"/>
      <c r="C3" s="261"/>
      <c r="D3" s="261"/>
      <c r="E3" s="261"/>
      <c r="F3" s="261"/>
      <c r="G3" s="261"/>
    </row>
    <row r="4" spans="1:7" ht="15.6" x14ac:dyDescent="0.3">
      <c r="A4" s="262" t="s">
        <v>2119</v>
      </c>
      <c r="B4" s="262"/>
      <c r="C4" s="262"/>
      <c r="D4" s="262"/>
      <c r="E4" s="262"/>
      <c r="F4" s="262"/>
      <c r="G4" s="262"/>
    </row>
    <row r="5" spans="1:7" ht="25.2" customHeight="1" x14ac:dyDescent="0.3">
      <c r="A5" s="243" t="s">
        <v>2120</v>
      </c>
      <c r="B5" s="243"/>
      <c r="C5" s="243"/>
      <c r="D5" s="243"/>
      <c r="E5" s="243"/>
      <c r="F5" s="243"/>
      <c r="G5" s="243"/>
    </row>
    <row r="6" spans="1:7" x14ac:dyDescent="0.3">
      <c r="A6" s="175"/>
      <c r="B6" s="175"/>
      <c r="C6" s="176"/>
      <c r="D6" s="175"/>
      <c r="E6" s="175"/>
      <c r="F6" s="175"/>
      <c r="G6" s="176"/>
    </row>
    <row r="7" spans="1:7" x14ac:dyDescent="0.3">
      <c r="A7" s="257" t="s">
        <v>2121</v>
      </c>
      <c r="B7" s="257"/>
      <c r="C7" s="257"/>
      <c r="D7" s="257"/>
      <c r="E7" s="257"/>
      <c r="F7" s="257"/>
      <c r="G7" s="257"/>
    </row>
    <row r="8" spans="1:7" x14ac:dyDescent="0.3">
      <c r="A8" s="257" t="s">
        <v>2122</v>
      </c>
      <c r="B8" s="257"/>
      <c r="C8" s="257"/>
      <c r="D8" s="257"/>
      <c r="E8" s="257"/>
      <c r="F8" s="257"/>
      <c r="G8" s="257"/>
    </row>
    <row r="9" spans="1:7" x14ac:dyDescent="0.3">
      <c r="A9" s="257" t="s">
        <v>2123</v>
      </c>
      <c r="B9" s="257"/>
      <c r="C9" s="257"/>
      <c r="D9" s="257"/>
      <c r="E9" s="257"/>
      <c r="F9" s="257"/>
      <c r="G9" s="257"/>
    </row>
    <row r="10" spans="1:7" x14ac:dyDescent="0.3">
      <c r="A10" s="175"/>
      <c r="B10" s="175"/>
      <c r="C10" s="176"/>
      <c r="D10" s="175"/>
      <c r="E10" s="175"/>
      <c r="F10" s="175"/>
      <c r="G10" s="176"/>
    </row>
    <row r="11" spans="1:7" ht="25.2" customHeight="1" x14ac:dyDescent="0.3">
      <c r="A11" s="243" t="s">
        <v>2124</v>
      </c>
      <c r="B11" s="243"/>
      <c r="C11" s="243"/>
      <c r="D11" s="243"/>
      <c r="E11" s="243"/>
      <c r="F11" s="243"/>
      <c r="G11" s="243"/>
    </row>
    <row r="12" spans="1:7" x14ac:dyDescent="0.3">
      <c r="A12" s="175"/>
      <c r="B12" s="175"/>
      <c r="C12" s="176"/>
      <c r="D12" s="175"/>
      <c r="E12" s="175"/>
      <c r="F12" s="175"/>
      <c r="G12" s="176"/>
    </row>
    <row r="13" spans="1:7" ht="22.2" customHeight="1" x14ac:dyDescent="0.3">
      <c r="A13" s="177" t="s">
        <v>2125</v>
      </c>
      <c r="B13" s="178" t="s">
        <v>2126</v>
      </c>
      <c r="C13" s="179" t="s">
        <v>25</v>
      </c>
      <c r="D13" s="178" t="s">
        <v>2127</v>
      </c>
      <c r="E13" s="178" t="s">
        <v>2128</v>
      </c>
      <c r="F13" s="178" t="s">
        <v>2129</v>
      </c>
      <c r="G13" s="180" t="s">
        <v>141</v>
      </c>
    </row>
    <row r="14" spans="1:7" ht="19.95" customHeight="1" x14ac:dyDescent="0.3">
      <c r="A14" s="181" t="s">
        <v>2130</v>
      </c>
      <c r="B14" s="182" t="s">
        <v>2131</v>
      </c>
      <c r="C14" s="183" t="s">
        <v>2132</v>
      </c>
      <c r="D14" s="182" t="s">
        <v>2133</v>
      </c>
      <c r="E14" s="184" t="s">
        <v>2134</v>
      </c>
      <c r="F14" s="182" t="s">
        <v>2135</v>
      </c>
      <c r="G14" s="185" t="s">
        <v>2136</v>
      </c>
    </row>
    <row r="15" spans="1:7" ht="19.95" customHeight="1" x14ac:dyDescent="0.3">
      <c r="A15" s="186" t="s">
        <v>2137</v>
      </c>
      <c r="B15" s="187" t="s">
        <v>18</v>
      </c>
      <c r="C15" s="188" t="s">
        <v>2138</v>
      </c>
      <c r="D15" s="187" t="s">
        <v>2139</v>
      </c>
      <c r="E15" s="184" t="s">
        <v>2134</v>
      </c>
      <c r="F15" s="187" t="s">
        <v>2140</v>
      </c>
      <c r="G15" s="189" t="s">
        <v>2141</v>
      </c>
    </row>
    <row r="16" spans="1:7" ht="19.95" customHeight="1" x14ac:dyDescent="0.3">
      <c r="A16" s="181" t="s">
        <v>2142</v>
      </c>
      <c r="B16" s="182" t="s">
        <v>19</v>
      </c>
      <c r="C16" s="183" t="s">
        <v>2143</v>
      </c>
      <c r="D16" s="182" t="s">
        <v>2144</v>
      </c>
      <c r="E16" s="184" t="s">
        <v>2134</v>
      </c>
      <c r="F16" s="182" t="s">
        <v>2145</v>
      </c>
      <c r="G16" s="185" t="s">
        <v>2146</v>
      </c>
    </row>
    <row r="17" spans="1:7" ht="19.95" customHeight="1" x14ac:dyDescent="0.3">
      <c r="A17" s="186" t="s">
        <v>2147</v>
      </c>
      <c r="B17" s="187" t="s">
        <v>20</v>
      </c>
      <c r="C17" s="188" t="s">
        <v>2148</v>
      </c>
      <c r="D17" s="187" t="s">
        <v>2144</v>
      </c>
      <c r="E17" s="184" t="s">
        <v>2134</v>
      </c>
      <c r="F17" s="187" t="s">
        <v>2145</v>
      </c>
      <c r="G17" s="189" t="s">
        <v>2149</v>
      </c>
    </row>
    <row r="18" spans="1:7" ht="19.95" customHeight="1" x14ac:dyDescent="0.3">
      <c r="A18" s="181" t="s">
        <v>2150</v>
      </c>
      <c r="B18" s="182" t="s">
        <v>21</v>
      </c>
      <c r="C18" s="183" t="s">
        <v>2151</v>
      </c>
      <c r="D18" s="182" t="s">
        <v>2144</v>
      </c>
      <c r="E18" s="184" t="s">
        <v>2134</v>
      </c>
      <c r="F18" s="182" t="s">
        <v>2145</v>
      </c>
      <c r="G18" s="185" t="s">
        <v>2152</v>
      </c>
    </row>
    <row r="19" spans="1:7" ht="19.95" customHeight="1" x14ac:dyDescent="0.3">
      <c r="A19" s="186" t="s">
        <v>443</v>
      </c>
      <c r="B19" s="187" t="s">
        <v>22</v>
      </c>
      <c r="C19" s="188" t="s">
        <v>2153</v>
      </c>
      <c r="D19" s="187" t="s">
        <v>2144</v>
      </c>
      <c r="E19" s="184" t="s">
        <v>2134</v>
      </c>
      <c r="F19" s="187" t="s">
        <v>2145</v>
      </c>
      <c r="G19" s="189" t="s">
        <v>2154</v>
      </c>
    </row>
    <row r="20" spans="1:7" ht="19.95" customHeight="1" x14ac:dyDescent="0.3">
      <c r="A20" s="181" t="s">
        <v>2155</v>
      </c>
      <c r="B20" s="182" t="s">
        <v>23</v>
      </c>
      <c r="C20" s="183" t="s">
        <v>2156</v>
      </c>
      <c r="D20" s="182" t="s">
        <v>2144</v>
      </c>
      <c r="E20" s="184" t="s">
        <v>2134</v>
      </c>
      <c r="F20" s="182" t="s">
        <v>2145</v>
      </c>
      <c r="G20" s="185" t="s">
        <v>2157</v>
      </c>
    </row>
    <row r="21" spans="1:7" ht="19.95" customHeight="1" x14ac:dyDescent="0.3">
      <c r="A21" s="186" t="s">
        <v>2158</v>
      </c>
      <c r="B21" s="187" t="s">
        <v>24</v>
      </c>
      <c r="C21" s="188" t="s">
        <v>2159</v>
      </c>
      <c r="D21" s="187" t="s">
        <v>2144</v>
      </c>
      <c r="E21" s="184" t="s">
        <v>2134</v>
      </c>
      <c r="F21" s="187" t="s">
        <v>2160</v>
      </c>
      <c r="G21" s="189" t="s">
        <v>2161</v>
      </c>
    </row>
    <row r="22" spans="1:7" ht="19.95" customHeight="1" x14ac:dyDescent="0.3">
      <c r="A22" s="181" t="s">
        <v>1632</v>
      </c>
      <c r="B22" s="182" t="s">
        <v>36</v>
      </c>
      <c r="C22" s="183" t="s">
        <v>2162</v>
      </c>
      <c r="D22" s="182" t="s">
        <v>2144</v>
      </c>
      <c r="E22" s="184" t="s">
        <v>2134</v>
      </c>
      <c r="F22" s="182" t="s">
        <v>2145</v>
      </c>
      <c r="G22" s="185" t="s">
        <v>2163</v>
      </c>
    </row>
    <row r="23" spans="1:7" ht="19.95" customHeight="1" x14ac:dyDescent="0.3">
      <c r="A23" s="186" t="s">
        <v>2164</v>
      </c>
      <c r="B23" s="187" t="s">
        <v>37</v>
      </c>
      <c r="C23" s="188" t="s">
        <v>2165</v>
      </c>
      <c r="D23" s="187" t="s">
        <v>2144</v>
      </c>
      <c r="E23" s="184" t="s">
        <v>2134</v>
      </c>
      <c r="F23" s="187" t="s">
        <v>2145</v>
      </c>
      <c r="G23" s="189" t="s">
        <v>2166</v>
      </c>
    </row>
    <row r="24" spans="1:7" ht="19.95" customHeight="1" x14ac:dyDescent="0.3">
      <c r="A24" s="181" t="s">
        <v>2167</v>
      </c>
      <c r="B24" s="182" t="s">
        <v>1274</v>
      </c>
      <c r="C24" s="183" t="s">
        <v>2168</v>
      </c>
      <c r="D24" s="182" t="s">
        <v>2144</v>
      </c>
      <c r="E24" s="184" t="s">
        <v>2134</v>
      </c>
      <c r="F24" s="182" t="s">
        <v>2145</v>
      </c>
      <c r="G24" s="185" t="s">
        <v>2169</v>
      </c>
    </row>
    <row r="25" spans="1:7" ht="19.95" customHeight="1" x14ac:dyDescent="0.3">
      <c r="A25" s="186" t="s">
        <v>2170</v>
      </c>
      <c r="B25" s="187" t="s">
        <v>1669</v>
      </c>
      <c r="C25" s="188" t="s">
        <v>2171</v>
      </c>
      <c r="D25" s="187" t="s">
        <v>2144</v>
      </c>
      <c r="E25" s="184" t="s">
        <v>2134</v>
      </c>
      <c r="F25" s="187" t="s">
        <v>2145</v>
      </c>
      <c r="G25" s="189" t="s">
        <v>2172</v>
      </c>
    </row>
    <row r="26" spans="1:7" ht="19.95" customHeight="1" x14ac:dyDescent="0.3">
      <c r="A26" s="181" t="s">
        <v>2173</v>
      </c>
      <c r="B26" s="182" t="s">
        <v>25</v>
      </c>
      <c r="C26" s="183" t="s">
        <v>2174</v>
      </c>
      <c r="D26" s="182" t="s">
        <v>2144</v>
      </c>
      <c r="E26" s="184" t="s">
        <v>2134</v>
      </c>
      <c r="F26" s="182" t="s">
        <v>2145</v>
      </c>
      <c r="G26" s="185" t="s">
        <v>2175</v>
      </c>
    </row>
    <row r="27" spans="1:7" ht="19.95" customHeight="1" x14ac:dyDescent="0.3">
      <c r="A27" s="186" t="s">
        <v>2176</v>
      </c>
      <c r="B27" s="187" t="s">
        <v>26</v>
      </c>
      <c r="C27" s="188" t="s">
        <v>2177</v>
      </c>
      <c r="D27" s="187" t="s">
        <v>2144</v>
      </c>
      <c r="E27" s="184" t="s">
        <v>2134</v>
      </c>
      <c r="F27" s="187" t="s">
        <v>2178</v>
      </c>
      <c r="G27" s="189" t="s">
        <v>2179</v>
      </c>
    </row>
    <row r="28" spans="1:7" ht="19.95" customHeight="1" x14ac:dyDescent="0.3">
      <c r="A28" s="181" t="s">
        <v>143</v>
      </c>
      <c r="B28" s="182" t="s">
        <v>27</v>
      </c>
      <c r="C28" s="183" t="s">
        <v>2180</v>
      </c>
      <c r="D28" s="182" t="s">
        <v>2144</v>
      </c>
      <c r="E28" s="184" t="s">
        <v>2134</v>
      </c>
      <c r="F28" s="182" t="s">
        <v>2181</v>
      </c>
      <c r="G28" s="185" t="s">
        <v>2182</v>
      </c>
    </row>
    <row r="29" spans="1:7" ht="19.95" customHeight="1" x14ac:dyDescent="0.3">
      <c r="A29" s="186" t="s">
        <v>2183</v>
      </c>
      <c r="B29" s="187" t="s">
        <v>28</v>
      </c>
      <c r="C29" s="188" t="s">
        <v>2184</v>
      </c>
      <c r="D29" s="187" t="s">
        <v>2185</v>
      </c>
      <c r="E29" s="190" t="s">
        <v>2186</v>
      </c>
      <c r="F29" s="187" t="s">
        <v>2187</v>
      </c>
      <c r="G29" s="189" t="s">
        <v>2188</v>
      </c>
    </row>
    <row r="30" spans="1:7" ht="19.95" customHeight="1" x14ac:dyDescent="0.3">
      <c r="A30" s="181" t="s">
        <v>2189</v>
      </c>
      <c r="B30" s="182" t="s">
        <v>29</v>
      </c>
      <c r="C30" s="183" t="s">
        <v>2190</v>
      </c>
      <c r="D30" s="182" t="s">
        <v>2191</v>
      </c>
      <c r="E30" s="190" t="s">
        <v>2192</v>
      </c>
      <c r="F30" s="182" t="s">
        <v>2187</v>
      </c>
      <c r="G30" s="185" t="s">
        <v>2193</v>
      </c>
    </row>
    <row r="31" spans="1:7" ht="19.95" customHeight="1" x14ac:dyDescent="0.3">
      <c r="A31" s="186" t="s">
        <v>2194</v>
      </c>
      <c r="B31" s="187" t="s">
        <v>30</v>
      </c>
      <c r="C31" s="188" t="s">
        <v>2195</v>
      </c>
      <c r="D31" s="187" t="s">
        <v>2196</v>
      </c>
      <c r="E31" s="203" t="s">
        <v>2197</v>
      </c>
      <c r="F31" s="182" t="s">
        <v>777</v>
      </c>
      <c r="G31" s="189" t="s">
        <v>2198</v>
      </c>
    </row>
    <row r="32" spans="1:7" ht="19.95" customHeight="1" x14ac:dyDescent="0.3">
      <c r="A32" s="181" t="s">
        <v>2115</v>
      </c>
      <c r="B32" s="182" t="s">
        <v>31</v>
      </c>
      <c r="C32" s="183" t="s">
        <v>2199</v>
      </c>
      <c r="D32" s="182" t="s">
        <v>777</v>
      </c>
      <c r="E32" s="184" t="s">
        <v>2200</v>
      </c>
      <c r="F32" s="182" t="s">
        <v>777</v>
      </c>
      <c r="G32" s="185" t="s">
        <v>2201</v>
      </c>
    </row>
    <row r="33" spans="1:7" ht="19.95" customHeight="1" x14ac:dyDescent="0.3">
      <c r="A33" s="186" t="s">
        <v>2202</v>
      </c>
      <c r="B33" s="187" t="s">
        <v>32</v>
      </c>
      <c r="C33" s="188" t="s">
        <v>2203</v>
      </c>
      <c r="D33" s="187" t="s">
        <v>2144</v>
      </c>
      <c r="E33" s="184" t="s">
        <v>2134</v>
      </c>
      <c r="F33" s="187" t="s">
        <v>2145</v>
      </c>
      <c r="G33" s="189" t="s">
        <v>2204</v>
      </c>
    </row>
    <row r="34" spans="1:7" ht="19.95" customHeight="1" x14ac:dyDescent="0.3">
      <c r="A34" s="181" t="s">
        <v>2205</v>
      </c>
      <c r="B34" s="182" t="s">
        <v>33</v>
      </c>
      <c r="C34" s="183" t="s">
        <v>2206</v>
      </c>
      <c r="D34" s="182" t="s">
        <v>2144</v>
      </c>
      <c r="E34" s="184" t="s">
        <v>2134</v>
      </c>
      <c r="F34" s="182" t="s">
        <v>2145</v>
      </c>
      <c r="G34" s="185" t="s">
        <v>2207</v>
      </c>
    </row>
    <row r="35" spans="1:7" ht="18" customHeight="1" x14ac:dyDescent="0.3">
      <c r="A35" s="204"/>
      <c r="B35" s="205"/>
      <c r="C35" s="206"/>
      <c r="D35" s="205"/>
      <c r="E35" s="207"/>
      <c r="F35" s="205"/>
      <c r="G35" s="208"/>
    </row>
    <row r="36" spans="1:7" ht="25.2" customHeight="1" x14ac:dyDescent="0.3">
      <c r="A36" s="253" t="s">
        <v>2208</v>
      </c>
      <c r="B36" s="254"/>
      <c r="C36" s="254"/>
      <c r="D36" s="254"/>
      <c r="E36" s="254"/>
      <c r="F36" s="254"/>
      <c r="G36" s="255"/>
    </row>
    <row r="37" spans="1:7" x14ac:dyDescent="0.3">
      <c r="A37" s="175"/>
      <c r="B37" s="175"/>
      <c r="C37" s="176"/>
      <c r="D37" s="175"/>
      <c r="E37" s="175"/>
      <c r="F37" s="175"/>
      <c r="G37" s="176"/>
    </row>
    <row r="38" spans="1:7" ht="22.2" customHeight="1" x14ac:dyDescent="0.3">
      <c r="A38" s="258" t="s">
        <v>461</v>
      </c>
      <c r="B38" s="258"/>
      <c r="C38" s="258"/>
      <c r="D38" s="258"/>
      <c r="E38" s="258"/>
      <c r="F38" s="258"/>
      <c r="G38" s="258"/>
    </row>
    <row r="39" spans="1:7" ht="24" x14ac:dyDescent="0.3">
      <c r="A39" s="195" t="s">
        <v>2209</v>
      </c>
      <c r="B39" s="195" t="s">
        <v>44</v>
      </c>
      <c r="C39" s="196" t="s">
        <v>2210</v>
      </c>
      <c r="D39" s="195" t="s">
        <v>2211</v>
      </c>
      <c r="E39" s="195" t="s">
        <v>2212</v>
      </c>
      <c r="F39" s="195"/>
      <c r="G39" s="196"/>
    </row>
    <row r="40" spans="1:7" ht="22.2" customHeight="1" x14ac:dyDescent="0.3">
      <c r="A40" s="209" t="s">
        <v>2213</v>
      </c>
      <c r="B40" s="209" t="s">
        <v>575</v>
      </c>
      <c r="C40" s="210" t="s">
        <v>2214</v>
      </c>
      <c r="D40" s="209" t="s">
        <v>2215</v>
      </c>
      <c r="E40" s="209" t="s">
        <v>2216</v>
      </c>
      <c r="F40" s="209"/>
      <c r="G40" s="210"/>
    </row>
    <row r="41" spans="1:7" x14ac:dyDescent="0.3">
      <c r="A41" s="195" t="s">
        <v>356</v>
      </c>
      <c r="B41" s="195" t="s">
        <v>137</v>
      </c>
      <c r="C41" s="196" t="s">
        <v>2217</v>
      </c>
      <c r="D41" s="195" t="s">
        <v>2218</v>
      </c>
      <c r="E41" s="195" t="s">
        <v>2219</v>
      </c>
      <c r="F41" s="195"/>
      <c r="G41" s="196"/>
    </row>
    <row r="42" spans="1:7" ht="25.2" customHeight="1" x14ac:dyDescent="0.3">
      <c r="A42" s="244"/>
      <c r="B42" s="244"/>
      <c r="C42" s="244"/>
      <c r="D42" s="244"/>
      <c r="E42" s="244"/>
      <c r="F42" s="244"/>
      <c r="G42" s="244"/>
    </row>
    <row r="43" spans="1:7" ht="25.2" customHeight="1" x14ac:dyDescent="0.3">
      <c r="A43" s="256" t="s">
        <v>2220</v>
      </c>
      <c r="B43" s="256"/>
      <c r="C43" s="256"/>
      <c r="D43" s="256"/>
      <c r="E43" s="256"/>
      <c r="F43" s="256"/>
      <c r="G43" s="256"/>
    </row>
    <row r="44" spans="1:7" ht="22.2" customHeight="1" x14ac:dyDescent="0.3">
      <c r="A44" s="211"/>
      <c r="B44" s="211"/>
      <c r="C44" s="212"/>
      <c r="D44" s="211"/>
      <c r="E44" s="211"/>
      <c r="F44" s="211"/>
      <c r="G44" s="212"/>
    </row>
    <row r="45" spans="1:7" ht="22.2" customHeight="1" x14ac:dyDescent="0.3">
      <c r="A45" s="193" t="s">
        <v>2221</v>
      </c>
      <c r="B45" s="193" t="s">
        <v>25</v>
      </c>
      <c r="C45" s="194" t="s">
        <v>442</v>
      </c>
      <c r="D45" s="193" t="s">
        <v>2222</v>
      </c>
      <c r="E45" s="193"/>
      <c r="F45" s="193"/>
      <c r="G45" s="194"/>
    </row>
    <row r="46" spans="1:7" x14ac:dyDescent="0.3">
      <c r="A46" s="197" t="s">
        <v>45</v>
      </c>
      <c r="B46" s="197" t="s">
        <v>2223</v>
      </c>
      <c r="C46" s="198" t="s">
        <v>2224</v>
      </c>
      <c r="D46" s="197" t="s">
        <v>2225</v>
      </c>
      <c r="E46" s="197"/>
      <c r="F46" s="197"/>
      <c r="G46" s="198"/>
    </row>
    <row r="47" spans="1:7" x14ac:dyDescent="0.3">
      <c r="A47" s="195" t="s">
        <v>466</v>
      </c>
      <c r="B47" s="195" t="s">
        <v>2226</v>
      </c>
      <c r="C47" s="196" t="s">
        <v>2227</v>
      </c>
      <c r="D47" s="195" t="s">
        <v>2228</v>
      </c>
      <c r="E47" s="195"/>
      <c r="F47" s="195"/>
      <c r="G47" s="196"/>
    </row>
    <row r="48" spans="1:7" x14ac:dyDescent="0.3">
      <c r="A48" s="197" t="s">
        <v>79</v>
      </c>
      <c r="B48" s="197" t="s">
        <v>2229</v>
      </c>
      <c r="C48" s="198" t="s">
        <v>2230</v>
      </c>
      <c r="D48" s="197" t="s">
        <v>2231</v>
      </c>
      <c r="E48" s="197"/>
      <c r="F48" s="197"/>
      <c r="G48" s="198"/>
    </row>
    <row r="49" spans="1:7" x14ac:dyDescent="0.3">
      <c r="A49" s="195" t="s">
        <v>63</v>
      </c>
      <c r="B49" s="195" t="s">
        <v>2232</v>
      </c>
      <c r="C49" s="196" t="s">
        <v>2233</v>
      </c>
      <c r="D49" s="195" t="s">
        <v>2234</v>
      </c>
      <c r="E49" s="195"/>
      <c r="F49" s="195"/>
      <c r="G49" s="196"/>
    </row>
    <row r="50" spans="1:7" x14ac:dyDescent="0.3">
      <c r="A50" s="197" t="s">
        <v>102</v>
      </c>
      <c r="B50" s="197" t="s">
        <v>2235</v>
      </c>
      <c r="C50" s="198" t="s">
        <v>2236</v>
      </c>
      <c r="D50" s="197" t="s">
        <v>2237</v>
      </c>
      <c r="E50" s="197"/>
      <c r="F50" s="197"/>
      <c r="G50" s="198"/>
    </row>
    <row r="51" spans="1:7" x14ac:dyDescent="0.3">
      <c r="A51" s="215" t="s">
        <v>490</v>
      </c>
      <c r="B51" s="215" t="s">
        <v>2238</v>
      </c>
      <c r="C51" s="216" t="s">
        <v>2239</v>
      </c>
      <c r="D51" s="215" t="s">
        <v>2240</v>
      </c>
      <c r="E51" s="215"/>
      <c r="F51" s="215"/>
      <c r="G51" s="216"/>
    </row>
    <row r="52" spans="1:7" x14ac:dyDescent="0.3">
      <c r="A52" s="197" t="s">
        <v>2241</v>
      </c>
      <c r="B52" s="197" t="s">
        <v>2242</v>
      </c>
      <c r="C52" s="198" t="s">
        <v>2243</v>
      </c>
      <c r="D52" s="197" t="s">
        <v>2244</v>
      </c>
      <c r="E52" s="197"/>
      <c r="F52" s="197"/>
      <c r="G52" s="198"/>
    </row>
    <row r="53" spans="1:7" ht="25.2" customHeight="1" x14ac:dyDescent="0.3">
      <c r="A53" s="244" t="s">
        <v>505</v>
      </c>
      <c r="B53" s="244"/>
      <c r="C53" s="244"/>
      <c r="D53" s="244"/>
      <c r="E53" s="244"/>
      <c r="F53" s="244"/>
      <c r="G53" s="244"/>
    </row>
    <row r="54" spans="1:7" x14ac:dyDescent="0.3">
      <c r="A54" s="197" t="s">
        <v>2245</v>
      </c>
      <c r="B54" s="197" t="s">
        <v>2246</v>
      </c>
      <c r="C54" s="198" t="s">
        <v>2247</v>
      </c>
      <c r="D54" s="197" t="s">
        <v>2248</v>
      </c>
      <c r="E54" s="197"/>
      <c r="F54" s="197"/>
      <c r="G54" s="198"/>
    </row>
    <row r="55" spans="1:7" ht="22.2" customHeight="1" x14ac:dyDescent="0.3">
      <c r="A55" s="209" t="s">
        <v>2249</v>
      </c>
      <c r="B55" s="209" t="s">
        <v>2250</v>
      </c>
      <c r="C55" s="210" t="s">
        <v>2251</v>
      </c>
      <c r="D55" s="209" t="s">
        <v>2252</v>
      </c>
      <c r="E55" s="209"/>
      <c r="F55" s="209"/>
      <c r="G55" s="210"/>
    </row>
    <row r="56" spans="1:7" x14ac:dyDescent="0.3">
      <c r="A56" s="213"/>
      <c r="B56" s="213"/>
      <c r="C56" s="214"/>
      <c r="D56" s="213"/>
      <c r="E56" s="213"/>
      <c r="F56" s="213"/>
      <c r="G56" s="214"/>
    </row>
    <row r="57" spans="1:7" ht="25.2" customHeight="1" x14ac:dyDescent="0.3">
      <c r="A57" s="250" t="s">
        <v>2253</v>
      </c>
      <c r="B57" s="251"/>
      <c r="C57" s="251"/>
      <c r="D57" s="251"/>
      <c r="E57" s="251"/>
      <c r="F57" s="251"/>
      <c r="G57" s="252"/>
    </row>
    <row r="58" spans="1:7" x14ac:dyDescent="0.3">
      <c r="A58" s="217"/>
      <c r="B58" s="217"/>
      <c r="C58" s="218"/>
      <c r="D58" s="217"/>
      <c r="E58" s="217"/>
      <c r="F58" s="217"/>
      <c r="G58" s="218"/>
    </row>
    <row r="59" spans="1:7" ht="22.2" customHeight="1" x14ac:dyDescent="0.3">
      <c r="A59" s="223" t="s">
        <v>2254</v>
      </c>
      <c r="B59" s="223" t="s">
        <v>25</v>
      </c>
      <c r="C59" s="232" t="s">
        <v>2255</v>
      </c>
      <c r="D59" s="223" t="s">
        <v>2256</v>
      </c>
      <c r="E59" s="223"/>
      <c r="F59" s="223"/>
      <c r="G59" s="232"/>
    </row>
    <row r="60" spans="1:7" x14ac:dyDescent="0.3">
      <c r="A60" s="233" t="s">
        <v>64</v>
      </c>
      <c r="B60" s="233" t="s">
        <v>2257</v>
      </c>
      <c r="C60" s="234" t="s">
        <v>2258</v>
      </c>
      <c r="D60" s="233" t="s">
        <v>2259</v>
      </c>
      <c r="E60" s="233"/>
      <c r="F60" s="233"/>
      <c r="G60" s="234"/>
    </row>
    <row r="61" spans="1:7" x14ac:dyDescent="0.3">
      <c r="A61" s="235" t="s">
        <v>483</v>
      </c>
      <c r="B61" s="235" t="s">
        <v>2260</v>
      </c>
      <c r="C61" s="236" t="s">
        <v>2261</v>
      </c>
      <c r="D61" s="235" t="s">
        <v>2262</v>
      </c>
      <c r="E61" s="235"/>
      <c r="F61" s="235"/>
      <c r="G61" s="236"/>
    </row>
    <row r="62" spans="1:7" x14ac:dyDescent="0.3">
      <c r="A62" s="233" t="s">
        <v>2263</v>
      </c>
      <c r="B62" s="233" t="s">
        <v>2264</v>
      </c>
      <c r="C62" s="234" t="s">
        <v>2265</v>
      </c>
      <c r="D62" s="233" t="s">
        <v>2266</v>
      </c>
      <c r="E62" s="233"/>
      <c r="F62" s="233"/>
      <c r="G62" s="234"/>
    </row>
    <row r="63" spans="1:7" x14ac:dyDescent="0.3">
      <c r="A63" s="235" t="s">
        <v>98</v>
      </c>
      <c r="B63" s="235" t="s">
        <v>2267</v>
      </c>
      <c r="C63" s="236" t="s">
        <v>2268</v>
      </c>
      <c r="D63" s="235" t="s">
        <v>2269</v>
      </c>
      <c r="E63" s="235"/>
      <c r="F63" s="235"/>
      <c r="G63" s="236"/>
    </row>
    <row r="64" spans="1:7" ht="25.2" customHeight="1" x14ac:dyDescent="0.3">
      <c r="A64" s="245" t="s">
        <v>2270</v>
      </c>
      <c r="B64" s="245"/>
      <c r="C64" s="245"/>
      <c r="D64" s="245"/>
      <c r="E64" s="245"/>
      <c r="F64" s="245"/>
      <c r="G64" s="245"/>
    </row>
    <row r="65" spans="1:7" x14ac:dyDescent="0.3">
      <c r="A65" s="237" t="s">
        <v>2271</v>
      </c>
      <c r="B65" s="237" t="s">
        <v>2272</v>
      </c>
      <c r="C65" s="238" t="s">
        <v>2273</v>
      </c>
      <c r="D65" s="237" t="s">
        <v>2274</v>
      </c>
      <c r="E65" s="237"/>
      <c r="F65" s="237"/>
      <c r="G65" s="238"/>
    </row>
    <row r="66" spans="1:7" ht="22.2" customHeight="1" x14ac:dyDescent="0.3">
      <c r="A66" s="233" t="s">
        <v>479</v>
      </c>
      <c r="B66" s="233" t="s">
        <v>2275</v>
      </c>
      <c r="C66" s="234" t="s">
        <v>2276</v>
      </c>
      <c r="D66" s="233" t="s">
        <v>2277</v>
      </c>
      <c r="E66" s="233"/>
      <c r="F66" s="239"/>
      <c r="G66" s="240"/>
    </row>
    <row r="67" spans="1:7" x14ac:dyDescent="0.3">
      <c r="A67" s="219"/>
      <c r="B67" s="219"/>
      <c r="C67" s="220"/>
      <c r="D67" s="219"/>
      <c r="E67" s="219"/>
      <c r="F67" s="219"/>
      <c r="G67" s="220"/>
    </row>
    <row r="68" spans="1:7" ht="25.2" customHeight="1" x14ac:dyDescent="0.3">
      <c r="A68" s="250" t="s">
        <v>2278</v>
      </c>
      <c r="B68" s="251"/>
      <c r="C68" s="251"/>
      <c r="D68" s="251"/>
      <c r="E68" s="251"/>
      <c r="F68" s="251"/>
      <c r="G68" s="252"/>
    </row>
    <row r="69" spans="1:7" x14ac:dyDescent="0.3">
      <c r="A69" s="221"/>
      <c r="B69" s="221"/>
      <c r="C69" s="222"/>
      <c r="D69" s="221"/>
      <c r="E69" s="221"/>
      <c r="F69" s="221"/>
      <c r="G69" s="222"/>
    </row>
    <row r="70" spans="1:7" ht="22.2" customHeight="1" x14ac:dyDescent="0.3">
      <c r="A70" s="193" t="s">
        <v>2125</v>
      </c>
      <c r="B70" s="193" t="s">
        <v>2126</v>
      </c>
      <c r="C70" s="194" t="s">
        <v>25</v>
      </c>
      <c r="D70" s="193" t="s">
        <v>2127</v>
      </c>
      <c r="E70" s="193" t="s">
        <v>2128</v>
      </c>
      <c r="F70" s="193" t="s">
        <v>2129</v>
      </c>
      <c r="G70" s="194" t="s">
        <v>141</v>
      </c>
    </row>
    <row r="71" spans="1:7" ht="19.95" customHeight="1" x14ac:dyDescent="0.3">
      <c r="A71" s="182" t="s">
        <v>3</v>
      </c>
      <c r="B71" s="182" t="s">
        <v>459</v>
      </c>
      <c r="C71" s="183" t="s">
        <v>2279</v>
      </c>
      <c r="D71" s="182" t="s">
        <v>2144</v>
      </c>
      <c r="E71" s="184" t="s">
        <v>2134</v>
      </c>
      <c r="F71" s="182" t="s">
        <v>2145</v>
      </c>
      <c r="G71" s="183" t="s">
        <v>2280</v>
      </c>
    </row>
    <row r="72" spans="1:7" ht="19.95" customHeight="1" x14ac:dyDescent="0.3">
      <c r="A72" s="187" t="s">
        <v>435</v>
      </c>
      <c r="B72" s="187" t="s">
        <v>144</v>
      </c>
      <c r="C72" s="188" t="s">
        <v>2281</v>
      </c>
      <c r="D72" s="187" t="s">
        <v>2144</v>
      </c>
      <c r="E72" s="184" t="s">
        <v>2134</v>
      </c>
      <c r="F72" s="187" t="s">
        <v>2145</v>
      </c>
      <c r="G72" s="188" t="s">
        <v>2282</v>
      </c>
    </row>
    <row r="73" spans="1:7" ht="19.95" customHeight="1" x14ac:dyDescent="0.3">
      <c r="A73" s="182" t="s">
        <v>436</v>
      </c>
      <c r="B73" s="182" t="s">
        <v>816</v>
      </c>
      <c r="C73" s="183" t="s">
        <v>2283</v>
      </c>
      <c r="D73" s="182" t="s">
        <v>2144</v>
      </c>
      <c r="E73" s="184" t="s">
        <v>2134</v>
      </c>
      <c r="F73" s="182" t="s">
        <v>2145</v>
      </c>
      <c r="G73" s="183" t="s">
        <v>2284</v>
      </c>
    </row>
    <row r="74" spans="1:7" ht="19.95" customHeight="1" x14ac:dyDescent="0.3">
      <c r="A74" s="187" t="s">
        <v>2285</v>
      </c>
      <c r="B74" s="187" t="s">
        <v>24</v>
      </c>
      <c r="C74" s="188" t="s">
        <v>2286</v>
      </c>
      <c r="D74" s="187" t="s">
        <v>2144</v>
      </c>
      <c r="E74" s="184" t="s">
        <v>2134</v>
      </c>
      <c r="F74" s="187" t="s">
        <v>2160</v>
      </c>
      <c r="G74" s="188" t="s">
        <v>2287</v>
      </c>
    </row>
    <row r="75" spans="1:7" ht="19.95" customHeight="1" x14ac:dyDescent="0.3">
      <c r="A75" s="246" t="s">
        <v>2288</v>
      </c>
      <c r="B75" s="247"/>
      <c r="C75" s="247"/>
      <c r="D75" s="247"/>
      <c r="E75" s="247"/>
      <c r="F75" s="247"/>
      <c r="G75" s="248"/>
    </row>
    <row r="76" spans="1:7" ht="19.95" customHeight="1" x14ac:dyDescent="0.3">
      <c r="A76" s="187" t="s">
        <v>2289</v>
      </c>
      <c r="B76" s="187" t="s">
        <v>26</v>
      </c>
      <c r="C76" s="188" t="s">
        <v>2290</v>
      </c>
      <c r="D76" s="187" t="s">
        <v>2144</v>
      </c>
      <c r="E76" s="184" t="s">
        <v>2134</v>
      </c>
      <c r="F76" s="187" t="s">
        <v>2178</v>
      </c>
      <c r="G76" s="188" t="s">
        <v>2291</v>
      </c>
    </row>
    <row r="77" spans="1:7" ht="19.95" customHeight="1" x14ac:dyDescent="0.3">
      <c r="A77" s="182" t="s">
        <v>2114</v>
      </c>
      <c r="B77" s="182" t="s">
        <v>461</v>
      </c>
      <c r="C77" s="183" t="s">
        <v>2292</v>
      </c>
      <c r="D77" s="182" t="s">
        <v>2144</v>
      </c>
      <c r="E77" s="231" t="s">
        <v>2134</v>
      </c>
      <c r="F77" s="241" t="s">
        <v>575</v>
      </c>
      <c r="G77" s="242" t="s">
        <v>2293</v>
      </c>
    </row>
    <row r="78" spans="1:7" ht="19.95" customHeight="1" x14ac:dyDescent="0.3">
      <c r="A78" s="187" t="s">
        <v>2294</v>
      </c>
      <c r="B78" s="187" t="s">
        <v>817</v>
      </c>
      <c r="C78" s="188" t="s">
        <v>2295</v>
      </c>
      <c r="D78" s="187" t="s">
        <v>2191</v>
      </c>
      <c r="E78" s="190" t="s">
        <v>2192</v>
      </c>
      <c r="F78" s="187" t="s">
        <v>2187</v>
      </c>
      <c r="G78" s="188" t="s">
        <v>2296</v>
      </c>
    </row>
    <row r="79" spans="1:7" ht="19.95" customHeight="1" x14ac:dyDescent="0.3">
      <c r="A79" s="182" t="s">
        <v>2137</v>
      </c>
      <c r="B79" s="182" t="s">
        <v>818</v>
      </c>
      <c r="C79" s="183" t="s">
        <v>2297</v>
      </c>
      <c r="D79" s="182" t="s">
        <v>2191</v>
      </c>
      <c r="E79" s="190" t="s">
        <v>2192</v>
      </c>
      <c r="F79" s="182" t="s">
        <v>2298</v>
      </c>
      <c r="G79" s="183" t="s">
        <v>2299</v>
      </c>
    </row>
    <row r="80" spans="1:7" ht="19.95" customHeight="1" x14ac:dyDescent="0.3">
      <c r="A80" s="187" t="s">
        <v>2142</v>
      </c>
      <c r="B80" s="187" t="s">
        <v>819</v>
      </c>
      <c r="C80" s="188" t="s">
        <v>2300</v>
      </c>
      <c r="D80" s="187" t="s">
        <v>2191</v>
      </c>
      <c r="E80" s="190" t="s">
        <v>2192</v>
      </c>
      <c r="F80" s="187" t="s">
        <v>2301</v>
      </c>
      <c r="G80" s="188" t="s">
        <v>2302</v>
      </c>
    </row>
    <row r="81" spans="1:7" ht="19.95" customHeight="1" x14ac:dyDescent="0.3">
      <c r="A81" s="182" t="s">
        <v>2147</v>
      </c>
      <c r="B81" s="182" t="s">
        <v>820</v>
      </c>
      <c r="C81" s="183" t="s">
        <v>2303</v>
      </c>
      <c r="D81" s="182" t="s">
        <v>2191</v>
      </c>
      <c r="E81" s="190" t="s">
        <v>2192</v>
      </c>
      <c r="F81" s="182" t="s">
        <v>2304</v>
      </c>
      <c r="G81" s="183" t="s">
        <v>2305</v>
      </c>
    </row>
    <row r="82" spans="1:7" ht="19.95" customHeight="1" x14ac:dyDescent="0.3">
      <c r="A82" s="187" t="s">
        <v>2150</v>
      </c>
      <c r="B82" s="187" t="s">
        <v>148</v>
      </c>
      <c r="C82" s="188" t="s">
        <v>2306</v>
      </c>
      <c r="D82" s="187" t="s">
        <v>2191</v>
      </c>
      <c r="E82" s="190" t="s">
        <v>2307</v>
      </c>
      <c r="F82" s="187" t="s">
        <v>2308</v>
      </c>
      <c r="G82" s="188" t="s">
        <v>2309</v>
      </c>
    </row>
    <row r="83" spans="1:7" ht="19.95" customHeight="1" x14ac:dyDescent="0.3">
      <c r="A83" s="182" t="s">
        <v>443</v>
      </c>
      <c r="B83" s="182" t="s">
        <v>821</v>
      </c>
      <c r="C83" s="183" t="s">
        <v>2310</v>
      </c>
      <c r="D83" s="182" t="s">
        <v>2191</v>
      </c>
      <c r="E83" s="190" t="s">
        <v>2307</v>
      </c>
      <c r="F83" s="182" t="s">
        <v>2308</v>
      </c>
      <c r="G83" s="183" t="s">
        <v>2311</v>
      </c>
    </row>
    <row r="84" spans="1:7" ht="19.95" customHeight="1" x14ac:dyDescent="0.3">
      <c r="A84" s="187" t="s">
        <v>2155</v>
      </c>
      <c r="B84" s="187" t="s">
        <v>822</v>
      </c>
      <c r="C84" s="188" t="s">
        <v>2312</v>
      </c>
      <c r="D84" s="187" t="s">
        <v>2191</v>
      </c>
      <c r="E84" s="190" t="s">
        <v>2307</v>
      </c>
      <c r="F84" s="187" t="s">
        <v>2308</v>
      </c>
      <c r="G84" s="188" t="s">
        <v>2313</v>
      </c>
    </row>
    <row r="85" spans="1:7" ht="19.95" customHeight="1" x14ac:dyDescent="0.3">
      <c r="A85" s="182" t="s">
        <v>2158</v>
      </c>
      <c r="B85" s="182" t="s">
        <v>209</v>
      </c>
      <c r="C85" s="183" t="s">
        <v>2314</v>
      </c>
      <c r="D85" s="182" t="s">
        <v>2191</v>
      </c>
      <c r="E85" s="190" t="s">
        <v>2307</v>
      </c>
      <c r="F85" s="182" t="s">
        <v>2308</v>
      </c>
      <c r="G85" s="183" t="s">
        <v>2315</v>
      </c>
    </row>
    <row r="86" spans="1:7" ht="19.95" customHeight="1" x14ac:dyDescent="0.3">
      <c r="A86" s="187" t="s">
        <v>1632</v>
      </c>
      <c r="B86" s="187" t="s">
        <v>210</v>
      </c>
      <c r="C86" s="188" t="s">
        <v>2316</v>
      </c>
      <c r="D86" s="187" t="s">
        <v>2191</v>
      </c>
      <c r="E86" s="190" t="s">
        <v>2307</v>
      </c>
      <c r="F86" s="187" t="s">
        <v>2308</v>
      </c>
      <c r="G86" s="188" t="s">
        <v>2317</v>
      </c>
    </row>
    <row r="87" spans="1:7" ht="19.95" customHeight="1" x14ac:dyDescent="0.3">
      <c r="A87" s="182" t="s">
        <v>2164</v>
      </c>
      <c r="B87" s="182" t="s">
        <v>823</v>
      </c>
      <c r="C87" s="183" t="s">
        <v>2318</v>
      </c>
      <c r="D87" s="182" t="s">
        <v>2191</v>
      </c>
      <c r="E87" s="190" t="s">
        <v>2307</v>
      </c>
      <c r="F87" s="182" t="s">
        <v>2308</v>
      </c>
      <c r="G87" s="183" t="s">
        <v>2319</v>
      </c>
    </row>
    <row r="88" spans="1:7" ht="19.95" customHeight="1" x14ac:dyDescent="0.3">
      <c r="A88" s="187" t="s">
        <v>2167</v>
      </c>
      <c r="B88" s="187" t="s">
        <v>824</v>
      </c>
      <c r="C88" s="188" t="s">
        <v>2320</v>
      </c>
      <c r="D88" s="187" t="s">
        <v>2191</v>
      </c>
      <c r="E88" s="190" t="s">
        <v>2307</v>
      </c>
      <c r="F88" s="187" t="s">
        <v>2308</v>
      </c>
      <c r="G88" s="188" t="s">
        <v>2321</v>
      </c>
    </row>
    <row r="89" spans="1:7" ht="19.95" customHeight="1" x14ac:dyDescent="0.3">
      <c r="A89" s="182" t="s">
        <v>2170</v>
      </c>
      <c r="B89" s="182" t="s">
        <v>825</v>
      </c>
      <c r="C89" s="183" t="s">
        <v>2322</v>
      </c>
      <c r="D89" s="182" t="s">
        <v>2191</v>
      </c>
      <c r="E89" s="190" t="s">
        <v>2307</v>
      </c>
      <c r="F89" s="182" t="s">
        <v>2308</v>
      </c>
      <c r="G89" s="183" t="s">
        <v>2323</v>
      </c>
    </row>
    <row r="90" spans="1:7" ht="19.95" customHeight="1" x14ac:dyDescent="0.3">
      <c r="A90" s="187" t="s">
        <v>2173</v>
      </c>
      <c r="B90" s="187" t="s">
        <v>32</v>
      </c>
      <c r="C90" s="188" t="s">
        <v>2324</v>
      </c>
      <c r="D90" s="187" t="s">
        <v>2144</v>
      </c>
      <c r="E90" s="184" t="s">
        <v>2134</v>
      </c>
      <c r="F90" s="187" t="s">
        <v>2145</v>
      </c>
      <c r="G90" s="188" t="s">
        <v>2325</v>
      </c>
    </row>
    <row r="91" spans="1:7" ht="19.95" customHeight="1" x14ac:dyDescent="0.3">
      <c r="A91" s="182" t="s">
        <v>2176</v>
      </c>
      <c r="B91" s="182" t="s">
        <v>33</v>
      </c>
      <c r="C91" s="183" t="s">
        <v>2326</v>
      </c>
      <c r="D91" s="182" t="s">
        <v>2144</v>
      </c>
      <c r="E91" s="184" t="s">
        <v>2134</v>
      </c>
      <c r="F91" s="182" t="s">
        <v>2145</v>
      </c>
      <c r="G91" s="183" t="s">
        <v>2327</v>
      </c>
    </row>
    <row r="92" spans="1:7" ht="19.95" customHeight="1" x14ac:dyDescent="0.3">
      <c r="A92" s="187" t="s">
        <v>143</v>
      </c>
      <c r="B92" s="187" t="s">
        <v>826</v>
      </c>
      <c r="C92" s="188" t="s">
        <v>2328</v>
      </c>
      <c r="D92" s="187" t="s">
        <v>2133</v>
      </c>
      <c r="E92" s="190" t="s">
        <v>2307</v>
      </c>
      <c r="F92" s="187" t="s">
        <v>2329</v>
      </c>
      <c r="G92" s="188" t="s">
        <v>2330</v>
      </c>
    </row>
    <row r="93" spans="1:7" ht="19.95" customHeight="1" x14ac:dyDescent="0.3">
      <c r="A93" s="182" t="s">
        <v>2183</v>
      </c>
      <c r="B93" s="182" t="s">
        <v>827</v>
      </c>
      <c r="C93" s="183" t="s">
        <v>2331</v>
      </c>
      <c r="D93" s="182" t="s">
        <v>2133</v>
      </c>
      <c r="E93" s="190" t="s">
        <v>2307</v>
      </c>
      <c r="F93" s="182" t="s">
        <v>2332</v>
      </c>
      <c r="G93" s="183" t="s">
        <v>2333</v>
      </c>
    </row>
    <row r="94" spans="1:7" ht="19.95" customHeight="1" x14ac:dyDescent="0.3">
      <c r="A94" s="187" t="s">
        <v>2189</v>
      </c>
      <c r="B94" s="187" t="s">
        <v>828</v>
      </c>
      <c r="C94" s="188" t="s">
        <v>2334</v>
      </c>
      <c r="D94" s="187" t="s">
        <v>433</v>
      </c>
      <c r="E94" s="190" t="s">
        <v>2335</v>
      </c>
      <c r="F94" s="187" t="s">
        <v>2336</v>
      </c>
      <c r="G94" s="188" t="s">
        <v>2337</v>
      </c>
    </row>
    <row r="95" spans="1:7" ht="19.95" customHeight="1" x14ac:dyDescent="0.3">
      <c r="A95" s="249" t="s">
        <v>2194</v>
      </c>
      <c r="B95" s="249"/>
      <c r="C95" s="249"/>
      <c r="D95" s="249"/>
      <c r="E95" s="249"/>
      <c r="F95" s="249"/>
      <c r="G95" s="249"/>
    </row>
    <row r="96" spans="1:7" ht="19.95" customHeight="1" x14ac:dyDescent="0.3">
      <c r="A96" s="187" t="s">
        <v>2115</v>
      </c>
      <c r="B96" s="187" t="s">
        <v>141</v>
      </c>
      <c r="C96" s="188" t="s">
        <v>2338</v>
      </c>
      <c r="D96" s="187" t="s">
        <v>2144</v>
      </c>
      <c r="E96" s="190" t="s">
        <v>2339</v>
      </c>
      <c r="F96" s="187" t="s">
        <v>2340</v>
      </c>
      <c r="G96" s="188" t="s">
        <v>2341</v>
      </c>
    </row>
    <row r="97" spans="1:7" ht="22.2" customHeight="1" x14ac:dyDescent="0.3">
      <c r="A97" s="191"/>
      <c r="B97" s="191"/>
      <c r="C97" s="192"/>
      <c r="D97" s="191"/>
      <c r="E97" s="191"/>
      <c r="F97" s="191"/>
      <c r="G97" s="192"/>
    </row>
    <row r="98" spans="1:7" ht="25.2" customHeight="1" x14ac:dyDescent="0.3">
      <c r="A98" s="243" t="s">
        <v>2342</v>
      </c>
      <c r="B98" s="243"/>
      <c r="C98" s="243"/>
      <c r="D98" s="243"/>
      <c r="E98" s="243"/>
      <c r="F98" s="243"/>
      <c r="G98" s="243"/>
    </row>
    <row r="99" spans="1:7" x14ac:dyDescent="0.3">
      <c r="A99" s="199"/>
      <c r="B99" s="200"/>
      <c r="C99" s="201"/>
      <c r="D99" s="200"/>
      <c r="E99" s="200"/>
      <c r="F99" s="200"/>
      <c r="G99" s="201"/>
    </row>
    <row r="100" spans="1:7" ht="22.2" customHeight="1" x14ac:dyDescent="0.3">
      <c r="A100" s="191" t="s">
        <v>2343</v>
      </c>
      <c r="B100" s="191" t="s">
        <v>2344</v>
      </c>
      <c r="C100" s="192"/>
      <c r="D100" s="191"/>
      <c r="E100" s="191"/>
      <c r="F100" s="191"/>
      <c r="G100" s="192"/>
    </row>
    <row r="101" spans="1:7" x14ac:dyDescent="0.3">
      <c r="A101" s="199">
        <v>7.1</v>
      </c>
      <c r="B101" s="200" t="s">
        <v>2345</v>
      </c>
      <c r="C101" s="201"/>
      <c r="D101" s="200"/>
      <c r="E101" s="200"/>
      <c r="F101" s="200"/>
      <c r="G101" s="201"/>
    </row>
    <row r="102" spans="1:7" x14ac:dyDescent="0.3">
      <c r="A102" s="199">
        <v>7.2</v>
      </c>
      <c r="B102" s="200" t="s">
        <v>2346</v>
      </c>
      <c r="C102" s="201"/>
      <c r="D102" s="200"/>
      <c r="E102" s="200"/>
      <c r="F102" s="200"/>
      <c r="G102" s="201"/>
    </row>
    <row r="103" spans="1:7" x14ac:dyDescent="0.3">
      <c r="A103" s="199">
        <v>7.3</v>
      </c>
      <c r="B103" s="200" t="s">
        <v>2347</v>
      </c>
      <c r="C103" s="201"/>
      <c r="D103" s="200"/>
      <c r="E103" s="200"/>
      <c r="F103" s="200"/>
      <c r="G103" s="201"/>
    </row>
    <row r="104" spans="1:7" x14ac:dyDescent="0.3">
      <c r="A104" s="199">
        <v>7.4</v>
      </c>
      <c r="B104" s="200" t="s">
        <v>2348</v>
      </c>
      <c r="C104" s="201"/>
      <c r="D104" s="200"/>
      <c r="E104" s="200"/>
      <c r="F104" s="200"/>
      <c r="G104" s="201"/>
    </row>
    <row r="105" spans="1:7" x14ac:dyDescent="0.3">
      <c r="A105" s="199">
        <v>7.5</v>
      </c>
      <c r="B105" s="200" t="s">
        <v>2349</v>
      </c>
      <c r="C105" s="201"/>
      <c r="D105" s="200"/>
      <c r="E105" s="200"/>
      <c r="F105" s="200"/>
      <c r="G105" s="201"/>
    </row>
    <row r="106" spans="1:7" x14ac:dyDescent="0.3">
      <c r="A106" s="199">
        <v>7.7</v>
      </c>
      <c r="B106" s="200" t="s">
        <v>2350</v>
      </c>
      <c r="C106" s="201"/>
      <c r="D106" s="200"/>
      <c r="E106" s="200"/>
      <c r="F106" s="200"/>
      <c r="G106" s="201"/>
    </row>
    <row r="107" spans="1:7" ht="22.2" customHeight="1" x14ac:dyDescent="0.3">
      <c r="A107" s="199">
        <v>7.8</v>
      </c>
      <c r="B107" s="200" t="s">
        <v>2351</v>
      </c>
      <c r="C107" s="201"/>
      <c r="D107" s="200"/>
      <c r="E107" s="200"/>
      <c r="F107" s="200"/>
      <c r="G107" s="201"/>
    </row>
    <row r="108" spans="1:7" x14ac:dyDescent="0.3">
      <c r="A108" s="199">
        <v>7.9</v>
      </c>
      <c r="B108" s="200" t="s">
        <v>2352</v>
      </c>
      <c r="C108" s="201"/>
      <c r="D108" s="200"/>
      <c r="E108" s="200"/>
      <c r="F108" s="200"/>
      <c r="G108" s="201"/>
    </row>
    <row r="109" spans="1:7" x14ac:dyDescent="0.3">
      <c r="A109" s="199">
        <v>7.1</v>
      </c>
      <c r="B109" s="200" t="s">
        <v>2353</v>
      </c>
      <c r="C109" s="201"/>
      <c r="D109" s="200"/>
      <c r="E109" s="200"/>
      <c r="F109" s="200"/>
      <c r="G109" s="201"/>
    </row>
    <row r="110" spans="1:7" ht="18" x14ac:dyDescent="0.3">
      <c r="A110" s="202"/>
      <c r="B110" s="200"/>
      <c r="C110" s="201"/>
      <c r="D110" s="200"/>
      <c r="E110" s="200"/>
      <c r="F110" s="200"/>
      <c r="G110" s="201"/>
    </row>
  </sheetData>
  <mergeCells count="20">
    <mergeCell ref="A1:G1"/>
    <mergeCell ref="A2:G2"/>
    <mergeCell ref="A3:G3"/>
    <mergeCell ref="A4:G4"/>
    <mergeCell ref="A5:G5"/>
    <mergeCell ref="A7:G7"/>
    <mergeCell ref="A8:G8"/>
    <mergeCell ref="A9:G9"/>
    <mergeCell ref="A38:G38"/>
    <mergeCell ref="A42:G42"/>
    <mergeCell ref="A11:G11"/>
    <mergeCell ref="A68:G68"/>
    <mergeCell ref="A36:G36"/>
    <mergeCell ref="A43:G43"/>
    <mergeCell ref="A57:G57"/>
    <mergeCell ref="A98:G98"/>
    <mergeCell ref="A53:G53"/>
    <mergeCell ref="A64:G64"/>
    <mergeCell ref="A75:G75"/>
    <mergeCell ref="A95:G95"/>
  </mergeCells>
  <pageMargins left="6.9444444444444441E-3" right="6.9444444444444441E-3" top="1.0416666666666666E-2" bottom="1.0416666666666666E-2" header="0.3" footer="0.3"/>
  <pageSetup paperSize="9" scale="0" orientation="landscape"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20E0E-48F4-4330-A187-2D331D515ADB}">
  <sheetPr>
    <tabColor theme="5"/>
  </sheetPr>
  <dimension ref="A1:AL324"/>
  <sheetViews>
    <sheetView topLeftCell="O1" zoomScaleNormal="100" workbookViewId="0">
      <pane ySplit="6" topLeftCell="A202" activePane="bottomLeft" state="frozen"/>
      <selection activeCell="O1" sqref="O1"/>
      <selection pane="bottomLeft" activeCell="R217" sqref="R217"/>
    </sheetView>
  </sheetViews>
  <sheetFormatPr defaultRowHeight="14.4" outlineLevelCol="1" x14ac:dyDescent="0.3"/>
  <cols>
    <col min="1" max="3" width="5.6640625" hidden="1" customWidth="1" outlineLevel="1"/>
    <col min="4" max="4" width="11.88671875" hidden="1" customWidth="1" outlineLevel="1"/>
    <col min="5" max="8" width="5.6640625" hidden="1" customWidth="1" outlineLevel="1"/>
    <col min="9" max="9" width="9.109375" hidden="1" customWidth="1" outlineLevel="1"/>
    <col min="10" max="10" width="21.109375" hidden="1" customWidth="1" outlineLevel="1"/>
    <col min="11" max="11" width="21.33203125" hidden="1" customWidth="1" outlineLevel="1"/>
    <col min="12" max="12" width="26.5546875" hidden="1" customWidth="1" outlineLevel="1"/>
    <col min="13" max="13" width="18.5546875" hidden="1" customWidth="1" outlineLevel="1"/>
    <col min="14" max="14" width="24.88671875" hidden="1" customWidth="1" outlineLevel="1"/>
    <col min="15" max="15" width="15.88671875" customWidth="1" collapsed="1"/>
    <col min="16" max="19" width="14.6640625" customWidth="1"/>
    <col min="20" max="20" width="46.44140625" customWidth="1"/>
    <col min="21" max="21" width="12.6640625" customWidth="1"/>
    <col min="24" max="25" width="14.6640625" customWidth="1"/>
    <col min="26" max="26" width="1.6640625" customWidth="1"/>
    <col min="27" max="27" width="48.6640625" customWidth="1" outlineLevel="1"/>
    <col min="28" max="28" width="118.109375" customWidth="1" outlineLevel="1"/>
    <col min="29" max="29" width="1.6640625" customWidth="1"/>
    <col min="30" max="31" width="14.6640625" hidden="1" customWidth="1" outlineLevel="1"/>
    <col min="32" max="32" width="1.6640625" hidden="1" customWidth="1" outlineLevel="1"/>
    <col min="33" max="34" width="14.6640625" hidden="1" customWidth="1" outlineLevel="1"/>
    <col min="35" max="35" width="1.6640625" hidden="1" customWidth="1" outlineLevel="1"/>
    <col min="36" max="37" width="14.6640625" hidden="1" customWidth="1" outlineLevel="1"/>
    <col min="38" max="38" width="9.109375" collapsed="1"/>
  </cols>
  <sheetData>
    <row r="1" spans="1:37" ht="41.4" x14ac:dyDescent="0.3">
      <c r="A1" s="3"/>
      <c r="B1" s="3"/>
      <c r="C1" s="3"/>
      <c r="D1" s="3"/>
      <c r="E1" s="3"/>
      <c r="F1" s="3"/>
      <c r="G1" s="3"/>
      <c r="H1" s="3"/>
      <c r="I1" s="3"/>
      <c r="J1" s="3"/>
      <c r="K1" s="3"/>
      <c r="L1" s="3"/>
      <c r="M1" s="3"/>
      <c r="N1" s="3"/>
      <c r="O1" s="4" t="s">
        <v>2364</v>
      </c>
      <c r="P1" s="5"/>
      <c r="Q1" s="5"/>
      <c r="R1" s="5"/>
      <c r="S1" s="5"/>
      <c r="T1" s="5"/>
      <c r="U1" s="5"/>
      <c r="V1" s="5"/>
      <c r="W1" s="5"/>
      <c r="X1" s="5"/>
      <c r="Y1" s="5"/>
      <c r="Z1" s="5"/>
      <c r="AA1" s="5"/>
      <c r="AB1" s="6"/>
      <c r="AC1" s="7"/>
      <c r="AD1" s="8" t="s">
        <v>0</v>
      </c>
      <c r="AE1" s="9"/>
      <c r="AF1" s="9"/>
      <c r="AG1" s="9"/>
      <c r="AH1" s="9"/>
      <c r="AI1" s="9"/>
      <c r="AJ1" s="9"/>
      <c r="AK1" s="9"/>
    </row>
    <row r="2" spans="1:37" ht="30" customHeight="1" x14ac:dyDescent="0.3">
      <c r="A2" s="3"/>
      <c r="B2" s="3"/>
      <c r="C2" s="3"/>
      <c r="D2" s="3"/>
      <c r="E2" s="3"/>
      <c r="F2" s="3"/>
      <c r="G2" s="3"/>
      <c r="H2" s="3"/>
      <c r="I2" s="3"/>
      <c r="J2" s="3"/>
      <c r="K2" s="3"/>
      <c r="L2" s="3"/>
      <c r="M2" s="3"/>
      <c r="N2" s="3"/>
      <c r="O2" s="10" t="str">
        <f>T7</f>
        <v>Contract Sum</v>
      </c>
      <c r="P2" s="11"/>
      <c r="Q2" s="11"/>
      <c r="R2" s="11"/>
      <c r="S2" s="11"/>
      <c r="T2" s="9"/>
      <c r="U2" s="9"/>
      <c r="V2" s="9"/>
      <c r="W2" s="9"/>
      <c r="X2" s="9"/>
      <c r="Y2" s="9"/>
      <c r="Z2" s="9"/>
      <c r="AA2" s="9"/>
      <c r="AB2" s="12"/>
      <c r="AC2" s="7"/>
      <c r="AD2" s="9"/>
      <c r="AE2" s="9"/>
      <c r="AF2" s="9"/>
      <c r="AG2" s="9"/>
      <c r="AH2" s="9"/>
      <c r="AI2" s="9"/>
      <c r="AJ2" s="9"/>
      <c r="AK2" s="9"/>
    </row>
    <row r="3" spans="1:37" ht="15.6" x14ac:dyDescent="0.3">
      <c r="A3" s="13"/>
      <c r="B3" s="13"/>
      <c r="C3" s="13"/>
      <c r="D3" s="13"/>
      <c r="E3" s="13"/>
      <c r="F3" s="13"/>
      <c r="G3" s="13"/>
      <c r="H3" s="13"/>
      <c r="I3" s="13"/>
      <c r="J3" s="13"/>
      <c r="K3" s="13"/>
      <c r="L3" s="13"/>
      <c r="M3" s="13"/>
      <c r="N3" s="13"/>
      <c r="O3" s="10" t="s">
        <v>1</v>
      </c>
      <c r="P3" s="11"/>
      <c r="Q3" s="11"/>
      <c r="R3" s="11"/>
      <c r="S3" s="11"/>
      <c r="T3" s="11"/>
      <c r="U3" s="14"/>
      <c r="V3" s="14"/>
      <c r="W3" s="14"/>
      <c r="X3" s="14"/>
      <c r="Y3" s="14"/>
      <c r="Z3" s="14"/>
      <c r="AA3" s="14"/>
      <c r="AB3" s="15"/>
      <c r="AC3" s="7"/>
      <c r="AD3" s="9"/>
      <c r="AE3" s="9"/>
      <c r="AF3" s="9"/>
      <c r="AG3" s="9"/>
      <c r="AH3" s="9"/>
      <c r="AI3" s="9"/>
      <c r="AJ3" s="9"/>
      <c r="AK3" s="9"/>
    </row>
    <row r="4" spans="1:37" ht="15.6" x14ac:dyDescent="0.3">
      <c r="A4" s="13"/>
      <c r="B4" s="13"/>
      <c r="C4" s="13"/>
      <c r="D4" s="13"/>
      <c r="E4" s="13"/>
      <c r="F4" s="13"/>
      <c r="G4" s="13"/>
      <c r="H4" s="13"/>
      <c r="I4" s="13"/>
      <c r="J4" s="13"/>
      <c r="K4" s="13"/>
      <c r="L4" s="13"/>
      <c r="M4" s="13"/>
      <c r="N4" s="13"/>
      <c r="O4" s="16" t="s">
        <v>2</v>
      </c>
      <c r="P4" s="17" t="s">
        <v>3</v>
      </c>
      <c r="Q4" s="17"/>
      <c r="R4" s="17"/>
      <c r="S4" s="17"/>
      <c r="T4" s="17"/>
      <c r="U4" s="18"/>
      <c r="V4" s="18"/>
      <c r="W4" s="18"/>
      <c r="X4" s="18"/>
      <c r="Y4" s="18"/>
      <c r="Z4" s="18"/>
      <c r="AA4" s="18"/>
      <c r="AB4" s="19"/>
      <c r="AC4" s="7"/>
      <c r="AD4" s="9"/>
      <c r="AE4" s="9"/>
      <c r="AF4" s="9"/>
      <c r="AG4" s="9"/>
      <c r="AH4" s="9"/>
      <c r="AI4" s="9"/>
      <c r="AJ4" s="9"/>
      <c r="AK4" s="9"/>
    </row>
    <row r="5" spans="1:37" x14ac:dyDescent="0.3">
      <c r="A5" s="20"/>
      <c r="B5" s="13"/>
      <c r="C5" s="13"/>
      <c r="D5" s="13"/>
      <c r="E5" s="13"/>
      <c r="F5" s="13"/>
      <c r="G5" s="13"/>
      <c r="H5" s="13"/>
      <c r="I5" s="13"/>
      <c r="J5" s="13"/>
      <c r="K5" s="13"/>
      <c r="L5" s="13"/>
      <c r="M5" s="13"/>
      <c r="N5" s="13"/>
      <c r="O5" s="21" t="s">
        <v>4</v>
      </c>
      <c r="P5" s="21"/>
      <c r="Q5" s="21"/>
      <c r="R5" s="21"/>
      <c r="S5" s="21"/>
      <c r="T5" s="21" t="s">
        <v>5</v>
      </c>
      <c r="U5" s="22" t="s">
        <v>6</v>
      </c>
      <c r="V5" s="23"/>
      <c r="W5" s="23"/>
      <c r="X5" s="24"/>
      <c r="Y5" s="25"/>
      <c r="Z5" s="26"/>
      <c r="AA5" s="27"/>
      <c r="AB5" s="28"/>
      <c r="AC5" s="7"/>
      <c r="AD5" s="29" t="s">
        <v>7</v>
      </c>
      <c r="AE5" s="29"/>
      <c r="AF5" s="7"/>
      <c r="AG5" s="29" t="s">
        <v>8</v>
      </c>
      <c r="AH5" s="29"/>
      <c r="AI5" s="7"/>
      <c r="AJ5" s="29" t="s">
        <v>9</v>
      </c>
      <c r="AK5" s="29"/>
    </row>
    <row r="6" spans="1:37" ht="30" customHeight="1" x14ac:dyDescent="0.3">
      <c r="A6" s="30" t="s">
        <v>10</v>
      </c>
      <c r="B6" s="30" t="s">
        <v>11</v>
      </c>
      <c r="C6" s="30" t="s">
        <v>12</v>
      </c>
      <c r="D6" s="30" t="s">
        <v>13</v>
      </c>
      <c r="E6" s="30" t="s">
        <v>14</v>
      </c>
      <c r="F6" s="30" t="s">
        <v>15</v>
      </c>
      <c r="G6" s="30" t="s">
        <v>16</v>
      </c>
      <c r="H6" s="30" t="s">
        <v>17</v>
      </c>
      <c r="I6" s="31" t="s">
        <v>18</v>
      </c>
      <c r="J6" s="32" t="s">
        <v>19</v>
      </c>
      <c r="K6" s="32" t="s">
        <v>20</v>
      </c>
      <c r="L6" s="32" t="s">
        <v>21</v>
      </c>
      <c r="M6" s="32" t="s">
        <v>22</v>
      </c>
      <c r="N6" s="32" t="s">
        <v>23</v>
      </c>
      <c r="O6" s="33" t="s">
        <v>24</v>
      </c>
      <c r="P6" s="34" t="s">
        <v>36</v>
      </c>
      <c r="Q6" s="34" t="s">
        <v>37</v>
      </c>
      <c r="R6" s="34" t="s">
        <v>1274</v>
      </c>
      <c r="S6" s="34" t="s">
        <v>1669</v>
      </c>
      <c r="T6" s="35" t="s">
        <v>25</v>
      </c>
      <c r="U6" s="36" t="s">
        <v>26</v>
      </c>
      <c r="V6" s="34" t="s">
        <v>27</v>
      </c>
      <c r="W6" s="37" t="s">
        <v>28</v>
      </c>
      <c r="X6" s="38" t="s">
        <v>29</v>
      </c>
      <c r="Y6" s="35" t="s">
        <v>30</v>
      </c>
      <c r="Z6" s="39" t="s">
        <v>31</v>
      </c>
      <c r="AA6" s="35" t="s">
        <v>32</v>
      </c>
      <c r="AB6" s="40" t="s">
        <v>33</v>
      </c>
      <c r="AC6" s="7"/>
      <c r="AD6" s="41" t="s">
        <v>28</v>
      </c>
      <c r="AE6" s="41" t="s">
        <v>34</v>
      </c>
      <c r="AF6" s="42"/>
      <c r="AG6" s="41" t="s">
        <v>28</v>
      </c>
      <c r="AH6" s="41" t="s">
        <v>34</v>
      </c>
      <c r="AI6" s="42"/>
      <c r="AJ6" s="41" t="s">
        <v>28</v>
      </c>
      <c r="AK6" s="41" t="s">
        <v>34</v>
      </c>
    </row>
    <row r="7" spans="1:37" x14ac:dyDescent="0.3">
      <c r="A7" s="43" t="str">
        <f>INDEX(Table_Numbering[L1],MATCH(Table681620[[#This Row],[L1]],Table_Numbering[L1 Description (Cost Area)],0))</f>
        <v>CS</v>
      </c>
      <c r="B7" s="43" t="str">
        <f>IFERROR(INDEX(Table_Numbering[L2],MATCH(Table681620[[#This Row],[L2]],Table_Numbering[L2 Description (Area)],0)),"0")</f>
        <v>0</v>
      </c>
      <c r="C7" s="43" t="str">
        <f>IFERROR(INDEX(Table_Numbering[L3],MATCH(Table681620[[#This Row],[L3]],Table_Numbering[L3 Description (Sub Area)],0)),"0")</f>
        <v>0</v>
      </c>
      <c r="D7" s="43" t="str">
        <f>Table681620[[#This Row],[N1]]&amp;Table681620[[#This Row],[N2]]&amp;Table681620[[#This Row],[N3]]</f>
        <v>CS00</v>
      </c>
      <c r="E7" s="43" t="str">
        <f>TEXT(COUNTIF(C6:C$7,Table681620[[#This Row],[N3]]),"00")</f>
        <v>01</v>
      </c>
      <c r="F7" s="43">
        <f>COUNTIFS(J$7:J7,J7,K$7:K7,K7,L$7:L7,L7,M$7:M7,M7)</f>
        <v>0</v>
      </c>
      <c r="G7" s="43" t="str">
        <f>TEXT(COUNTIFS(A$7:A7,A7,B$7:B7,B7,E$7:E7,E7,F$7:F7,1),"00")</f>
        <v>00</v>
      </c>
      <c r="H7" s="43" t="str">
        <f>TEXT(IF(ISBLANK(N7),0,IF(ISBLANK(#REF!),1,#REF!+1)),"00")</f>
        <v>00</v>
      </c>
      <c r="I7" s="44" t="str">
        <f t="shared" ref="I7:I9" si="0">IF(AND(ISBLANK(J7),ISBLANK(K7),ISBLANK(L7),ISBLANK(M7),ISBLANK(N7)),"0",
IF(AND(ISBLANK(K7),ISBLANK(L7),ISBLANK(M7),ISBLANK(N7)),"1",
IF(AND(ISBLANK(L7),ISBLANK(M7),ISBLANK(N7)),"2",
IF(AND(ISBLANK(M7),ISBLANK(N7)),"3",
IF(AND(ISBLANK(N7)),"4","5")))))</f>
        <v>1</v>
      </c>
      <c r="J7" s="45" t="s">
        <v>35</v>
      </c>
      <c r="K7" s="45"/>
      <c r="L7" s="45"/>
      <c r="M7" s="45"/>
      <c r="N7" s="45"/>
      <c r="O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CS</v>
      </c>
      <c r="P7" s="47"/>
      <c r="Q7" s="47"/>
      <c r="R7" s="47"/>
      <c r="S7" s="47"/>
      <c r="T7" s="48" t="str">
        <f>IF(Table681620[[#This Row],[LEVEL]]="5",Table681620[[#This Row],[L5]],
IF(Table681620[[#This Row],[LEVEL]]="4",Table681620[[#This Row],[L4]],
IF(Table681620[[#This Row],[LEVEL]]="3",Table681620[[#This Row],[L3]],
IF(Table681620[[#This Row],[LEVEL]]="2",Table681620[[#This Row],[L2]],
IF(Table681620[[#This Row],[LEVEL]]="1",Table681620[[#This Row],[L1]],"")))))</f>
        <v>Contract Sum</v>
      </c>
      <c r="U7" s="47"/>
      <c r="V7" s="47"/>
      <c r="W7" s="47"/>
      <c r="X7" s="49"/>
      <c r="Y7" s="50">
        <f>SUBTOTAL(9,Y9:Y299)</f>
        <v>0</v>
      </c>
      <c r="Z7" s="51"/>
      <c r="AA7" s="52"/>
      <c r="AB7" s="48"/>
      <c r="AC7" s="7"/>
      <c r="AD7" s="53"/>
      <c r="AE7" s="54"/>
      <c r="AF7" s="7"/>
      <c r="AG7" s="53"/>
      <c r="AH7" s="54"/>
      <c r="AI7" s="7"/>
      <c r="AJ7" s="53"/>
      <c r="AK7" s="54"/>
    </row>
    <row r="8" spans="1:37" x14ac:dyDescent="0.3">
      <c r="A8" s="43" t="str">
        <f>INDEX(Table_Numbering[L1],MATCH(Table681620[[#This Row],[L1]],Table_Numbering[L1 Description (Cost Area)],0))</f>
        <v>A</v>
      </c>
      <c r="B8" s="43" t="str">
        <f>IFERROR(INDEX(Table_Numbering[L2],MATCH(Table681620[[#This Row],[L2]],Table_Numbering[L2 Description (Area)],0)),"0")</f>
        <v>0</v>
      </c>
      <c r="C8" s="43" t="str">
        <f>IFERROR(INDEX(Table_Numbering[L3],MATCH(Table681620[[#This Row],[L3]],Table_Numbering[L3 Description (Sub Area)],0)),"0")</f>
        <v>0</v>
      </c>
      <c r="D8" s="43" t="str">
        <f>Table681620[[#This Row],[N1]]&amp;Table681620[[#This Row],[N2]]&amp;Table681620[[#This Row],[N3]]</f>
        <v>A00</v>
      </c>
      <c r="E8" s="43" t="str">
        <f>TEXT(COUNTIF(C7:C$7,Table681620[[#This Row],[N3]]),"00")</f>
        <v>01</v>
      </c>
      <c r="F8" s="43">
        <f>COUNTIFS(J$7:J8,J8,K$7:K8,K8,L$7:L8,L8,M$7:M8,M8)</f>
        <v>0</v>
      </c>
      <c r="G8" s="43" t="str">
        <f>TEXT(COUNTIF(F$7:F8,"01"),"00")</f>
        <v>00</v>
      </c>
      <c r="H8" s="43" t="str">
        <f>TEXT(IF(ISBLANK(N8),0,IF(ISBLANK(N7),1,H7+1)),"00")</f>
        <v>00</v>
      </c>
      <c r="I8" s="44" t="str">
        <f>IF(AND(ISBLANK(J8),ISBLANK(K8),ISBLANK(L8),ISBLANK(M8),ISBLANK(N8)),"0",
IF(AND(ISBLANK(K8),ISBLANK(L8),ISBLANK(M8),ISBLANK(N8)),"1",
IF(AND(ISBLANK(L8),ISBLANK(M8),ISBLANK(N8)),"2",
IF(AND(ISBLANK(M8),ISBLANK(N8)),"3",
IF(AND(ISBLANK(N8)),"4","5")))))</f>
        <v>1</v>
      </c>
      <c r="J8" s="45" t="s">
        <v>38</v>
      </c>
      <c r="K8" s="45"/>
      <c r="L8" s="45"/>
      <c r="M8" s="45"/>
      <c r="N8" s="45"/>
      <c r="O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v>
      </c>
      <c r="P8" s="59"/>
      <c r="Q8" s="59"/>
      <c r="R8" s="59"/>
      <c r="S8" s="59"/>
      <c r="T8" s="48" t="str">
        <f>IF(Table681620[[#This Row],[LEVEL]]="5",Table681620[[#This Row],[L5]],
IF(Table681620[[#This Row],[LEVEL]]="4",Table681620[[#This Row],[L4]],
IF(Table681620[[#This Row],[LEVEL]]="3",Table681620[[#This Row],[L3]],
IF(Table681620[[#This Row],[LEVEL]]="2",Table681620[[#This Row],[L2]],
IF(Table681620[[#This Row],[LEVEL]]="1",Table681620[[#This Row],[L1]],"")))))</f>
        <v>Section A - Lump Sum</v>
      </c>
      <c r="U8" s="47"/>
      <c r="V8" s="72"/>
      <c r="W8" s="59"/>
      <c r="X8" s="49"/>
      <c r="Y8" s="50">
        <f>SUBTOTAL(9,Y9:Y299)</f>
        <v>0</v>
      </c>
      <c r="Z8" s="51"/>
      <c r="AA8" s="48"/>
      <c r="AB8" s="48"/>
      <c r="AC8" s="7"/>
      <c r="AD8" s="53"/>
      <c r="AE8" s="54"/>
      <c r="AF8" s="7"/>
      <c r="AG8" s="53"/>
      <c r="AH8" s="54"/>
      <c r="AI8" s="7"/>
      <c r="AJ8" s="53"/>
      <c r="AK8" s="54"/>
    </row>
    <row r="9" spans="1:37" x14ac:dyDescent="0.3">
      <c r="A9" s="43" t="str">
        <f>INDEX(Table_Numbering[L1],MATCH(Table681620[[#This Row],[L1]],Table_Numbering[L1 Description (Cost Area)],0))</f>
        <v>A</v>
      </c>
      <c r="B9" s="43" t="str">
        <f>IFERROR(INDEX(Table_Numbering[L2],MATCH(Table681620[[#This Row],[L2]],Table_Numbering[L2 Description (Area)],0)),"0")</f>
        <v>1</v>
      </c>
      <c r="C9" s="43" t="str">
        <f>IFERROR(INDEX(Table_Numbering[L3],MATCH(Table681620[[#This Row],[L3]],Table_Numbering[L3 Description (Sub Area)],0)),"0")</f>
        <v>0</v>
      </c>
      <c r="D9" s="43" t="str">
        <f>Table681620[[#This Row],[N1]]&amp;Table681620[[#This Row],[N2]]&amp;Table681620[[#This Row],[N3]]</f>
        <v>A10</v>
      </c>
      <c r="E9" s="43" t="str">
        <f>TEXT(COUNTIF(C$7:C7,Table681620[[#This Row],[N3]]),"00")</f>
        <v>01</v>
      </c>
      <c r="F9" s="43">
        <f>COUNTIFS(J$7:J9,J9,K$7:K9,K9,L$7:L9,L9,M$7:M9,M9)</f>
        <v>0</v>
      </c>
      <c r="G9" s="43" t="str">
        <f>TEXT(COUNTIFS(A$7:A9,A9,B$7:B9,B9,E$7:E9,E9,F$7:F9,1),"00")</f>
        <v>00</v>
      </c>
      <c r="H9" s="43" t="str">
        <f t="shared" ref="H9" si="1">TEXT(IF(ISBLANK(N9),0,IF(ISBLANK(N7),1,H7+1)),"00")</f>
        <v>00</v>
      </c>
      <c r="I9" s="44" t="str">
        <f t="shared" si="0"/>
        <v>2</v>
      </c>
      <c r="J9" s="45" t="s">
        <v>38</v>
      </c>
      <c r="K9" s="45" t="s">
        <v>39</v>
      </c>
      <c r="L9" s="45"/>
      <c r="M9" s="45"/>
      <c r="N9" s="45"/>
      <c r="O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v>
      </c>
      <c r="P9" s="47"/>
      <c r="Q9" s="47"/>
      <c r="R9" s="47"/>
      <c r="S9" s="47"/>
      <c r="T9" s="46" t="str">
        <f>IF(Table681620[[#This Row],[LEVEL]]="5",Table681620[[#This Row],[L5]],
IF(Table681620[[#This Row],[LEVEL]]="4",Table681620[[#This Row],[L4]],
IF(Table681620[[#This Row],[LEVEL]]="3",Table681620[[#This Row],[L3]],
IF(Table681620[[#This Row],[LEVEL]]="2",Table681620[[#This Row],[L2]],
IF(Table681620[[#This Row],[LEVEL]]="1",Table681620[[#This Row],[L1]],"")))))</f>
        <v>INDIRECT COSTS</v>
      </c>
      <c r="U9" s="47"/>
      <c r="V9" s="47"/>
      <c r="W9" s="49"/>
      <c r="X9" s="49"/>
      <c r="Y9" s="50">
        <f>SUBTOTAL(9,Y10:Y64)</f>
        <v>0</v>
      </c>
      <c r="Z9" s="51"/>
      <c r="AA9" s="52"/>
      <c r="AB9" s="48"/>
      <c r="AC9" s="7"/>
      <c r="AD9" s="49"/>
      <c r="AE9" s="50"/>
      <c r="AF9" s="7"/>
      <c r="AG9" s="49"/>
      <c r="AH9" s="50"/>
      <c r="AI9" s="7"/>
      <c r="AJ9" s="49"/>
      <c r="AK9" s="50"/>
    </row>
    <row r="10" spans="1:37" x14ac:dyDescent="0.3">
      <c r="A10" s="43" t="str">
        <f>INDEX(Table_Numbering[L1],MATCH(Table681620[[#This Row],[L1]],Table_Numbering[L1 Description (Cost Area)],0))</f>
        <v>A</v>
      </c>
      <c r="B10" s="43" t="str">
        <f>IFERROR(INDEX(Table_Numbering[L2],MATCH(Table681620[[#This Row],[L2]],Table_Numbering[L2 Description (Area)],0)),"0")</f>
        <v>1</v>
      </c>
      <c r="C10" s="43" t="str">
        <f>IFERROR(INDEX(Table_Numbering[L3],MATCH(Table681620[[#This Row],[L3]],Table_Numbering[L3 Description (Sub Area)],0)),"0")</f>
        <v>01</v>
      </c>
      <c r="D10" s="43" t="str">
        <f>Table681620[[#This Row],[N1]]&amp;Table681620[[#This Row],[N2]]&amp;Table681620[[#This Row],[N3]]</f>
        <v>A101</v>
      </c>
      <c r="E10" s="43" t="str">
        <f>TEXT(COUNTIF(C$7:C8,Table681620[[#This Row],[N3]]),"00")</f>
        <v>00</v>
      </c>
      <c r="F10" s="43">
        <f>COUNTIFS(J$7:J10,J10,K$7:K10,K10,L$7:L10,L10,M$7:M10,M10)</f>
        <v>0</v>
      </c>
      <c r="G10" s="43" t="str">
        <f>TEXT(COUNTIFS(A$7:A10,A10,B$7:B10,B10,E$7:E10,E10,F$7:F10,1),"00")</f>
        <v>00</v>
      </c>
      <c r="H10" s="43" t="str">
        <f t="shared" ref="H10:H73" si="2">TEXT(IF(ISBLANK(N10),0,IF(ISBLANK(N8),1,H8+1)),"00")</f>
        <v>00</v>
      </c>
      <c r="I10" s="44" t="str">
        <f t="shared" ref="I10:I73" si="3">IF(AND(ISBLANK(J10),ISBLANK(K10),ISBLANK(L10),ISBLANK(M10),ISBLANK(N10)),"0",
IF(AND(ISBLANK(K10),ISBLANK(L10),ISBLANK(M10),ISBLANK(N10)),"1",
IF(AND(ISBLANK(L10),ISBLANK(M10),ISBLANK(N10)),"2",
IF(AND(ISBLANK(M10),ISBLANK(N10)),"3",
IF(AND(ISBLANK(N10)),"4","5")))))</f>
        <v>3</v>
      </c>
      <c r="J10" s="45" t="s">
        <v>38</v>
      </c>
      <c r="K10" s="45" t="s">
        <v>39</v>
      </c>
      <c r="L10" s="45" t="s">
        <v>463</v>
      </c>
      <c r="M10" s="45"/>
      <c r="N10" s="45"/>
      <c r="O1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v>
      </c>
      <c r="P10" s="47"/>
      <c r="Q10" s="47"/>
      <c r="R10" s="47"/>
      <c r="S10" s="47"/>
      <c r="T10" s="55" t="str">
        <f>IF(Table681620[[#This Row],[LEVEL]]="5",Table681620[[#This Row],[L5]],
IF(Table681620[[#This Row],[LEVEL]]="4",Table681620[[#This Row],[L4]],
IF(Table681620[[#This Row],[LEVEL]]="3",Table681620[[#This Row],[L3]],
IF(Table681620[[#This Row],[LEVEL]]="2",Table681620[[#This Row],[L2]],
IF(Table681620[[#This Row],[LEVEL]]="1",Table681620[[#This Row],[L1]],"")))))</f>
        <v>PROJECT MANAGEMENT</v>
      </c>
      <c r="U10" s="47"/>
      <c r="V10" s="47"/>
      <c r="W10" s="49"/>
      <c r="X10" s="49"/>
      <c r="Y10" s="50">
        <f>SUBTOTAL(9,Y11:Y20)</f>
        <v>0</v>
      </c>
      <c r="Z10" s="51"/>
      <c r="AA10" s="52"/>
      <c r="AB10" s="48"/>
      <c r="AC10" s="7"/>
      <c r="AD10" s="56"/>
      <c r="AE10" s="57"/>
      <c r="AF10" s="7"/>
      <c r="AG10" s="56"/>
      <c r="AH10" s="57"/>
      <c r="AI10" s="7"/>
      <c r="AJ10" s="56"/>
      <c r="AK10" s="57"/>
    </row>
    <row r="11" spans="1:37" x14ac:dyDescent="0.3">
      <c r="A11" s="43" t="str">
        <f>INDEX(Table_Numbering[L1],MATCH(Table681620[[#This Row],[L1]],Table_Numbering[L1 Description (Cost Area)],0))</f>
        <v>A</v>
      </c>
      <c r="B11" s="43" t="str">
        <f>IFERROR(INDEX(Table_Numbering[L2],MATCH(Table681620[[#This Row],[L2]],Table_Numbering[L2 Description (Area)],0)),"0")</f>
        <v>1</v>
      </c>
      <c r="C11" s="43" t="str">
        <f>IFERROR(INDEX(Table_Numbering[L3],MATCH(Table681620[[#This Row],[L3]],Table_Numbering[L3 Description (Sub Area)],0)),"0")</f>
        <v>01</v>
      </c>
      <c r="D11" s="43" t="str">
        <f>Table681620[[#This Row],[N1]]&amp;Table681620[[#This Row],[N2]]&amp;Table681620[[#This Row],[N3]]</f>
        <v>A101</v>
      </c>
      <c r="E11" s="43" t="str">
        <f>TEXT(COUNTIF(C$7:C9,Table681620[[#This Row],[N3]]),"00")</f>
        <v>00</v>
      </c>
      <c r="F11" s="43">
        <f>COUNTIFS(J$7:J11,J11,K$7:K11,K11,L$7:L11,L11,M$7:M11,M11)</f>
        <v>1</v>
      </c>
      <c r="G11" s="43" t="str">
        <f>TEXT(COUNTIFS(A$7:A11,A11,B$7:B11,B11,E$7:E11,E11,F$7:F11,1),"00")</f>
        <v>01</v>
      </c>
      <c r="H11" s="43" t="str">
        <f t="shared" si="2"/>
        <v>00</v>
      </c>
      <c r="I11" s="44" t="str">
        <f t="shared" si="3"/>
        <v>4</v>
      </c>
      <c r="J11" s="45" t="s">
        <v>38</v>
      </c>
      <c r="K11" s="45" t="s">
        <v>39</v>
      </c>
      <c r="L11" s="45" t="s">
        <v>463</v>
      </c>
      <c r="M11" s="45" t="s">
        <v>152</v>
      </c>
      <c r="N11" s="45"/>
      <c r="O1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A1.01.00</v>
      </c>
      <c r="P11" s="47" t="s">
        <v>465</v>
      </c>
      <c r="Q11" s="47" t="s">
        <v>42</v>
      </c>
      <c r="R11" s="47"/>
      <c r="S11" s="47" t="s">
        <v>1556</v>
      </c>
      <c r="T11" s="58" t="str">
        <f>IF(Table681620[[#This Row],[LEVEL]]="5",Table681620[[#This Row],[L5]],
IF(Table681620[[#This Row],[LEVEL]]="4",Table681620[[#This Row],[L4]],
IF(Table681620[[#This Row],[LEVEL]]="3",Table681620[[#This Row],[L3]],
IF(Table681620[[#This Row],[LEVEL]]="2",Table681620[[#This Row],[L2]],
IF(Table681620[[#This Row],[LEVEL]]="1",Table681620[[#This Row],[L1]],"")))))</f>
        <v>Project Director</v>
      </c>
      <c r="U11" s="47" t="s">
        <v>43</v>
      </c>
      <c r="V11" s="59" t="s">
        <v>44</v>
      </c>
      <c r="W11" s="60"/>
      <c r="X11" s="61"/>
      <c r="Y11" s="62">
        <f>Table681620[[#This Row],[Qty]]*Table681620[[#This Row],[Rate]]</f>
        <v>0</v>
      </c>
      <c r="Z11" s="51"/>
      <c r="AA11" s="63" t="s">
        <v>2355</v>
      </c>
      <c r="AB11" s="64" t="s">
        <v>2356</v>
      </c>
      <c r="AC11" s="7"/>
      <c r="AD11" s="60"/>
      <c r="AE11" s="62"/>
      <c r="AF11" s="7"/>
      <c r="AG11" s="60"/>
      <c r="AH11" s="62"/>
      <c r="AI11" s="7"/>
      <c r="AJ11" s="60"/>
      <c r="AK11" s="62"/>
    </row>
    <row r="12" spans="1:37" x14ac:dyDescent="0.3">
      <c r="A12" s="43" t="str">
        <f>INDEX(Table_Numbering[L1],MATCH(Table681620[[#This Row],[L1]],Table_Numbering[L1 Description (Cost Area)],0))</f>
        <v>A</v>
      </c>
      <c r="B12" s="43" t="str">
        <f>IFERROR(INDEX(Table_Numbering[L2],MATCH(Table681620[[#This Row],[L2]],Table_Numbering[L2 Description (Area)],0)),"0")</f>
        <v>1</v>
      </c>
      <c r="C12" s="43" t="str">
        <f>IFERROR(INDEX(Table_Numbering[L3],MATCH(Table681620[[#This Row],[L3]],Table_Numbering[L3 Description (Sub Area)],0)),"0")</f>
        <v>01</v>
      </c>
      <c r="D12" s="43" t="str">
        <f>Table681620[[#This Row],[N1]]&amp;Table681620[[#This Row],[N2]]&amp;Table681620[[#This Row],[N3]]</f>
        <v>A101</v>
      </c>
      <c r="E12" s="43" t="str">
        <f>TEXT(COUNTIF(C$7:C10,Table681620[[#This Row],[N3]]),"00")</f>
        <v>01</v>
      </c>
      <c r="F12" s="43">
        <f>COUNTIFS(J$7:J12,J12,K$7:K12,K12,L$7:L12,L12,M$7:M12,M12)</f>
        <v>1</v>
      </c>
      <c r="G12" s="43" t="str">
        <f>TEXT(COUNTIFS(A$7:A12,A12,B$7:B12,B12,E$7:E12,E12,F$7:F12,1),"00")</f>
        <v>01</v>
      </c>
      <c r="H12" s="43" t="str">
        <f t="shared" si="2"/>
        <v>00</v>
      </c>
      <c r="I12" s="44" t="str">
        <f t="shared" si="3"/>
        <v>4</v>
      </c>
      <c r="J12" s="45" t="s">
        <v>38</v>
      </c>
      <c r="K12" s="45" t="s">
        <v>39</v>
      </c>
      <c r="L12" s="45" t="s">
        <v>463</v>
      </c>
      <c r="M12" s="45" t="s">
        <v>40</v>
      </c>
      <c r="N12" s="45"/>
      <c r="O12"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A1.01.01</v>
      </c>
      <c r="P12" s="47" t="s">
        <v>465</v>
      </c>
      <c r="Q12" s="59" t="s">
        <v>42</v>
      </c>
      <c r="R12" s="59"/>
      <c r="S12" s="59" t="s">
        <v>1557</v>
      </c>
      <c r="T12" s="66" t="str">
        <f>IF(Table681620[[#This Row],[LEVEL]]="5",Table681620[[#This Row],[L5]],
IF(Table681620[[#This Row],[LEVEL]]="4",Table681620[[#This Row],[L4]],
IF(Table681620[[#This Row],[LEVEL]]="3",Table681620[[#This Row],[L3]],
IF(Table681620[[#This Row],[LEVEL]]="2",Table681620[[#This Row],[L2]],
IF(Table681620[[#This Row],[LEVEL]]="1",Table681620[[#This Row],[L1]],"")))))</f>
        <v>Project Manager</v>
      </c>
      <c r="U12" s="47" t="s">
        <v>43</v>
      </c>
      <c r="V12" s="59" t="s">
        <v>44</v>
      </c>
      <c r="W12" s="60"/>
      <c r="X12" s="61"/>
      <c r="Y12" s="62">
        <f>Table681620[[#This Row],[Qty]]*Table681620[[#This Row],[Rate]]</f>
        <v>0</v>
      </c>
      <c r="Z12" s="51"/>
      <c r="AA12" s="63" t="s">
        <v>2355</v>
      </c>
      <c r="AB12" s="64" t="s">
        <v>2356</v>
      </c>
      <c r="AC12" s="7"/>
      <c r="AD12" s="60"/>
      <c r="AE12" s="62"/>
      <c r="AF12" s="7"/>
      <c r="AG12" s="60"/>
      <c r="AH12" s="62"/>
      <c r="AI12" s="7"/>
      <c r="AJ12" s="60"/>
      <c r="AK12" s="62"/>
    </row>
    <row r="13" spans="1:37" x14ac:dyDescent="0.3">
      <c r="A13" s="43" t="str">
        <f>INDEX(Table_Numbering[L1],MATCH(Table681620[[#This Row],[L1]],Table_Numbering[L1 Description (Cost Area)],0))</f>
        <v>A</v>
      </c>
      <c r="B13" s="43" t="str">
        <f>IFERROR(INDEX(Table_Numbering[L2],MATCH(Table681620[[#This Row],[L2]],Table_Numbering[L2 Description (Area)],0)),"0")</f>
        <v>1</v>
      </c>
      <c r="C13" s="43" t="str">
        <f>IFERROR(INDEX(Table_Numbering[L3],MATCH(Table681620[[#This Row],[L3]],Table_Numbering[L3 Description (Sub Area)],0)),"0")</f>
        <v>01</v>
      </c>
      <c r="D13" s="43" t="str">
        <f>Table681620[[#This Row],[N1]]&amp;Table681620[[#This Row],[N2]]&amp;Table681620[[#This Row],[N3]]</f>
        <v>A101</v>
      </c>
      <c r="E13" s="43" t="str">
        <f>TEXT(COUNTIF(C$7:C11,Table681620[[#This Row],[N3]]),"00")</f>
        <v>02</v>
      </c>
      <c r="F13" s="43">
        <f>COUNTIFS(J$7:J13,J13,K$7:K13,K13,L$7:L13,L13,M$7:M13,M13)</f>
        <v>1</v>
      </c>
      <c r="G13" s="43" t="str">
        <f>TEXT(COUNTIFS(A$7:A13,A13,B$7:B13,B13,E$7:E13,E13,F$7:F13,1),"00")</f>
        <v>01</v>
      </c>
      <c r="H13" s="43" t="str">
        <f t="shared" si="2"/>
        <v>00</v>
      </c>
      <c r="I13" s="44" t="str">
        <f t="shared" si="3"/>
        <v>4</v>
      </c>
      <c r="J13" s="45" t="s">
        <v>38</v>
      </c>
      <c r="K13" s="45" t="s">
        <v>39</v>
      </c>
      <c r="L13" s="45" t="s">
        <v>463</v>
      </c>
      <c r="M13" s="45" t="s">
        <v>46</v>
      </c>
      <c r="N13" s="45"/>
      <c r="O13"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A1.01.02</v>
      </c>
      <c r="P13" s="47" t="s">
        <v>465</v>
      </c>
      <c r="Q13" s="59" t="s">
        <v>42</v>
      </c>
      <c r="R13" s="59"/>
      <c r="S13" s="59" t="s">
        <v>1558</v>
      </c>
      <c r="T13" s="66" t="str">
        <f>IF(Table681620[[#This Row],[LEVEL]]="5",Table681620[[#This Row],[L5]],
IF(Table681620[[#This Row],[LEVEL]]="4",Table681620[[#This Row],[L4]],
IF(Table681620[[#This Row],[LEVEL]]="3",Table681620[[#This Row],[L3]],
IF(Table681620[[#This Row],[LEVEL]]="2",Table681620[[#This Row],[L2]],
IF(Table681620[[#This Row],[LEVEL]]="1",Table681620[[#This Row],[L1]],"")))))</f>
        <v>Site Manager / Superintendent</v>
      </c>
      <c r="U13" s="47" t="s">
        <v>43</v>
      </c>
      <c r="V13" s="59" t="s">
        <v>44</v>
      </c>
      <c r="W13" s="60"/>
      <c r="X13" s="61"/>
      <c r="Y13" s="62">
        <f>Table681620[[#This Row],[Qty]]*Table681620[[#This Row],[Rate]]</f>
        <v>0</v>
      </c>
      <c r="Z13" s="51"/>
      <c r="AA13" s="63" t="s">
        <v>2355</v>
      </c>
      <c r="AB13" s="64" t="s">
        <v>2356</v>
      </c>
      <c r="AC13" s="7"/>
      <c r="AD13" s="60"/>
      <c r="AE13" s="67"/>
      <c r="AF13" s="7"/>
      <c r="AG13" s="60"/>
      <c r="AH13" s="67"/>
      <c r="AI13" s="7"/>
      <c r="AJ13" s="60"/>
      <c r="AK13" s="67"/>
    </row>
    <row r="14" spans="1:37" x14ac:dyDescent="0.3">
      <c r="A14" s="43" t="str">
        <f>INDEX(Table_Numbering[L1],MATCH(Table681620[[#This Row],[L1]],Table_Numbering[L1 Description (Cost Area)],0))</f>
        <v>A</v>
      </c>
      <c r="B14" s="43" t="str">
        <f>IFERROR(INDEX(Table_Numbering[L2],MATCH(Table681620[[#This Row],[L2]],Table_Numbering[L2 Description (Area)],0)),"0")</f>
        <v>1</v>
      </c>
      <c r="C14" s="43" t="str">
        <f>IFERROR(INDEX(Table_Numbering[L3],MATCH(Table681620[[#This Row],[L3]],Table_Numbering[L3 Description (Sub Area)],0)),"0")</f>
        <v>01</v>
      </c>
      <c r="D14" s="43" t="str">
        <f>Table681620[[#This Row],[N1]]&amp;Table681620[[#This Row],[N2]]&amp;Table681620[[#This Row],[N3]]</f>
        <v>A101</v>
      </c>
      <c r="E14" s="43" t="str">
        <f>TEXT(COUNTIF(C$7:C12,Table681620[[#This Row],[N3]]),"00")</f>
        <v>03</v>
      </c>
      <c r="F14" s="43">
        <f>COUNTIFS(J$7:J14,J14,K$7:K14,K14,L$7:L14,L14,M$7:M14,M14)</f>
        <v>1</v>
      </c>
      <c r="G14" s="43" t="str">
        <f>TEXT(COUNTIFS(A$7:A14,A14,B$7:B14,B14,E$7:E14,E14,F$7:F14,1),"00")</f>
        <v>01</v>
      </c>
      <c r="H14" s="43" t="str">
        <f t="shared" si="2"/>
        <v>00</v>
      </c>
      <c r="I14" s="44" t="str">
        <f t="shared" si="3"/>
        <v>4</v>
      </c>
      <c r="J14" s="45" t="s">
        <v>38</v>
      </c>
      <c r="K14" s="45" t="s">
        <v>39</v>
      </c>
      <c r="L14" s="45" t="s">
        <v>463</v>
      </c>
      <c r="M14" s="45" t="s">
        <v>157</v>
      </c>
      <c r="N14" s="45"/>
      <c r="O14"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A1.01.03</v>
      </c>
      <c r="P14" s="47" t="s">
        <v>465</v>
      </c>
      <c r="Q14" s="59" t="s">
        <v>42</v>
      </c>
      <c r="R14" s="59"/>
      <c r="S14" s="59" t="s">
        <v>1559</v>
      </c>
      <c r="T14" s="66" t="str">
        <f>IF(Table681620[[#This Row],[LEVEL]]="5",Table681620[[#This Row],[L5]],
IF(Table681620[[#This Row],[LEVEL]]="4",Table681620[[#This Row],[L4]],
IF(Table681620[[#This Row],[LEVEL]]="3",Table681620[[#This Row],[L3]],
IF(Table681620[[#This Row],[LEVEL]]="2",Table681620[[#This Row],[L2]],
IF(Table681620[[#This Row],[LEVEL]]="1",Table681620[[#This Row],[L1]],"")))))</f>
        <v>Construction Manager</v>
      </c>
      <c r="U14" s="47" t="s">
        <v>43</v>
      </c>
      <c r="V14" s="59" t="s">
        <v>44</v>
      </c>
      <c r="W14" s="60"/>
      <c r="X14" s="61"/>
      <c r="Y14" s="62">
        <f>Table681620[[#This Row],[Qty]]*Table681620[[#This Row],[Rate]]</f>
        <v>0</v>
      </c>
      <c r="Z14" s="51"/>
      <c r="AA14" s="63" t="s">
        <v>2355</v>
      </c>
      <c r="AB14" s="64" t="s">
        <v>2356</v>
      </c>
      <c r="AC14" s="7"/>
      <c r="AD14" s="60"/>
      <c r="AE14" s="67"/>
      <c r="AF14" s="7"/>
      <c r="AG14" s="60"/>
      <c r="AH14" s="67"/>
      <c r="AI14" s="7"/>
      <c r="AJ14" s="60"/>
      <c r="AK14" s="67"/>
    </row>
    <row r="15" spans="1:37" x14ac:dyDescent="0.3">
      <c r="A15" s="43" t="str">
        <f>INDEX(Table_Numbering[L1],MATCH(Table681620[[#This Row],[L1]],Table_Numbering[L1 Description (Cost Area)],0))</f>
        <v>A</v>
      </c>
      <c r="B15" s="43" t="str">
        <f>IFERROR(INDEX(Table_Numbering[L2],MATCH(Table681620[[#This Row],[L2]],Table_Numbering[L2 Description (Area)],0)),"0")</f>
        <v>1</v>
      </c>
      <c r="C15" s="43" t="str">
        <f>IFERROR(INDEX(Table_Numbering[L3],MATCH(Table681620[[#This Row],[L3]],Table_Numbering[L3 Description (Sub Area)],0)),"0")</f>
        <v>01</v>
      </c>
      <c r="D15" s="43" t="str">
        <f>Table681620[[#This Row],[N1]]&amp;Table681620[[#This Row],[N2]]&amp;Table681620[[#This Row],[N3]]</f>
        <v>A101</v>
      </c>
      <c r="E15" s="43" t="str">
        <f>TEXT(COUNTIF(C$7:C13,Table681620[[#This Row],[N3]]),"00")</f>
        <v>04</v>
      </c>
      <c r="F15" s="43">
        <f>COUNTIFS(J$7:J15,J15,K$7:K15,K15,L$7:L15,L15,M$7:M15,M15)</f>
        <v>1</v>
      </c>
      <c r="G15" s="43" t="str">
        <f>TEXT(COUNTIFS(A$7:A15,A15,B$7:B15,B15,E$7:E15,E15,F$7:F15,1),"00")</f>
        <v>01</v>
      </c>
      <c r="H15" s="43" t="str">
        <f t="shared" si="2"/>
        <v>00</v>
      </c>
      <c r="I15" s="44" t="str">
        <f t="shared" si="3"/>
        <v>4</v>
      </c>
      <c r="J15" s="45" t="s">
        <v>38</v>
      </c>
      <c r="K15" s="45" t="s">
        <v>39</v>
      </c>
      <c r="L15" s="45" t="s">
        <v>463</v>
      </c>
      <c r="M15" s="45" t="s">
        <v>159</v>
      </c>
      <c r="N15" s="45"/>
      <c r="O1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A1.01.04</v>
      </c>
      <c r="P15" s="47" t="s">
        <v>468</v>
      </c>
      <c r="Q15" s="47" t="s">
        <v>50</v>
      </c>
      <c r="R15" s="47"/>
      <c r="S15" s="47" t="s">
        <v>1560</v>
      </c>
      <c r="T15" s="58" t="str">
        <f>IF(Table681620[[#This Row],[LEVEL]]="5",Table681620[[#This Row],[L5]],
IF(Table681620[[#This Row],[LEVEL]]="4",Table681620[[#This Row],[L4]],
IF(Table681620[[#This Row],[LEVEL]]="3",Table681620[[#This Row],[L3]],
IF(Table681620[[#This Row],[LEVEL]]="2",Table681620[[#This Row],[L2]],
IF(Table681620[[#This Row],[LEVEL]]="1",Table681620[[#This Row],[L1]],"")))))</f>
        <v>Assistant Site Manager</v>
      </c>
      <c r="U15" s="47" t="s">
        <v>43</v>
      </c>
      <c r="V15" s="59" t="s">
        <v>44</v>
      </c>
      <c r="W15" s="60"/>
      <c r="X15" s="61"/>
      <c r="Y15" s="62">
        <f>Table681620[[#This Row],[Qty]]*Table681620[[#This Row],[Rate]]</f>
        <v>0</v>
      </c>
      <c r="Z15" s="51"/>
      <c r="AA15" s="63" t="s">
        <v>2355</v>
      </c>
      <c r="AB15" s="64" t="s">
        <v>2356</v>
      </c>
      <c r="AC15" s="7"/>
      <c r="AD15" s="60"/>
      <c r="AE15" s="50"/>
      <c r="AF15" s="7"/>
      <c r="AG15" s="60"/>
      <c r="AH15" s="50"/>
      <c r="AI15" s="7"/>
      <c r="AJ15" s="60"/>
      <c r="AK15" s="50"/>
    </row>
    <row r="16" spans="1:37" x14ac:dyDescent="0.3">
      <c r="A16" s="43" t="str">
        <f>INDEX(Table_Numbering[L1],MATCH(Table681620[[#This Row],[L1]],Table_Numbering[L1 Description (Cost Area)],0))</f>
        <v>A</v>
      </c>
      <c r="B16" s="43" t="str">
        <f>IFERROR(INDEX(Table_Numbering[L2],MATCH(Table681620[[#This Row],[L2]],Table_Numbering[L2 Description (Area)],0)),"0")</f>
        <v>1</v>
      </c>
      <c r="C16" s="43" t="str">
        <f>IFERROR(INDEX(Table_Numbering[L3],MATCH(Table681620[[#This Row],[L3]],Table_Numbering[L3 Description (Sub Area)],0)),"0")</f>
        <v>01</v>
      </c>
      <c r="D16" s="43" t="str">
        <f>Table681620[[#This Row],[N1]]&amp;Table681620[[#This Row],[N2]]&amp;Table681620[[#This Row],[N3]]</f>
        <v>A101</v>
      </c>
      <c r="E16" s="43" t="str">
        <f>TEXT(COUNTIF(C$7:C14,Table681620[[#This Row],[N3]]),"00")</f>
        <v>05</v>
      </c>
      <c r="F16" s="43">
        <f>COUNTIFS(J$7:J16,J16,K$7:K16,K16,L$7:L16,L16,M$7:M16,M16)</f>
        <v>1</v>
      </c>
      <c r="G16" s="43" t="str">
        <f>TEXT(COUNTIFS(A$7:A16,A16,B$7:B16,B16,E$7:E16,E16,F$7:F16,1),"00")</f>
        <v>01</v>
      </c>
      <c r="H16" s="43" t="str">
        <f t="shared" si="2"/>
        <v>00</v>
      </c>
      <c r="I16" s="44" t="str">
        <f t="shared" si="3"/>
        <v>4</v>
      </c>
      <c r="J16" s="45" t="s">
        <v>38</v>
      </c>
      <c r="K16" s="45" t="s">
        <v>39</v>
      </c>
      <c r="L16" s="45" t="s">
        <v>463</v>
      </c>
      <c r="M16" s="45" t="s">
        <v>47</v>
      </c>
      <c r="N16" s="45"/>
      <c r="O16"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A1.01.05</v>
      </c>
      <c r="P16" s="47" t="s">
        <v>469</v>
      </c>
      <c r="Q16" s="59" t="s">
        <v>52</v>
      </c>
      <c r="R16" s="59"/>
      <c r="S16" s="59" t="s">
        <v>1561</v>
      </c>
      <c r="T16" s="66" t="str">
        <f>IF(Table681620[[#This Row],[LEVEL]]="5",Table681620[[#This Row],[L5]],
IF(Table681620[[#This Row],[LEVEL]]="4",Table681620[[#This Row],[L4]],
IF(Table681620[[#This Row],[LEVEL]]="3",Table681620[[#This Row],[L3]],
IF(Table681620[[#This Row],[LEVEL]]="2",Table681620[[#This Row],[L2]],
IF(Table681620[[#This Row],[LEVEL]]="1",Table681620[[#This Row],[L1]],"")))))</f>
        <v>Project Engineer</v>
      </c>
      <c r="U16" s="47" t="s">
        <v>43</v>
      </c>
      <c r="V16" s="59" t="s">
        <v>44</v>
      </c>
      <c r="W16" s="60"/>
      <c r="X16" s="61"/>
      <c r="Y16" s="62">
        <f>Table681620[[#This Row],[Qty]]*Table681620[[#This Row],[Rate]]</f>
        <v>0</v>
      </c>
      <c r="Z16" s="51"/>
      <c r="AA16" s="63" t="s">
        <v>2355</v>
      </c>
      <c r="AB16" s="64" t="s">
        <v>2356</v>
      </c>
      <c r="AC16" s="7"/>
      <c r="AD16" s="60"/>
      <c r="AE16" s="57"/>
      <c r="AF16" s="7"/>
      <c r="AG16" s="60"/>
      <c r="AH16" s="57"/>
      <c r="AI16" s="7"/>
      <c r="AJ16" s="60"/>
      <c r="AK16" s="57"/>
    </row>
    <row r="17" spans="1:37" x14ac:dyDescent="0.3">
      <c r="A17" s="43" t="str">
        <f>INDEX(Table_Numbering[L1],MATCH(Table681620[[#This Row],[L1]],Table_Numbering[L1 Description (Cost Area)],0))</f>
        <v>A</v>
      </c>
      <c r="B17" s="43" t="str">
        <f>IFERROR(INDEX(Table_Numbering[L2],MATCH(Table681620[[#This Row],[L2]],Table_Numbering[L2 Description (Area)],0)),"0")</f>
        <v>1</v>
      </c>
      <c r="C17" s="43" t="str">
        <f>IFERROR(INDEX(Table_Numbering[L3],MATCH(Table681620[[#This Row],[L3]],Table_Numbering[L3 Description (Sub Area)],0)),"0")</f>
        <v>01</v>
      </c>
      <c r="D17" s="43" t="str">
        <f>Table681620[[#This Row],[N1]]&amp;Table681620[[#This Row],[N2]]&amp;Table681620[[#This Row],[N3]]</f>
        <v>A101</v>
      </c>
      <c r="E17" s="43" t="str">
        <f>TEXT(COUNTIF(C$7:C15,Table681620[[#This Row],[N3]]),"00")</f>
        <v>06</v>
      </c>
      <c r="F17" s="43">
        <f>COUNTIFS(J$7:J17,J17,K$7:K17,K17,L$7:L17,L17,M$7:M17,M17)</f>
        <v>1</v>
      </c>
      <c r="G17" s="43" t="str">
        <f>TEXT(COUNTIFS(A$7:A17,A17,B$7:B17,B17,E$7:E17,E17,F$7:F17,1),"00")</f>
        <v>01</v>
      </c>
      <c r="H17" s="43" t="str">
        <f t="shared" si="2"/>
        <v>00</v>
      </c>
      <c r="I17" s="44" t="str">
        <f t="shared" si="3"/>
        <v>4</v>
      </c>
      <c r="J17" s="45" t="s">
        <v>38</v>
      </c>
      <c r="K17" s="45" t="s">
        <v>39</v>
      </c>
      <c r="L17" s="45" t="s">
        <v>463</v>
      </c>
      <c r="M17" s="45" t="s">
        <v>163</v>
      </c>
      <c r="N17" s="45"/>
      <c r="O17"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A1.01.06</v>
      </c>
      <c r="P17" s="47" t="s">
        <v>470</v>
      </c>
      <c r="Q17" s="59" t="s">
        <v>54</v>
      </c>
      <c r="R17" s="59"/>
      <c r="S17" s="59" t="s">
        <v>1562</v>
      </c>
      <c r="T17" s="66" t="str">
        <f>IF(Table681620[[#This Row],[LEVEL]]="5",Table681620[[#This Row],[L5]],
IF(Table681620[[#This Row],[LEVEL]]="4",Table681620[[#This Row],[L4]],
IF(Table681620[[#This Row],[LEVEL]]="3",Table681620[[#This Row],[L3]],
IF(Table681620[[#This Row],[LEVEL]]="2",Table681620[[#This Row],[L2]],
IF(Table681620[[#This Row],[LEVEL]]="1",Table681620[[#This Row],[L1]],"")))))</f>
        <v>Senior Engineer</v>
      </c>
      <c r="U17" s="47" t="s">
        <v>43</v>
      </c>
      <c r="V17" s="59" t="s">
        <v>44</v>
      </c>
      <c r="W17" s="60"/>
      <c r="X17" s="61"/>
      <c r="Y17" s="62">
        <f>Table681620[[#This Row],[Qty]]*Table681620[[#This Row],[Rate]]</f>
        <v>0</v>
      </c>
      <c r="Z17" s="51"/>
      <c r="AA17" s="63" t="s">
        <v>2355</v>
      </c>
      <c r="AB17" s="64" t="s">
        <v>2356</v>
      </c>
      <c r="AC17" s="7"/>
      <c r="AD17" s="60"/>
      <c r="AE17" s="67"/>
      <c r="AF17" s="7"/>
      <c r="AG17" s="60"/>
      <c r="AH17" s="67"/>
      <c r="AI17" s="7"/>
      <c r="AJ17" s="60"/>
      <c r="AK17" s="67"/>
    </row>
    <row r="18" spans="1:37" x14ac:dyDescent="0.3">
      <c r="A18" s="43" t="str">
        <f>INDEX(Table_Numbering[L1],MATCH(Table681620[[#This Row],[L1]],Table_Numbering[L1 Description (Cost Area)],0))</f>
        <v>A</v>
      </c>
      <c r="B18" s="43" t="str">
        <f>IFERROR(INDEX(Table_Numbering[L2],MATCH(Table681620[[#This Row],[L2]],Table_Numbering[L2 Description (Area)],0)),"0")</f>
        <v>1</v>
      </c>
      <c r="C18" s="43" t="str">
        <f>IFERROR(INDEX(Table_Numbering[L3],MATCH(Table681620[[#This Row],[L3]],Table_Numbering[L3 Description (Sub Area)],0)),"0")</f>
        <v>01</v>
      </c>
      <c r="D18" s="43" t="str">
        <f>Table681620[[#This Row],[N1]]&amp;Table681620[[#This Row],[N2]]&amp;Table681620[[#This Row],[N3]]</f>
        <v>A101</v>
      </c>
      <c r="E18" s="43" t="str">
        <f>TEXT(COUNTIF(C$7:C16,Table681620[[#This Row],[N3]]),"00")</f>
        <v>07</v>
      </c>
      <c r="F18" s="43">
        <f>COUNTIFS(J$7:J18,J18,K$7:K18,K18,L$7:L18,L18,M$7:M18,M18)</f>
        <v>1</v>
      </c>
      <c r="G18" s="43" t="str">
        <f>TEXT(COUNTIFS(A$7:A18,A18,B$7:B18,B18,E$7:E18,E18,F$7:F18,1),"00")</f>
        <v>01</v>
      </c>
      <c r="H18" s="43" t="str">
        <f t="shared" si="2"/>
        <v>00</v>
      </c>
      <c r="I18" s="44" t="str">
        <f t="shared" si="3"/>
        <v>4</v>
      </c>
      <c r="J18" s="45" t="s">
        <v>38</v>
      </c>
      <c r="K18" s="45" t="s">
        <v>39</v>
      </c>
      <c r="L18" s="45" t="s">
        <v>463</v>
      </c>
      <c r="M18" s="45" t="s">
        <v>165</v>
      </c>
      <c r="N18" s="45"/>
      <c r="O18"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A1.01.07</v>
      </c>
      <c r="P18" s="47" t="s">
        <v>41</v>
      </c>
      <c r="Q18" s="59" t="s">
        <v>471</v>
      </c>
      <c r="R18" s="59"/>
      <c r="S18" s="59" t="s">
        <v>1563</v>
      </c>
      <c r="T18" s="66" t="str">
        <f>IF(Table681620[[#This Row],[LEVEL]]="5",Table681620[[#This Row],[L5]],
IF(Table681620[[#This Row],[LEVEL]]="4",Table681620[[#This Row],[L4]],
IF(Table681620[[#This Row],[LEVEL]]="3",Table681620[[#This Row],[L3]],
IF(Table681620[[#This Row],[LEVEL]]="2",Table681620[[#This Row],[L2]],
IF(Table681620[[#This Row],[LEVEL]]="1",Table681620[[#This Row],[L1]],"")))))</f>
        <v>Graduate Engineer</v>
      </c>
      <c r="U18" s="47" t="s">
        <v>43</v>
      </c>
      <c r="V18" s="59" t="s">
        <v>44</v>
      </c>
      <c r="W18" s="60"/>
      <c r="X18" s="61"/>
      <c r="Y18" s="62">
        <f>Table681620[[#This Row],[Qty]]*Table681620[[#This Row],[Rate]]</f>
        <v>0</v>
      </c>
      <c r="Z18" s="51"/>
      <c r="AA18" s="63" t="s">
        <v>2355</v>
      </c>
      <c r="AB18" s="64" t="s">
        <v>2356</v>
      </c>
      <c r="AC18" s="7"/>
      <c r="AD18" s="60"/>
      <c r="AE18" s="67"/>
      <c r="AF18" s="7"/>
      <c r="AG18" s="60"/>
      <c r="AH18" s="67"/>
      <c r="AI18" s="7"/>
      <c r="AJ18" s="60"/>
      <c r="AK18" s="67"/>
    </row>
    <row r="19" spans="1:37" x14ac:dyDescent="0.3">
      <c r="A19" s="43" t="str">
        <f>INDEX(Table_Numbering[L1],MATCH(Table681620[[#This Row],[L1]],Table_Numbering[L1 Description (Cost Area)],0))</f>
        <v>A</v>
      </c>
      <c r="B19" s="43" t="str">
        <f>IFERROR(INDEX(Table_Numbering[L2],MATCH(Table681620[[#This Row],[L2]],Table_Numbering[L2 Description (Area)],0)),"0")</f>
        <v>1</v>
      </c>
      <c r="C19" s="43" t="str">
        <f>IFERROR(INDEX(Table_Numbering[L3],MATCH(Table681620[[#This Row],[L3]],Table_Numbering[L3 Description (Sub Area)],0)),"0")</f>
        <v>01</v>
      </c>
      <c r="D19" s="43" t="str">
        <f>Table681620[[#This Row],[N1]]&amp;Table681620[[#This Row],[N2]]&amp;Table681620[[#This Row],[N3]]</f>
        <v>A101</v>
      </c>
      <c r="E19" s="43" t="str">
        <f>TEXT(COUNTIF(C$7:C17,Table681620[[#This Row],[N3]]),"00")</f>
        <v>08</v>
      </c>
      <c r="F19" s="43">
        <f>COUNTIFS(J$7:J19,J19,K$7:K19,K19,L$7:L19,L19,M$7:M19,M19)</f>
        <v>1</v>
      </c>
      <c r="G19" s="43" t="str">
        <f>TEXT(COUNTIFS(A$7:A19,A19,B$7:B19,B19,E$7:E19,E19,F$7:F19,1),"00")</f>
        <v>01</v>
      </c>
      <c r="H19" s="43" t="str">
        <f t="shared" si="2"/>
        <v>00</v>
      </c>
      <c r="I19" s="44" t="str">
        <f t="shared" si="3"/>
        <v>4</v>
      </c>
      <c r="J19" s="45" t="s">
        <v>38</v>
      </c>
      <c r="K19" s="45" t="s">
        <v>39</v>
      </c>
      <c r="L19" s="45" t="s">
        <v>463</v>
      </c>
      <c r="M19" s="45" t="s">
        <v>167</v>
      </c>
      <c r="N19" s="45"/>
      <c r="O1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A1.01.08</v>
      </c>
      <c r="P19" s="47" t="s">
        <v>41</v>
      </c>
      <c r="Q19" s="47" t="s">
        <v>57</v>
      </c>
      <c r="R19" s="47"/>
      <c r="S19" s="47" t="s">
        <v>1564</v>
      </c>
      <c r="T19" s="58" t="str">
        <f>IF(Table681620[[#This Row],[LEVEL]]="5",Table681620[[#This Row],[L5]],
IF(Table681620[[#This Row],[LEVEL]]="4",Table681620[[#This Row],[L4]],
IF(Table681620[[#This Row],[LEVEL]]="3",Table681620[[#This Row],[L3]],
IF(Table681620[[#This Row],[LEVEL]]="2",Table681620[[#This Row],[L2]],
IF(Table681620[[#This Row],[LEVEL]]="1",Table681620[[#This Row],[L1]],"")))))</f>
        <v>Design Engineer</v>
      </c>
      <c r="U19" s="47" t="s">
        <v>43</v>
      </c>
      <c r="V19" s="59" t="s">
        <v>44</v>
      </c>
      <c r="W19" s="60"/>
      <c r="X19" s="61"/>
      <c r="Y19" s="62">
        <f>Table681620[[#This Row],[Qty]]*Table681620[[#This Row],[Rate]]</f>
        <v>0</v>
      </c>
      <c r="Z19" s="51"/>
      <c r="AA19" s="63" t="s">
        <v>2355</v>
      </c>
      <c r="AB19" s="64" t="s">
        <v>2356</v>
      </c>
      <c r="AC19" s="7"/>
      <c r="AD19" s="60"/>
      <c r="AE19" s="50"/>
      <c r="AF19" s="7"/>
      <c r="AG19" s="60"/>
      <c r="AH19" s="50"/>
      <c r="AI19" s="7"/>
      <c r="AJ19" s="60"/>
      <c r="AK19" s="50"/>
    </row>
    <row r="20" spans="1:37" x14ac:dyDescent="0.3">
      <c r="A20" s="43" t="str">
        <f>INDEX(Table_Numbering[L1],MATCH(Table681620[[#This Row],[L1]],Table_Numbering[L1 Description (Cost Area)],0))</f>
        <v>A</v>
      </c>
      <c r="B20" s="43" t="str">
        <f>IFERROR(INDEX(Table_Numbering[L2],MATCH(Table681620[[#This Row],[L2]],Table_Numbering[L2 Description (Area)],0)),"0")</f>
        <v>1</v>
      </c>
      <c r="C20" s="43" t="str">
        <f>IFERROR(INDEX(Table_Numbering[L3],MATCH(Table681620[[#This Row],[L3]],Table_Numbering[L3 Description (Sub Area)],0)),"0")</f>
        <v>01</v>
      </c>
      <c r="D20" s="43" t="str">
        <f>Table681620[[#This Row],[N1]]&amp;Table681620[[#This Row],[N2]]&amp;Table681620[[#This Row],[N3]]</f>
        <v>A101</v>
      </c>
      <c r="E20" s="43" t="str">
        <f>TEXT(COUNTIF(C$7:C18,Table681620[[#This Row],[N3]]),"00")</f>
        <v>09</v>
      </c>
      <c r="F20" s="43">
        <f>COUNTIFS(J$7:J20,J20,K$7:K20,K20,L$7:L20,L20,M$7:M20,M20)</f>
        <v>1</v>
      </c>
      <c r="G20" s="43" t="str">
        <f>TEXT(COUNTIFS(A$7:A20,A20,B$7:B20,B20,E$7:E20,E20,F$7:F20,1),"00")</f>
        <v>01</v>
      </c>
      <c r="H20" s="43" t="str">
        <f t="shared" si="2"/>
        <v>00</v>
      </c>
      <c r="I20" s="44" t="str">
        <f t="shared" si="3"/>
        <v>4</v>
      </c>
      <c r="J20" s="45" t="s">
        <v>38</v>
      </c>
      <c r="K20" s="45" t="s">
        <v>39</v>
      </c>
      <c r="L20" s="45" t="s">
        <v>463</v>
      </c>
      <c r="M20" s="45" t="s">
        <v>2362</v>
      </c>
      <c r="N20" s="45"/>
      <c r="O2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A1.01.09</v>
      </c>
      <c r="P20" s="47" t="s">
        <v>472</v>
      </c>
      <c r="Q20" s="47" t="s">
        <v>59</v>
      </c>
      <c r="R20" s="47"/>
      <c r="S20" s="47" t="s">
        <v>1565</v>
      </c>
      <c r="T20" s="58" t="str">
        <f>IF(Table681620[[#This Row],[LEVEL]]="5",Table681620[[#This Row],[L5]],
IF(Table681620[[#This Row],[LEVEL]]="4",Table681620[[#This Row],[L4]],
IF(Table681620[[#This Row],[LEVEL]]="3",Table681620[[#This Row],[L3]],
IF(Table681620[[#This Row],[LEVEL]]="2",Table681620[[#This Row],[L2]],
IF(Table681620[[#This Row],[LEVEL]]="1",Table681620[[#This Row],[L1]],"")))))</f>
        <v>Services Engineer (Mech/Elec/Hyd)</v>
      </c>
      <c r="U20" s="47" t="s">
        <v>43</v>
      </c>
      <c r="V20" s="59" t="s">
        <v>44</v>
      </c>
      <c r="W20" s="60"/>
      <c r="X20" s="61"/>
      <c r="Y20" s="62">
        <f>Table681620[[#This Row],[Qty]]*Table681620[[#This Row],[Rate]]</f>
        <v>0</v>
      </c>
      <c r="Z20" s="51"/>
      <c r="AA20" s="63" t="s">
        <v>2355</v>
      </c>
      <c r="AB20" s="64" t="s">
        <v>2356</v>
      </c>
      <c r="AC20" s="7"/>
      <c r="AD20" s="60"/>
      <c r="AE20" s="57"/>
      <c r="AF20" s="7"/>
      <c r="AG20" s="60"/>
      <c r="AH20" s="57"/>
      <c r="AI20" s="7"/>
      <c r="AJ20" s="60"/>
      <c r="AK20" s="57"/>
    </row>
    <row r="21" spans="1:37" x14ac:dyDescent="0.3">
      <c r="A21" s="43" t="str">
        <f>INDEX(Table_Numbering[L1],MATCH(Table681620[[#This Row],[L1]],Table_Numbering[L1 Description (Cost Area)],0))</f>
        <v>A</v>
      </c>
      <c r="B21" s="43" t="str">
        <f>IFERROR(INDEX(Table_Numbering[L2],MATCH(Table681620[[#This Row],[L2]],Table_Numbering[L2 Description (Area)],0)),"0")</f>
        <v>1</v>
      </c>
      <c r="C21" s="43" t="str">
        <f>IFERROR(INDEX(Table_Numbering[L3],MATCH(Table681620[[#This Row],[L3]],Table_Numbering[L3 Description (Sub Area)],0)),"0")</f>
        <v>01</v>
      </c>
      <c r="D21" s="43" t="str">
        <f>Table681620[[#This Row],[N1]]&amp;Table681620[[#This Row],[N2]]&amp;Table681620[[#This Row],[N3]]</f>
        <v>A101</v>
      </c>
      <c r="E21" s="43" t="str">
        <f>TEXT(COUNTIF(C$7:C19,Table681620[[#This Row],[N3]]),"00")</f>
        <v>10</v>
      </c>
      <c r="F21" s="43">
        <f>COUNTIFS(J$7:J21,J21,K$7:K21,K21,L$7:L21,L21,M$7:M21,M21)</f>
        <v>1</v>
      </c>
      <c r="G21" s="43" t="str">
        <f>TEXT(COUNTIFS(A$7:A21,A21,B$7:B21,B21,E$7:E21,E21,F$7:F21,1),"00")</f>
        <v>01</v>
      </c>
      <c r="H21" s="43" t="str">
        <f t="shared" si="2"/>
        <v>00</v>
      </c>
      <c r="I21" s="44" t="str">
        <f t="shared" si="3"/>
        <v>4</v>
      </c>
      <c r="J21" s="45" t="s">
        <v>38</v>
      </c>
      <c r="K21" s="45" t="s">
        <v>39</v>
      </c>
      <c r="L21" s="45" t="s">
        <v>463</v>
      </c>
      <c r="M21" s="45" t="s">
        <v>48</v>
      </c>
      <c r="N21" s="45"/>
      <c r="O2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A1.01.10</v>
      </c>
      <c r="P21" s="47" t="s">
        <v>472</v>
      </c>
      <c r="Q21" s="47" t="s">
        <v>59</v>
      </c>
      <c r="R21" s="59"/>
      <c r="S21" s="59"/>
      <c r="T21" s="58" t="str">
        <f>IF(Table681620[[#This Row],[LEVEL]]="5",Table681620[[#This Row],[L5]],
IF(Table681620[[#This Row],[LEVEL]]="4",Table681620[[#This Row],[L4]],
IF(Table681620[[#This Row],[LEVEL]]="3",Table681620[[#This Row],[L3]],
IF(Table681620[[#This Row],[LEVEL]]="2",Table681620[[#This Row],[L2]],
IF(Table681620[[#This Row],[LEVEL]]="1",Table681620[[#This Row],[L1]],"")))))</f>
        <v>Site Foreman / Supervisor</v>
      </c>
      <c r="U21" s="47" t="s">
        <v>43</v>
      </c>
      <c r="V21" s="59" t="s">
        <v>44</v>
      </c>
      <c r="W21" s="72"/>
      <c r="X21" s="61"/>
      <c r="Y21" s="62">
        <f>Table681620[[#This Row],[Qty]]*Table681620[[#This Row],[Rate]]</f>
        <v>0</v>
      </c>
      <c r="Z21" s="51"/>
      <c r="AA21" s="63" t="s">
        <v>2355</v>
      </c>
      <c r="AB21" s="64" t="s">
        <v>2356</v>
      </c>
      <c r="AC21" s="7"/>
      <c r="AD21" s="60"/>
      <c r="AE21" s="57"/>
      <c r="AF21" s="7"/>
      <c r="AG21" s="60"/>
      <c r="AH21" s="57"/>
      <c r="AI21" s="7"/>
      <c r="AJ21" s="60"/>
      <c r="AK21" s="57"/>
    </row>
    <row r="22" spans="1:37" x14ac:dyDescent="0.3">
      <c r="A22" s="43" t="str">
        <f>INDEX(Table_Numbering[L1],MATCH(Table681620[[#This Row],[L1]],Table_Numbering[L1 Description (Cost Area)],0))</f>
        <v>A</v>
      </c>
      <c r="B22" s="43" t="str">
        <f>IFERROR(INDEX(Table_Numbering[L2],MATCH(Table681620[[#This Row],[L2]],Table_Numbering[L2 Description (Area)],0)),"0")</f>
        <v>1</v>
      </c>
      <c r="C22" s="43" t="str">
        <f>IFERROR(INDEX(Table_Numbering[L3],MATCH(Table681620[[#This Row],[L3]],Table_Numbering[L3 Description (Sub Area)],0)),"0")</f>
        <v>01</v>
      </c>
      <c r="D22" s="43" t="str">
        <f>Table681620[[#This Row],[N1]]&amp;Table681620[[#This Row],[N2]]&amp;Table681620[[#This Row],[N3]]</f>
        <v>A101</v>
      </c>
      <c r="E22" s="43" t="str">
        <f>TEXT(COUNTIF(C$7:C20,Table681620[[#This Row],[N3]]),"00")</f>
        <v>11</v>
      </c>
      <c r="F22" s="43">
        <f>COUNTIFS(J$7:J22,J22,K$7:K22,K22,L$7:L22,L22,M$7:M22,M22)</f>
        <v>1</v>
      </c>
      <c r="G22" s="43" t="str">
        <f>TEXT(COUNTIFS(A$7:A22,A22,B$7:B22,B22,E$7:E22,E22,F$7:F22,1),"00")</f>
        <v>01</v>
      </c>
      <c r="H22" s="43" t="str">
        <f t="shared" si="2"/>
        <v>00</v>
      </c>
      <c r="I22" s="44" t="str">
        <f t="shared" si="3"/>
        <v>4</v>
      </c>
      <c r="J22" s="45" t="s">
        <v>38</v>
      </c>
      <c r="K22" s="45" t="s">
        <v>39</v>
      </c>
      <c r="L22" s="45" t="s">
        <v>463</v>
      </c>
      <c r="M22" s="45" t="s">
        <v>169</v>
      </c>
      <c r="N22" s="45"/>
      <c r="O2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A1.01.11</v>
      </c>
      <c r="P22" s="47" t="s">
        <v>472</v>
      </c>
      <c r="Q22" s="47" t="s">
        <v>59</v>
      </c>
      <c r="R22" s="59"/>
      <c r="S22" s="59"/>
      <c r="T22" s="58" t="str">
        <f>IF(Table681620[[#This Row],[LEVEL]]="5",Table681620[[#This Row],[L5]],
IF(Table681620[[#This Row],[LEVEL]]="4",Table681620[[#This Row],[L4]],
IF(Table681620[[#This Row],[LEVEL]]="3",Table681620[[#This Row],[L3]],
IF(Table681620[[#This Row],[LEVEL]]="2",Table681620[[#This Row],[L2]],
IF(Table681620[[#This Row],[LEVEL]]="1",Table681620[[#This Row],[L1]],"")))))</f>
        <v>Leading Hand</v>
      </c>
      <c r="U22" s="47" t="s">
        <v>43</v>
      </c>
      <c r="V22" s="59" t="s">
        <v>44</v>
      </c>
      <c r="W22" s="72"/>
      <c r="X22" s="61"/>
      <c r="Y22" s="62">
        <f>Table681620[[#This Row],[Qty]]*Table681620[[#This Row],[Rate]]</f>
        <v>0</v>
      </c>
      <c r="Z22" s="51"/>
      <c r="AA22" s="63" t="s">
        <v>2355</v>
      </c>
      <c r="AB22" s="64" t="s">
        <v>2356</v>
      </c>
      <c r="AC22" s="7"/>
      <c r="AD22" s="60"/>
      <c r="AE22" s="57"/>
      <c r="AF22" s="7"/>
      <c r="AG22" s="60"/>
      <c r="AH22" s="57"/>
      <c r="AI22" s="7"/>
      <c r="AJ22" s="60"/>
      <c r="AK22" s="57"/>
    </row>
    <row r="23" spans="1:37" x14ac:dyDescent="0.3">
      <c r="A23" s="43" t="str">
        <f>INDEX(Table_Numbering[L1],MATCH(Table681620[[#This Row],[L1]],Table_Numbering[L1 Description (Cost Area)],0))</f>
        <v>A</v>
      </c>
      <c r="B23" s="43" t="str">
        <f>IFERROR(INDEX(Table_Numbering[L2],MATCH(Table681620[[#This Row],[L2]],Table_Numbering[L2 Description (Area)],0)),"0")</f>
        <v>1</v>
      </c>
      <c r="C23" s="43" t="str">
        <f>IFERROR(INDEX(Table_Numbering[L3],MATCH(Table681620[[#This Row],[L3]],Table_Numbering[L3 Description (Sub Area)],0)),"0")</f>
        <v>01</v>
      </c>
      <c r="D23" s="43" t="str">
        <f>Table681620[[#This Row],[N1]]&amp;Table681620[[#This Row],[N2]]&amp;Table681620[[#This Row],[N3]]</f>
        <v>A101</v>
      </c>
      <c r="E23" s="43" t="str">
        <f>TEXT(COUNTIF(C$7:C21,Table681620[[#This Row],[N3]]),"00")</f>
        <v>12</v>
      </c>
      <c r="F23" s="43">
        <f>COUNTIFS(J$7:J23,J23,K$7:K23,K23,L$7:L23,L23,M$7:M23,M23)</f>
        <v>1</v>
      </c>
      <c r="G23" s="43" t="str">
        <f>TEXT(COUNTIFS(A$7:A23,A23,B$7:B23,B23,E$7:E23,E23,F$7:F23,1),"00")</f>
        <v>01</v>
      </c>
      <c r="H23" s="43" t="str">
        <f t="shared" si="2"/>
        <v>00</v>
      </c>
      <c r="I23" s="44" t="str">
        <f t="shared" si="3"/>
        <v>4</v>
      </c>
      <c r="J23" s="45" t="s">
        <v>38</v>
      </c>
      <c r="K23" s="45" t="s">
        <v>39</v>
      </c>
      <c r="L23" s="45" t="s">
        <v>463</v>
      </c>
      <c r="M23" s="45" t="s">
        <v>170</v>
      </c>
      <c r="N23" s="45"/>
      <c r="O2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A1.01.12</v>
      </c>
      <c r="P23" s="47" t="s">
        <v>472</v>
      </c>
      <c r="Q23" s="47" t="s">
        <v>59</v>
      </c>
      <c r="R23" s="59"/>
      <c r="S23" s="59"/>
      <c r="T23" s="58" t="str">
        <f>IF(Table681620[[#This Row],[LEVEL]]="5",Table681620[[#This Row],[L5]],
IF(Table681620[[#This Row],[LEVEL]]="4",Table681620[[#This Row],[L4]],
IF(Table681620[[#This Row],[LEVEL]]="3",Table681620[[#This Row],[L3]],
IF(Table681620[[#This Row],[LEVEL]]="2",Table681620[[#This Row],[L2]],
IF(Table681620[[#This Row],[LEVEL]]="1",Table681620[[#This Row],[L1]],"")))))</f>
        <v>Works Coordinator</v>
      </c>
      <c r="U23" s="47" t="s">
        <v>43</v>
      </c>
      <c r="V23" s="59" t="s">
        <v>44</v>
      </c>
      <c r="W23" s="72"/>
      <c r="X23" s="61"/>
      <c r="Y23" s="62">
        <f>Table681620[[#This Row],[Qty]]*Table681620[[#This Row],[Rate]]</f>
        <v>0</v>
      </c>
      <c r="Z23" s="51"/>
      <c r="AA23" s="63" t="s">
        <v>2355</v>
      </c>
      <c r="AB23" s="64" t="s">
        <v>2356</v>
      </c>
      <c r="AC23" s="7"/>
      <c r="AD23" s="60"/>
      <c r="AE23" s="57"/>
      <c r="AF23" s="7"/>
      <c r="AG23" s="60"/>
      <c r="AH23" s="57"/>
      <c r="AI23" s="7"/>
      <c r="AJ23" s="60"/>
      <c r="AK23" s="57"/>
    </row>
    <row r="24" spans="1:37" x14ac:dyDescent="0.3">
      <c r="A24" s="43" t="str">
        <f>INDEX(Table_Numbering[L1],MATCH(Table681620[[#This Row],[L1]],Table_Numbering[L1 Description (Cost Area)],0))</f>
        <v>A</v>
      </c>
      <c r="B24" s="43" t="str">
        <f>IFERROR(INDEX(Table_Numbering[L2],MATCH(Table681620[[#This Row],[L2]],Table_Numbering[L2 Description (Area)],0)),"0")</f>
        <v>1</v>
      </c>
      <c r="C24" s="43" t="str">
        <f>IFERROR(INDEX(Table_Numbering[L3],MATCH(Table681620[[#This Row],[L3]],Table_Numbering[L3 Description (Sub Area)],0)),"0")</f>
        <v>01</v>
      </c>
      <c r="D24" s="43" t="str">
        <f>Table681620[[#This Row],[N1]]&amp;Table681620[[#This Row],[N2]]&amp;Table681620[[#This Row],[N3]]</f>
        <v>A101</v>
      </c>
      <c r="E24" s="43" t="str">
        <f>TEXT(COUNTIF(C$7:C22,Table681620[[#This Row],[N3]]),"00")</f>
        <v>13</v>
      </c>
      <c r="F24" s="43">
        <f>COUNTIFS(J$7:J24,J24,K$7:K24,K24,L$7:L24,L24,M$7:M24,M24)</f>
        <v>1</v>
      </c>
      <c r="G24" s="43" t="str">
        <f>TEXT(COUNTIFS(A$7:A24,A24,B$7:B24,B24,E$7:E24,E24,F$7:F24,1),"00")</f>
        <v>01</v>
      </c>
      <c r="H24" s="43" t="str">
        <f t="shared" si="2"/>
        <v>00</v>
      </c>
      <c r="I24" s="44" t="str">
        <f t="shared" si="3"/>
        <v>4</v>
      </c>
      <c r="J24" s="45" t="s">
        <v>38</v>
      </c>
      <c r="K24" s="45" t="s">
        <v>39</v>
      </c>
      <c r="L24" s="45" t="s">
        <v>463</v>
      </c>
      <c r="M24" s="45" t="s">
        <v>171</v>
      </c>
      <c r="N24" s="45"/>
      <c r="O2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A1.01.13</v>
      </c>
      <c r="P24" s="47" t="s">
        <v>472</v>
      </c>
      <c r="Q24" s="47" t="s">
        <v>59</v>
      </c>
      <c r="R24" s="59"/>
      <c r="S24" s="59"/>
      <c r="T24" s="58" t="str">
        <f>IF(Table681620[[#This Row],[LEVEL]]="5",Table681620[[#This Row],[L5]],
IF(Table681620[[#This Row],[LEVEL]]="4",Table681620[[#This Row],[L4]],
IF(Table681620[[#This Row],[LEVEL]]="3",Table681620[[#This Row],[L3]],
IF(Table681620[[#This Row],[LEVEL]]="2",Table681620[[#This Row],[L2]],
IF(Table681620[[#This Row],[LEVEL]]="1",Table681620[[#This Row],[L1]],"")))))</f>
        <v>Night Shift Supervisor</v>
      </c>
      <c r="U24" s="47" t="s">
        <v>43</v>
      </c>
      <c r="V24" s="59" t="s">
        <v>44</v>
      </c>
      <c r="W24" s="72"/>
      <c r="X24" s="61"/>
      <c r="Y24" s="62">
        <f>Table681620[[#This Row],[Qty]]*Table681620[[#This Row],[Rate]]</f>
        <v>0</v>
      </c>
      <c r="Z24" s="51"/>
      <c r="AA24" s="63" t="s">
        <v>2355</v>
      </c>
      <c r="AB24" s="64" t="s">
        <v>2356</v>
      </c>
      <c r="AC24" s="7"/>
      <c r="AD24" s="60"/>
      <c r="AE24" s="57"/>
      <c r="AF24" s="7"/>
      <c r="AG24" s="60"/>
      <c r="AH24" s="57"/>
      <c r="AI24" s="7"/>
      <c r="AJ24" s="60"/>
      <c r="AK24" s="57"/>
    </row>
    <row r="25" spans="1:37" x14ac:dyDescent="0.3">
      <c r="A25" s="43" t="str">
        <f>INDEX(Table_Numbering[L1],MATCH(Table681620[[#This Row],[L1]],Table_Numbering[L1 Description (Cost Area)],0))</f>
        <v>A</v>
      </c>
      <c r="B25" s="43" t="str">
        <f>IFERROR(INDEX(Table_Numbering[L2],MATCH(Table681620[[#This Row],[L2]],Table_Numbering[L2 Description (Area)],0)),"0")</f>
        <v>1</v>
      </c>
      <c r="C25" s="43" t="str">
        <f>IFERROR(INDEX(Table_Numbering[L3],MATCH(Table681620[[#This Row],[L3]],Table_Numbering[L3 Description (Sub Area)],0)),"0")</f>
        <v>01</v>
      </c>
      <c r="D25" s="43" t="str">
        <f>Table681620[[#This Row],[N1]]&amp;Table681620[[#This Row],[N2]]&amp;Table681620[[#This Row],[N3]]</f>
        <v>A101</v>
      </c>
      <c r="E25" s="43" t="str">
        <f>TEXT(COUNTIF(C$7:C23,Table681620[[#This Row],[N3]]),"00")</f>
        <v>14</v>
      </c>
      <c r="F25" s="43">
        <f>COUNTIFS(J$7:J25,J25,K$7:K25,K25,L$7:L25,L25,M$7:M25,M25)</f>
        <v>1</v>
      </c>
      <c r="G25" s="43" t="str">
        <f>TEXT(COUNTIFS(A$7:A25,A25,B$7:B25,B25,E$7:E25,E25,F$7:F25,1),"00")</f>
        <v>01</v>
      </c>
      <c r="H25" s="43" t="str">
        <f t="shared" si="2"/>
        <v>00</v>
      </c>
      <c r="I25" s="44" t="str">
        <f t="shared" si="3"/>
        <v>4</v>
      </c>
      <c r="J25" s="45" t="s">
        <v>38</v>
      </c>
      <c r="K25" s="45" t="s">
        <v>39</v>
      </c>
      <c r="L25" s="45" t="s">
        <v>463</v>
      </c>
      <c r="M25" s="45" t="s">
        <v>172</v>
      </c>
      <c r="N25" s="45"/>
      <c r="O2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A1.01.14</v>
      </c>
      <c r="P25" s="47" t="s">
        <v>472</v>
      </c>
      <c r="Q25" s="47" t="s">
        <v>59</v>
      </c>
      <c r="R25" s="59"/>
      <c r="S25" s="59"/>
      <c r="T25" s="58" t="str">
        <f>IF(Table681620[[#This Row],[LEVEL]]="5",Table681620[[#This Row],[L5]],
IF(Table681620[[#This Row],[LEVEL]]="4",Table681620[[#This Row],[L4]],
IF(Table681620[[#This Row],[LEVEL]]="3",Table681620[[#This Row],[L3]],
IF(Table681620[[#This Row],[LEVEL]]="2",Table681620[[#This Row],[L2]],
IF(Table681620[[#This Row],[LEVEL]]="1",Table681620[[#This Row],[L1]],"")))))</f>
        <v>Subcontractor Coordinator</v>
      </c>
      <c r="U25" s="47" t="s">
        <v>43</v>
      </c>
      <c r="V25" s="59" t="s">
        <v>44</v>
      </c>
      <c r="W25" s="72"/>
      <c r="X25" s="61"/>
      <c r="Y25" s="62">
        <f>Table681620[[#This Row],[Qty]]*Table681620[[#This Row],[Rate]]</f>
        <v>0</v>
      </c>
      <c r="Z25" s="51"/>
      <c r="AA25" s="63" t="s">
        <v>2355</v>
      </c>
      <c r="AB25" s="64" t="s">
        <v>2356</v>
      </c>
      <c r="AC25" s="7"/>
      <c r="AD25" s="60"/>
      <c r="AE25" s="57"/>
      <c r="AF25" s="7"/>
      <c r="AG25" s="60"/>
      <c r="AH25" s="57"/>
      <c r="AI25" s="7"/>
      <c r="AJ25" s="60"/>
      <c r="AK25" s="57"/>
    </row>
    <row r="26" spans="1:37" x14ac:dyDescent="0.3">
      <c r="A26" s="43" t="str">
        <f>INDEX(Table_Numbering[L1],MATCH(Table681620[[#This Row],[L1]],Table_Numbering[L1 Description (Cost Area)],0))</f>
        <v>A</v>
      </c>
      <c r="B26" s="43" t="str">
        <f>IFERROR(INDEX(Table_Numbering[L2],MATCH(Table681620[[#This Row],[L2]],Table_Numbering[L2 Description (Area)],0)),"0")</f>
        <v>1</v>
      </c>
      <c r="C26" s="43" t="str">
        <f>IFERROR(INDEX(Table_Numbering[L3],MATCH(Table681620[[#This Row],[L3]],Table_Numbering[L3 Description (Sub Area)],0)),"0")</f>
        <v>01</v>
      </c>
      <c r="D26" s="43" t="str">
        <f>Table681620[[#This Row],[N1]]&amp;Table681620[[#This Row],[N2]]&amp;Table681620[[#This Row],[N3]]</f>
        <v>A101</v>
      </c>
      <c r="E26" s="43" t="str">
        <f>TEXT(COUNTIF(C$7:C24,Table681620[[#This Row],[N3]]),"00")</f>
        <v>15</v>
      </c>
      <c r="F26" s="43">
        <f>COUNTIFS(J$7:J26,J26,K$7:K26,K26,L$7:L26,L26,M$7:M26,M26)</f>
        <v>1</v>
      </c>
      <c r="G26" s="43" t="str">
        <f>TEXT(COUNTIFS(A$7:A26,A26,B$7:B26,B26,E$7:E26,E26,F$7:F26,1),"00")</f>
        <v>01</v>
      </c>
      <c r="H26" s="43" t="str">
        <f t="shared" si="2"/>
        <v>00</v>
      </c>
      <c r="I26" s="44" t="str">
        <f t="shared" si="3"/>
        <v>4</v>
      </c>
      <c r="J26" s="45" t="s">
        <v>38</v>
      </c>
      <c r="K26" s="45" t="s">
        <v>39</v>
      </c>
      <c r="L26" s="45" t="s">
        <v>463</v>
      </c>
      <c r="M26" s="45" t="s">
        <v>174</v>
      </c>
      <c r="N26" s="45"/>
      <c r="O2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A1.01.15</v>
      </c>
      <c r="P26" s="47" t="s">
        <v>472</v>
      </c>
      <c r="Q26" s="47" t="s">
        <v>59</v>
      </c>
      <c r="R26" s="59"/>
      <c r="S26" s="59"/>
      <c r="T26" s="58" t="str">
        <f>IF(Table681620[[#This Row],[LEVEL]]="5",Table681620[[#This Row],[L5]],
IF(Table681620[[#This Row],[LEVEL]]="4",Table681620[[#This Row],[L4]],
IF(Table681620[[#This Row],[LEVEL]]="3",Table681620[[#This Row],[L3]],
IF(Table681620[[#This Row],[LEVEL]]="2",Table681620[[#This Row],[L2]],
IF(Table681620[[#This Row],[LEVEL]]="1",Table681620[[#This Row],[L1]],"")))))</f>
        <v>HSE Manager</v>
      </c>
      <c r="U26" s="47" t="s">
        <v>43</v>
      </c>
      <c r="V26" s="59" t="s">
        <v>44</v>
      </c>
      <c r="W26" s="72"/>
      <c r="X26" s="61"/>
      <c r="Y26" s="62">
        <f>Table681620[[#This Row],[Qty]]*Table681620[[#This Row],[Rate]]</f>
        <v>0</v>
      </c>
      <c r="Z26" s="51"/>
      <c r="AA26" s="63" t="s">
        <v>2355</v>
      </c>
      <c r="AB26" s="64" t="s">
        <v>2356</v>
      </c>
      <c r="AC26" s="7"/>
      <c r="AD26" s="60"/>
      <c r="AE26" s="57"/>
      <c r="AF26" s="7"/>
      <c r="AG26" s="60"/>
      <c r="AH26" s="57"/>
      <c r="AI26" s="7"/>
      <c r="AJ26" s="60"/>
      <c r="AK26" s="57"/>
    </row>
    <row r="27" spans="1:37" x14ac:dyDescent="0.3">
      <c r="A27" s="43" t="str">
        <f>INDEX(Table_Numbering[L1],MATCH(Table681620[[#This Row],[L1]],Table_Numbering[L1 Description (Cost Area)],0))</f>
        <v>A</v>
      </c>
      <c r="B27" s="43" t="str">
        <f>IFERROR(INDEX(Table_Numbering[L2],MATCH(Table681620[[#This Row],[L2]],Table_Numbering[L2 Description (Area)],0)),"0")</f>
        <v>1</v>
      </c>
      <c r="C27" s="43" t="str">
        <f>IFERROR(INDEX(Table_Numbering[L3],MATCH(Table681620[[#This Row],[L3]],Table_Numbering[L3 Description (Sub Area)],0)),"0")</f>
        <v>01</v>
      </c>
      <c r="D27" s="43" t="str">
        <f>Table681620[[#This Row],[N1]]&amp;Table681620[[#This Row],[N2]]&amp;Table681620[[#This Row],[N3]]</f>
        <v>A101</v>
      </c>
      <c r="E27" s="43" t="str">
        <f>TEXT(COUNTIF(C$7:C25,Table681620[[#This Row],[N3]]),"00")</f>
        <v>16</v>
      </c>
      <c r="F27" s="43">
        <f>COUNTIFS(J$7:J27,J27,K$7:K27,K27,L$7:L27,L27,M$7:M27,M27)</f>
        <v>1</v>
      </c>
      <c r="G27" s="43" t="str">
        <f>TEXT(COUNTIFS(A$7:A27,A27,B$7:B27,B27,E$7:E27,E27,F$7:F27,1),"00")</f>
        <v>01</v>
      </c>
      <c r="H27" s="43" t="str">
        <f t="shared" si="2"/>
        <v>00</v>
      </c>
      <c r="I27" s="44" t="str">
        <f t="shared" si="3"/>
        <v>4</v>
      </c>
      <c r="J27" s="45" t="s">
        <v>38</v>
      </c>
      <c r="K27" s="45" t="s">
        <v>39</v>
      </c>
      <c r="L27" s="45" t="s">
        <v>463</v>
      </c>
      <c r="M27" s="45" t="s">
        <v>49</v>
      </c>
      <c r="N27" s="45"/>
      <c r="O2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A1.01.16</v>
      </c>
      <c r="P27" s="47" t="s">
        <v>472</v>
      </c>
      <c r="Q27" s="47" t="s">
        <v>59</v>
      </c>
      <c r="R27" s="59"/>
      <c r="S27" s="59"/>
      <c r="T27" s="58" t="str">
        <f>IF(Table681620[[#This Row],[LEVEL]]="5",Table681620[[#This Row],[L5]],
IF(Table681620[[#This Row],[LEVEL]]="4",Table681620[[#This Row],[L4]],
IF(Table681620[[#This Row],[LEVEL]]="3",Table681620[[#This Row],[L3]],
IF(Table681620[[#This Row],[LEVEL]]="2",Table681620[[#This Row],[L2]],
IF(Table681620[[#This Row],[LEVEL]]="1",Table681620[[#This Row],[L1]],"")))))</f>
        <v>WHS Advisor / Safety Officer</v>
      </c>
      <c r="U27" s="47" t="s">
        <v>43</v>
      </c>
      <c r="V27" s="59" t="s">
        <v>44</v>
      </c>
      <c r="W27" s="72"/>
      <c r="X27" s="61"/>
      <c r="Y27" s="62">
        <f>Table681620[[#This Row],[Qty]]*Table681620[[#This Row],[Rate]]</f>
        <v>0</v>
      </c>
      <c r="Z27" s="51"/>
      <c r="AA27" s="63" t="s">
        <v>2355</v>
      </c>
      <c r="AB27" s="64" t="s">
        <v>2356</v>
      </c>
      <c r="AC27" s="7"/>
      <c r="AD27" s="60"/>
      <c r="AE27" s="57"/>
      <c r="AF27" s="7"/>
      <c r="AG27" s="60"/>
      <c r="AH27" s="57"/>
      <c r="AI27" s="7"/>
      <c r="AJ27" s="60"/>
      <c r="AK27" s="57"/>
    </row>
    <row r="28" spans="1:37" x14ac:dyDescent="0.3">
      <c r="A28" s="43" t="str">
        <f>INDEX(Table_Numbering[L1],MATCH(Table681620[[#This Row],[L1]],Table_Numbering[L1 Description (Cost Area)],0))</f>
        <v>A</v>
      </c>
      <c r="B28" s="43" t="str">
        <f>IFERROR(INDEX(Table_Numbering[L2],MATCH(Table681620[[#This Row],[L2]],Table_Numbering[L2 Description (Area)],0)),"0")</f>
        <v>1</v>
      </c>
      <c r="C28" s="43" t="str">
        <f>IFERROR(INDEX(Table_Numbering[L3],MATCH(Table681620[[#This Row],[L3]],Table_Numbering[L3 Description (Sub Area)],0)),"0")</f>
        <v>01</v>
      </c>
      <c r="D28" s="43" t="str">
        <f>Table681620[[#This Row],[N1]]&amp;Table681620[[#This Row],[N2]]&amp;Table681620[[#This Row],[N3]]</f>
        <v>A101</v>
      </c>
      <c r="E28" s="43" t="str">
        <f>TEXT(COUNTIF(C$7:C26,Table681620[[#This Row],[N3]]),"00")</f>
        <v>17</v>
      </c>
      <c r="F28" s="43">
        <f>COUNTIFS(J$7:J28,J28,K$7:K28,K28,L$7:L28,L28,M$7:M28,M28)</f>
        <v>1</v>
      </c>
      <c r="G28" s="43" t="str">
        <f>TEXT(COUNTIFS(A$7:A28,A28,B$7:B28,B28,E$7:E28,E28,F$7:F28,1),"00")</f>
        <v>01</v>
      </c>
      <c r="H28" s="43" t="str">
        <f t="shared" si="2"/>
        <v>00</v>
      </c>
      <c r="I28" s="44" t="str">
        <f t="shared" si="3"/>
        <v>4</v>
      </c>
      <c r="J28" s="45" t="s">
        <v>38</v>
      </c>
      <c r="K28" s="45" t="s">
        <v>39</v>
      </c>
      <c r="L28" s="45" t="s">
        <v>463</v>
      </c>
      <c r="M28" s="45" t="s">
        <v>863</v>
      </c>
      <c r="N28" s="45"/>
      <c r="O2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A1.01.17</v>
      </c>
      <c r="P28" s="47" t="s">
        <v>472</v>
      </c>
      <c r="Q28" s="47" t="s">
        <v>59</v>
      </c>
      <c r="R28" s="59"/>
      <c r="S28" s="59"/>
      <c r="T28" s="58" t="str">
        <f>IF(Table681620[[#This Row],[LEVEL]]="5",Table681620[[#This Row],[L5]],
IF(Table681620[[#This Row],[LEVEL]]="4",Table681620[[#This Row],[L4]],
IF(Table681620[[#This Row],[LEVEL]]="3",Table681620[[#This Row],[L3]],
IF(Table681620[[#This Row],[LEVEL]]="2",Table681620[[#This Row],[L2]],
IF(Table681620[[#This Row],[LEVEL]]="1",Table681620[[#This Row],[L1]],"")))))</f>
        <v>Environmental Officer</v>
      </c>
      <c r="U28" s="47" t="s">
        <v>43</v>
      </c>
      <c r="V28" s="59" t="s">
        <v>44</v>
      </c>
      <c r="W28" s="72"/>
      <c r="X28" s="61"/>
      <c r="Y28" s="62">
        <f>Table681620[[#This Row],[Qty]]*Table681620[[#This Row],[Rate]]</f>
        <v>0</v>
      </c>
      <c r="Z28" s="51"/>
      <c r="AA28" s="63" t="s">
        <v>2355</v>
      </c>
      <c r="AB28" s="64" t="s">
        <v>2356</v>
      </c>
      <c r="AC28" s="7"/>
      <c r="AD28" s="60"/>
      <c r="AE28" s="57"/>
      <c r="AF28" s="7"/>
      <c r="AG28" s="60"/>
      <c r="AH28" s="57"/>
      <c r="AI28" s="7"/>
      <c r="AJ28" s="60"/>
      <c r="AK28" s="57"/>
    </row>
    <row r="29" spans="1:37" x14ac:dyDescent="0.3">
      <c r="A29" s="43" t="str">
        <f>INDEX(Table_Numbering[L1],MATCH(Table681620[[#This Row],[L1]],Table_Numbering[L1 Description (Cost Area)],0))</f>
        <v>A</v>
      </c>
      <c r="B29" s="43" t="str">
        <f>IFERROR(INDEX(Table_Numbering[L2],MATCH(Table681620[[#This Row],[L2]],Table_Numbering[L2 Description (Area)],0)),"0")</f>
        <v>1</v>
      </c>
      <c r="C29" s="43" t="str">
        <f>IFERROR(INDEX(Table_Numbering[L3],MATCH(Table681620[[#This Row],[L3]],Table_Numbering[L3 Description (Sub Area)],0)),"0")</f>
        <v>01</v>
      </c>
      <c r="D29" s="43" t="str">
        <f>Table681620[[#This Row],[N1]]&amp;Table681620[[#This Row],[N2]]&amp;Table681620[[#This Row],[N3]]</f>
        <v>A101</v>
      </c>
      <c r="E29" s="43" t="str">
        <f>TEXT(COUNTIF(C$7:C27,Table681620[[#This Row],[N3]]),"00")</f>
        <v>18</v>
      </c>
      <c r="F29" s="43">
        <f>COUNTIFS(J$7:J29,J29,K$7:K29,K29,L$7:L29,L29,M$7:M29,M29)</f>
        <v>1</v>
      </c>
      <c r="G29" s="43" t="str">
        <f>TEXT(COUNTIFS(A$7:A29,A29,B$7:B29,B29,E$7:E29,E29,F$7:F29,1),"00")</f>
        <v>01</v>
      </c>
      <c r="H29" s="43" t="str">
        <f t="shared" si="2"/>
        <v>00</v>
      </c>
      <c r="I29" s="44" t="str">
        <f t="shared" si="3"/>
        <v>4</v>
      </c>
      <c r="J29" s="45" t="s">
        <v>38</v>
      </c>
      <c r="K29" s="45" t="s">
        <v>39</v>
      </c>
      <c r="L29" s="45" t="s">
        <v>463</v>
      </c>
      <c r="M29" s="45" t="s">
        <v>175</v>
      </c>
      <c r="N29" s="45"/>
      <c r="O2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A1.01.18</v>
      </c>
      <c r="P29" s="47" t="s">
        <v>472</v>
      </c>
      <c r="Q29" s="47" t="s">
        <v>59</v>
      </c>
      <c r="R29" s="59"/>
      <c r="S29" s="59"/>
      <c r="T29" s="58" t="str">
        <f>IF(Table681620[[#This Row],[LEVEL]]="5",Table681620[[#This Row],[L5]],
IF(Table681620[[#This Row],[LEVEL]]="4",Table681620[[#This Row],[L4]],
IF(Table681620[[#This Row],[LEVEL]]="3",Table681620[[#This Row],[L3]],
IF(Table681620[[#This Row],[LEVEL]]="2",Table681620[[#This Row],[L2]],
IF(Table681620[[#This Row],[LEVEL]]="1",Table681620[[#This Row],[L1]],"")))))</f>
        <v>Traffic Controller</v>
      </c>
      <c r="U29" s="47" t="s">
        <v>43</v>
      </c>
      <c r="V29" s="59" t="s">
        <v>44</v>
      </c>
      <c r="W29" s="72"/>
      <c r="X29" s="61"/>
      <c r="Y29" s="62">
        <f>Table681620[[#This Row],[Qty]]*Table681620[[#This Row],[Rate]]</f>
        <v>0</v>
      </c>
      <c r="Z29" s="51"/>
      <c r="AA29" s="63" t="s">
        <v>2355</v>
      </c>
      <c r="AB29" s="64" t="s">
        <v>2356</v>
      </c>
      <c r="AC29" s="7"/>
      <c r="AD29" s="60"/>
      <c r="AE29" s="57"/>
      <c r="AF29" s="7"/>
      <c r="AG29" s="60"/>
      <c r="AH29" s="57"/>
      <c r="AI29" s="7"/>
      <c r="AJ29" s="60"/>
      <c r="AK29" s="57"/>
    </row>
    <row r="30" spans="1:37" x14ac:dyDescent="0.3">
      <c r="A30" s="43" t="str">
        <f>INDEX(Table_Numbering[L1],MATCH(Table681620[[#This Row],[L1]],Table_Numbering[L1 Description (Cost Area)],0))</f>
        <v>A</v>
      </c>
      <c r="B30" s="43" t="str">
        <f>IFERROR(INDEX(Table_Numbering[L2],MATCH(Table681620[[#This Row],[L2]],Table_Numbering[L2 Description (Area)],0)),"0")</f>
        <v>1</v>
      </c>
      <c r="C30" s="43" t="str">
        <f>IFERROR(INDEX(Table_Numbering[L3],MATCH(Table681620[[#This Row],[L3]],Table_Numbering[L3 Description (Sub Area)],0)),"0")</f>
        <v>01</v>
      </c>
      <c r="D30" s="43" t="str">
        <f>Table681620[[#This Row],[N1]]&amp;Table681620[[#This Row],[N2]]&amp;Table681620[[#This Row],[N3]]</f>
        <v>A101</v>
      </c>
      <c r="E30" s="43" t="str">
        <f>TEXT(COUNTIF(C$7:C28,Table681620[[#This Row],[N3]]),"00")</f>
        <v>19</v>
      </c>
      <c r="F30" s="43">
        <f>COUNTIFS(J$7:J30,J30,K$7:K30,K30,L$7:L30,L30,M$7:M30,M30)</f>
        <v>1</v>
      </c>
      <c r="G30" s="43" t="str">
        <f>TEXT(COUNTIFS(A$7:A30,A30,B$7:B30,B30,E$7:E30,E30,F$7:F30,1),"00")</f>
        <v>01</v>
      </c>
      <c r="H30" s="43" t="str">
        <f t="shared" si="2"/>
        <v>00</v>
      </c>
      <c r="I30" s="44" t="str">
        <f t="shared" si="3"/>
        <v>4</v>
      </c>
      <c r="J30" s="45" t="s">
        <v>38</v>
      </c>
      <c r="K30" s="45" t="s">
        <v>39</v>
      </c>
      <c r="L30" s="45" t="s">
        <v>463</v>
      </c>
      <c r="M30" s="45" t="s">
        <v>176</v>
      </c>
      <c r="N30" s="45"/>
      <c r="O3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A1.01.19</v>
      </c>
      <c r="P30" s="47" t="s">
        <v>472</v>
      </c>
      <c r="Q30" s="47" t="s">
        <v>59</v>
      </c>
      <c r="R30" s="59"/>
      <c r="S30" s="59"/>
      <c r="T30" s="58" t="str">
        <f>IF(Table681620[[#This Row],[LEVEL]]="5",Table681620[[#This Row],[L5]],
IF(Table681620[[#This Row],[LEVEL]]="4",Table681620[[#This Row],[L4]],
IF(Table681620[[#This Row],[LEVEL]]="3",Table681620[[#This Row],[L3]],
IF(Table681620[[#This Row],[LEVEL]]="2",Table681620[[#This Row],[L2]],
IF(Table681620[[#This Row],[LEVEL]]="1",Table681620[[#This Row],[L1]],"")))))</f>
        <v>First Aid Officer</v>
      </c>
      <c r="U30" s="47" t="s">
        <v>43</v>
      </c>
      <c r="V30" s="59" t="s">
        <v>44</v>
      </c>
      <c r="W30" s="72"/>
      <c r="X30" s="61"/>
      <c r="Y30" s="62">
        <f>Table681620[[#This Row],[Qty]]*Table681620[[#This Row],[Rate]]</f>
        <v>0</v>
      </c>
      <c r="Z30" s="51"/>
      <c r="AA30" s="63" t="s">
        <v>2355</v>
      </c>
      <c r="AB30" s="64" t="s">
        <v>2356</v>
      </c>
      <c r="AC30" s="7"/>
      <c r="AD30" s="60"/>
      <c r="AE30" s="57"/>
      <c r="AF30" s="7"/>
      <c r="AG30" s="60"/>
      <c r="AH30" s="57"/>
      <c r="AI30" s="7"/>
      <c r="AJ30" s="60"/>
      <c r="AK30" s="57"/>
    </row>
    <row r="31" spans="1:37" x14ac:dyDescent="0.3">
      <c r="A31" s="43" t="str">
        <f>INDEX(Table_Numbering[L1],MATCH(Table681620[[#This Row],[L1]],Table_Numbering[L1 Description (Cost Area)],0))</f>
        <v>A</v>
      </c>
      <c r="B31" s="43" t="str">
        <f>IFERROR(INDEX(Table_Numbering[L2],MATCH(Table681620[[#This Row],[L2]],Table_Numbering[L2 Description (Area)],0)),"0")</f>
        <v>1</v>
      </c>
      <c r="C31" s="43" t="str">
        <f>IFERROR(INDEX(Table_Numbering[L3],MATCH(Table681620[[#This Row],[L3]],Table_Numbering[L3 Description (Sub Area)],0)),"0")</f>
        <v>01</v>
      </c>
      <c r="D31" s="43" t="str">
        <f>Table681620[[#This Row],[N1]]&amp;Table681620[[#This Row],[N2]]&amp;Table681620[[#This Row],[N3]]</f>
        <v>A101</v>
      </c>
      <c r="E31" s="43" t="str">
        <f>TEXT(COUNTIF(C$7:C29,Table681620[[#This Row],[N3]]),"00")</f>
        <v>20</v>
      </c>
      <c r="F31" s="43">
        <f>COUNTIFS(J$7:J31,J31,K$7:K31,K31,L$7:L31,L31,M$7:M31,M31)</f>
        <v>1</v>
      </c>
      <c r="G31" s="43" t="str">
        <f>TEXT(COUNTIFS(A$7:A31,A31,B$7:B31,B31,E$7:E31,E31,F$7:F31,1),"00")</f>
        <v>01</v>
      </c>
      <c r="H31" s="43" t="str">
        <f t="shared" si="2"/>
        <v>00</v>
      </c>
      <c r="I31" s="44" t="str">
        <f t="shared" si="3"/>
        <v>4</v>
      </c>
      <c r="J31" s="45" t="s">
        <v>38</v>
      </c>
      <c r="K31" s="45" t="s">
        <v>39</v>
      </c>
      <c r="L31" s="45" t="s">
        <v>463</v>
      </c>
      <c r="M31" s="45" t="s">
        <v>178</v>
      </c>
      <c r="N31" s="45"/>
      <c r="O3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A1.01.20</v>
      </c>
      <c r="P31" s="47" t="s">
        <v>472</v>
      </c>
      <c r="Q31" s="47" t="s">
        <v>59</v>
      </c>
      <c r="R31" s="59"/>
      <c r="S31" s="59"/>
      <c r="T31" s="58" t="str">
        <f>IF(Table681620[[#This Row],[LEVEL]]="5",Table681620[[#This Row],[L5]],
IF(Table681620[[#This Row],[LEVEL]]="4",Table681620[[#This Row],[L4]],
IF(Table681620[[#This Row],[LEVEL]]="3",Table681620[[#This Row],[L3]],
IF(Table681620[[#This Row],[LEVEL]]="2",Table681620[[#This Row],[L2]],
IF(Table681620[[#This Row],[LEVEL]]="1",Table681620[[#This Row],[L1]],"")))))</f>
        <v>Quality Manager</v>
      </c>
      <c r="U31" s="47" t="s">
        <v>43</v>
      </c>
      <c r="V31" s="59" t="s">
        <v>44</v>
      </c>
      <c r="W31" s="72"/>
      <c r="X31" s="61"/>
      <c r="Y31" s="62">
        <f>Table681620[[#This Row],[Qty]]*Table681620[[#This Row],[Rate]]</f>
        <v>0</v>
      </c>
      <c r="Z31" s="51"/>
      <c r="AA31" s="63" t="s">
        <v>2355</v>
      </c>
      <c r="AB31" s="64" t="s">
        <v>2356</v>
      </c>
      <c r="AC31" s="7"/>
      <c r="AD31" s="60"/>
      <c r="AE31" s="57"/>
      <c r="AF31" s="7"/>
      <c r="AG31" s="60"/>
      <c r="AH31" s="57"/>
      <c r="AI31" s="7"/>
      <c r="AJ31" s="60"/>
      <c r="AK31" s="57"/>
    </row>
    <row r="32" spans="1:37" x14ac:dyDescent="0.3">
      <c r="A32" s="43" t="str">
        <f>INDEX(Table_Numbering[L1],MATCH(Table681620[[#This Row],[L1]],Table_Numbering[L1 Description (Cost Area)],0))</f>
        <v>A</v>
      </c>
      <c r="B32" s="43" t="str">
        <f>IFERROR(INDEX(Table_Numbering[L2],MATCH(Table681620[[#This Row],[L2]],Table_Numbering[L2 Description (Area)],0)),"0")</f>
        <v>1</v>
      </c>
      <c r="C32" s="43" t="str">
        <f>IFERROR(INDEX(Table_Numbering[L3],MATCH(Table681620[[#This Row],[L3]],Table_Numbering[L3 Description (Sub Area)],0)),"0")</f>
        <v>01</v>
      </c>
      <c r="D32" s="43" t="str">
        <f>Table681620[[#This Row],[N1]]&amp;Table681620[[#This Row],[N2]]&amp;Table681620[[#This Row],[N3]]</f>
        <v>A101</v>
      </c>
      <c r="E32" s="43" t="str">
        <f>TEXT(COUNTIF(C$7:C30,Table681620[[#This Row],[N3]]),"00")</f>
        <v>21</v>
      </c>
      <c r="F32" s="43">
        <f>COUNTIFS(J$7:J32,J32,K$7:K32,K32,L$7:L32,L32,M$7:M32,M32)</f>
        <v>1</v>
      </c>
      <c r="G32" s="43" t="str">
        <f>TEXT(COUNTIFS(A$7:A32,A32,B$7:B32,B32,E$7:E32,E32,F$7:F32,1),"00")</f>
        <v>01</v>
      </c>
      <c r="H32" s="43" t="str">
        <f t="shared" si="2"/>
        <v>00</v>
      </c>
      <c r="I32" s="44" t="str">
        <f t="shared" si="3"/>
        <v>4</v>
      </c>
      <c r="J32" s="45" t="s">
        <v>38</v>
      </c>
      <c r="K32" s="45" t="s">
        <v>39</v>
      </c>
      <c r="L32" s="45" t="s">
        <v>463</v>
      </c>
      <c r="M32" s="45" t="s">
        <v>179</v>
      </c>
      <c r="N32" s="45"/>
      <c r="O3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A1.01.21</v>
      </c>
      <c r="P32" s="47" t="s">
        <v>472</v>
      </c>
      <c r="Q32" s="47" t="s">
        <v>59</v>
      </c>
      <c r="R32" s="59"/>
      <c r="S32" s="59"/>
      <c r="T32" s="58" t="str">
        <f>IF(Table681620[[#This Row],[LEVEL]]="5",Table681620[[#This Row],[L5]],
IF(Table681620[[#This Row],[LEVEL]]="4",Table681620[[#This Row],[L4]],
IF(Table681620[[#This Row],[LEVEL]]="3",Table681620[[#This Row],[L3]],
IF(Table681620[[#This Row],[LEVEL]]="2",Table681620[[#This Row],[L2]],
IF(Table681620[[#This Row],[LEVEL]]="1",Table681620[[#This Row],[L1]],"")))))</f>
        <v>Quality Coordinator</v>
      </c>
      <c r="U32" s="47" t="s">
        <v>43</v>
      </c>
      <c r="V32" s="59" t="s">
        <v>44</v>
      </c>
      <c r="W32" s="72"/>
      <c r="X32" s="61"/>
      <c r="Y32" s="62">
        <f>Table681620[[#This Row],[Qty]]*Table681620[[#This Row],[Rate]]</f>
        <v>0</v>
      </c>
      <c r="Z32" s="51"/>
      <c r="AA32" s="63" t="s">
        <v>2355</v>
      </c>
      <c r="AB32" s="64" t="s">
        <v>2356</v>
      </c>
      <c r="AC32" s="7"/>
      <c r="AD32" s="60"/>
      <c r="AE32" s="57"/>
      <c r="AF32" s="7"/>
      <c r="AG32" s="60"/>
      <c r="AH32" s="57"/>
      <c r="AI32" s="7"/>
      <c r="AJ32" s="60"/>
      <c r="AK32" s="57"/>
    </row>
    <row r="33" spans="1:37" x14ac:dyDescent="0.3">
      <c r="A33" s="43" t="str">
        <f>INDEX(Table_Numbering[L1],MATCH(Table681620[[#This Row],[L1]],Table_Numbering[L1 Description (Cost Area)],0))</f>
        <v>A</v>
      </c>
      <c r="B33" s="43" t="str">
        <f>IFERROR(INDEX(Table_Numbering[L2],MATCH(Table681620[[#This Row],[L2]],Table_Numbering[L2 Description (Area)],0)),"0")</f>
        <v>1</v>
      </c>
      <c r="C33" s="43" t="str">
        <f>IFERROR(INDEX(Table_Numbering[L3],MATCH(Table681620[[#This Row],[L3]],Table_Numbering[L3 Description (Sub Area)],0)),"0")</f>
        <v>01</v>
      </c>
      <c r="D33" s="43" t="str">
        <f>Table681620[[#This Row],[N1]]&amp;Table681620[[#This Row],[N2]]&amp;Table681620[[#This Row],[N3]]</f>
        <v>A101</v>
      </c>
      <c r="E33" s="43" t="str">
        <f>TEXT(COUNTIF(C$7:C31,Table681620[[#This Row],[N3]]),"00")</f>
        <v>22</v>
      </c>
      <c r="F33" s="43">
        <f>COUNTIFS(J$7:J33,J33,K$7:K33,K33,L$7:L33,L33,M$7:M33,M33)</f>
        <v>1</v>
      </c>
      <c r="G33" s="43" t="str">
        <f>TEXT(COUNTIFS(A$7:A33,A33,B$7:B33,B33,E$7:E33,E33,F$7:F33,1),"00")</f>
        <v>01</v>
      </c>
      <c r="H33" s="43" t="str">
        <f t="shared" si="2"/>
        <v>00</v>
      </c>
      <c r="I33" s="44" t="str">
        <f t="shared" si="3"/>
        <v>4</v>
      </c>
      <c r="J33" s="45" t="s">
        <v>38</v>
      </c>
      <c r="K33" s="45" t="s">
        <v>39</v>
      </c>
      <c r="L33" s="45" t="s">
        <v>463</v>
      </c>
      <c r="M33" s="45" t="s">
        <v>180</v>
      </c>
      <c r="N33" s="45"/>
      <c r="O3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A1.01.22</v>
      </c>
      <c r="P33" s="47" t="s">
        <v>472</v>
      </c>
      <c r="Q33" s="47" t="s">
        <v>59</v>
      </c>
      <c r="R33" s="59"/>
      <c r="S33" s="59"/>
      <c r="T33" s="58" t="str">
        <f>IF(Table681620[[#This Row],[LEVEL]]="5",Table681620[[#This Row],[L5]],
IF(Table681620[[#This Row],[LEVEL]]="4",Table681620[[#This Row],[L4]],
IF(Table681620[[#This Row],[LEVEL]]="3",Table681620[[#This Row],[L3]],
IF(Table681620[[#This Row],[LEVEL]]="2",Table681620[[#This Row],[L2]],
IF(Table681620[[#This Row],[LEVEL]]="1",Table681620[[#This Row],[L1]],"")))))</f>
        <v>Quality Inspector</v>
      </c>
      <c r="U33" s="47" t="s">
        <v>43</v>
      </c>
      <c r="V33" s="59" t="s">
        <v>44</v>
      </c>
      <c r="W33" s="72"/>
      <c r="X33" s="61"/>
      <c r="Y33" s="62">
        <f>Table681620[[#This Row],[Qty]]*Table681620[[#This Row],[Rate]]</f>
        <v>0</v>
      </c>
      <c r="Z33" s="51"/>
      <c r="AA33" s="63" t="s">
        <v>2355</v>
      </c>
      <c r="AB33" s="64" t="s">
        <v>2356</v>
      </c>
      <c r="AC33" s="7"/>
      <c r="AD33" s="60"/>
      <c r="AE33" s="57"/>
      <c r="AF33" s="7"/>
      <c r="AG33" s="60"/>
      <c r="AH33" s="57"/>
      <c r="AI33" s="7"/>
      <c r="AJ33" s="60"/>
      <c r="AK33" s="57"/>
    </row>
    <row r="34" spans="1:37" x14ac:dyDescent="0.3">
      <c r="A34" s="43" t="str">
        <f>INDEX(Table_Numbering[L1],MATCH(Table681620[[#This Row],[L1]],Table_Numbering[L1 Description (Cost Area)],0))</f>
        <v>A</v>
      </c>
      <c r="B34" s="43" t="str">
        <f>IFERROR(INDEX(Table_Numbering[L2],MATCH(Table681620[[#This Row],[L2]],Table_Numbering[L2 Description (Area)],0)),"0")</f>
        <v>1</v>
      </c>
      <c r="C34" s="43" t="str">
        <f>IFERROR(INDEX(Table_Numbering[L3],MATCH(Table681620[[#This Row],[L3]],Table_Numbering[L3 Description (Sub Area)],0)),"0")</f>
        <v>01</v>
      </c>
      <c r="D34" s="43" t="str">
        <f>Table681620[[#This Row],[N1]]&amp;Table681620[[#This Row],[N2]]&amp;Table681620[[#This Row],[N3]]</f>
        <v>A101</v>
      </c>
      <c r="E34" s="43" t="str">
        <f>TEXT(COUNTIF(C$7:C32,Table681620[[#This Row],[N3]]),"00")</f>
        <v>23</v>
      </c>
      <c r="F34" s="43">
        <f>COUNTIFS(J$7:J34,J34,K$7:K34,K34,L$7:L34,L34,M$7:M34,M34)</f>
        <v>1</v>
      </c>
      <c r="G34" s="43" t="str">
        <f>TEXT(COUNTIFS(A$7:A34,A34,B$7:B34,B34,E$7:E34,E34,F$7:F34,1),"00")</f>
        <v>01</v>
      </c>
      <c r="H34" s="43" t="str">
        <f t="shared" si="2"/>
        <v>00</v>
      </c>
      <c r="I34" s="44" t="str">
        <f t="shared" si="3"/>
        <v>4</v>
      </c>
      <c r="J34" s="45" t="s">
        <v>38</v>
      </c>
      <c r="K34" s="45" t="s">
        <v>39</v>
      </c>
      <c r="L34" s="45" t="s">
        <v>463</v>
      </c>
      <c r="M34" s="45" t="s">
        <v>53</v>
      </c>
      <c r="N34" s="45"/>
      <c r="O3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A1.01.23</v>
      </c>
      <c r="P34" s="47" t="s">
        <v>472</v>
      </c>
      <c r="Q34" s="47" t="s">
        <v>59</v>
      </c>
      <c r="R34" s="59"/>
      <c r="S34" s="59"/>
      <c r="T34" s="58" t="str">
        <f>IF(Table681620[[#This Row],[LEVEL]]="5",Table681620[[#This Row],[L5]],
IF(Table681620[[#This Row],[LEVEL]]="4",Table681620[[#This Row],[L4]],
IF(Table681620[[#This Row],[LEVEL]]="3",Table681620[[#This Row],[L3]],
IF(Table681620[[#This Row],[LEVEL]]="2",Table681620[[#This Row],[L2]],
IF(Table681620[[#This Row],[LEVEL]]="1",Table681620[[#This Row],[L1]],"")))))</f>
        <v>Document Controller</v>
      </c>
      <c r="U34" s="47" t="s">
        <v>43</v>
      </c>
      <c r="V34" s="59" t="s">
        <v>44</v>
      </c>
      <c r="W34" s="72"/>
      <c r="X34" s="61"/>
      <c r="Y34" s="62">
        <f>Table681620[[#This Row],[Qty]]*Table681620[[#This Row],[Rate]]</f>
        <v>0</v>
      </c>
      <c r="Z34" s="51"/>
      <c r="AA34" s="63" t="s">
        <v>2355</v>
      </c>
      <c r="AB34" s="64" t="s">
        <v>2356</v>
      </c>
      <c r="AC34" s="7"/>
      <c r="AD34" s="60"/>
      <c r="AE34" s="57"/>
      <c r="AF34" s="7"/>
      <c r="AG34" s="60"/>
      <c r="AH34" s="57"/>
      <c r="AI34" s="7"/>
      <c r="AJ34" s="60"/>
      <c r="AK34" s="57"/>
    </row>
    <row r="35" spans="1:37" x14ac:dyDescent="0.3">
      <c r="A35" s="43" t="str">
        <f>INDEX(Table_Numbering[L1],MATCH(Table681620[[#This Row],[L1]],Table_Numbering[L1 Description (Cost Area)],0))</f>
        <v>A</v>
      </c>
      <c r="B35" s="43" t="str">
        <f>IFERROR(INDEX(Table_Numbering[L2],MATCH(Table681620[[#This Row],[L2]],Table_Numbering[L2 Description (Area)],0)),"0")</f>
        <v>1</v>
      </c>
      <c r="C35" s="43" t="str">
        <f>IFERROR(INDEX(Table_Numbering[L3],MATCH(Table681620[[#This Row],[L3]],Table_Numbering[L3 Description (Sub Area)],0)),"0")</f>
        <v>01</v>
      </c>
      <c r="D35" s="43" t="str">
        <f>Table681620[[#This Row],[N1]]&amp;Table681620[[#This Row],[N2]]&amp;Table681620[[#This Row],[N3]]</f>
        <v>A101</v>
      </c>
      <c r="E35" s="43" t="str">
        <f>TEXT(COUNTIF(C$7:C33,Table681620[[#This Row],[N3]]),"00")</f>
        <v>24</v>
      </c>
      <c r="F35" s="43">
        <f>COUNTIFS(J$7:J35,J35,K$7:K35,K35,L$7:L35,L35,M$7:M35,M35)</f>
        <v>1</v>
      </c>
      <c r="G35" s="43" t="str">
        <f>TEXT(COUNTIFS(A$7:A35,A35,B$7:B35,B35,E$7:E35,E35,F$7:F35,1),"00")</f>
        <v>01</v>
      </c>
      <c r="H35" s="43" t="str">
        <f t="shared" si="2"/>
        <v>00</v>
      </c>
      <c r="I35" s="44" t="str">
        <f t="shared" si="3"/>
        <v>4</v>
      </c>
      <c r="J35" s="45" t="s">
        <v>38</v>
      </c>
      <c r="K35" s="45" t="s">
        <v>39</v>
      </c>
      <c r="L35" s="45" t="s">
        <v>463</v>
      </c>
      <c r="M35" s="45" t="s">
        <v>55</v>
      </c>
      <c r="N35" s="45"/>
      <c r="O3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A1.01.24</v>
      </c>
      <c r="P35" s="47" t="s">
        <v>472</v>
      </c>
      <c r="Q35" s="47" t="s">
        <v>59</v>
      </c>
      <c r="R35" s="59"/>
      <c r="S35" s="59"/>
      <c r="T35" s="58" t="str">
        <f>IF(Table681620[[#This Row],[LEVEL]]="5",Table681620[[#This Row],[L5]],
IF(Table681620[[#This Row],[LEVEL]]="4",Table681620[[#This Row],[L4]],
IF(Table681620[[#This Row],[LEVEL]]="3",Table681620[[#This Row],[L3]],
IF(Table681620[[#This Row],[LEVEL]]="2",Table681620[[#This Row],[L2]],
IF(Table681620[[#This Row],[LEVEL]]="1",Table681620[[#This Row],[L1]],"")))))</f>
        <v>Contract Administrator</v>
      </c>
      <c r="U35" s="47" t="s">
        <v>43</v>
      </c>
      <c r="V35" s="59" t="s">
        <v>44</v>
      </c>
      <c r="W35" s="72"/>
      <c r="X35" s="61"/>
      <c r="Y35" s="62">
        <f>Table681620[[#This Row],[Qty]]*Table681620[[#This Row],[Rate]]</f>
        <v>0</v>
      </c>
      <c r="Z35" s="51"/>
      <c r="AA35" s="63" t="s">
        <v>2355</v>
      </c>
      <c r="AB35" s="64" t="s">
        <v>2356</v>
      </c>
      <c r="AC35" s="7"/>
      <c r="AD35" s="60"/>
      <c r="AE35" s="57"/>
      <c r="AF35" s="7"/>
      <c r="AG35" s="60"/>
      <c r="AH35" s="57"/>
      <c r="AI35" s="7"/>
      <c r="AJ35" s="60"/>
      <c r="AK35" s="57"/>
    </row>
    <row r="36" spans="1:37" x14ac:dyDescent="0.3">
      <c r="A36" s="43" t="str">
        <f>INDEX(Table_Numbering[L1],MATCH(Table681620[[#This Row],[L1]],Table_Numbering[L1 Description (Cost Area)],0))</f>
        <v>A</v>
      </c>
      <c r="B36" s="43" t="str">
        <f>IFERROR(INDEX(Table_Numbering[L2],MATCH(Table681620[[#This Row],[L2]],Table_Numbering[L2 Description (Area)],0)),"0")</f>
        <v>1</v>
      </c>
      <c r="C36" s="43" t="str">
        <f>IFERROR(INDEX(Table_Numbering[L3],MATCH(Table681620[[#This Row],[L3]],Table_Numbering[L3 Description (Sub Area)],0)),"0")</f>
        <v>01</v>
      </c>
      <c r="D36" s="43" t="str">
        <f>Table681620[[#This Row],[N1]]&amp;Table681620[[#This Row],[N2]]&amp;Table681620[[#This Row],[N3]]</f>
        <v>A101</v>
      </c>
      <c r="E36" s="43" t="str">
        <f>TEXT(COUNTIF(C$7:C34,Table681620[[#This Row],[N3]]),"00")</f>
        <v>25</v>
      </c>
      <c r="F36" s="43">
        <f>COUNTIFS(J$7:J36,J36,K$7:K36,K36,L$7:L36,L36,M$7:M36,M36)</f>
        <v>1</v>
      </c>
      <c r="G36" s="43" t="str">
        <f>TEXT(COUNTIFS(A$7:A36,A36,B$7:B36,B36,E$7:E36,E36,F$7:F36,1),"00")</f>
        <v>01</v>
      </c>
      <c r="H36" s="43" t="str">
        <f t="shared" si="2"/>
        <v>00</v>
      </c>
      <c r="I36" s="44" t="str">
        <f t="shared" si="3"/>
        <v>4</v>
      </c>
      <c r="J36" s="45" t="s">
        <v>38</v>
      </c>
      <c r="K36" s="45" t="s">
        <v>39</v>
      </c>
      <c r="L36" s="45" t="s">
        <v>463</v>
      </c>
      <c r="M36" s="45" t="s">
        <v>56</v>
      </c>
      <c r="N36" s="45"/>
      <c r="O3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A1.01.25</v>
      </c>
      <c r="P36" s="47" t="s">
        <v>472</v>
      </c>
      <c r="Q36" s="47" t="s">
        <v>59</v>
      </c>
      <c r="R36" s="59"/>
      <c r="S36" s="59"/>
      <c r="T36" s="58" t="str">
        <f>IF(Table681620[[#This Row],[LEVEL]]="5",Table681620[[#This Row],[L5]],
IF(Table681620[[#This Row],[LEVEL]]="4",Table681620[[#This Row],[L4]],
IF(Table681620[[#This Row],[LEVEL]]="3",Table681620[[#This Row],[L3]],
IF(Table681620[[#This Row],[LEVEL]]="2",Table681620[[#This Row],[L2]],
IF(Table681620[[#This Row],[LEVEL]]="1",Table681620[[#This Row],[L1]],"")))))</f>
        <v>Cost Controller / Estimator</v>
      </c>
      <c r="U36" s="47" t="s">
        <v>43</v>
      </c>
      <c r="V36" s="59" t="s">
        <v>44</v>
      </c>
      <c r="W36" s="72"/>
      <c r="X36" s="61"/>
      <c r="Y36" s="62">
        <f>Table681620[[#This Row],[Qty]]*Table681620[[#This Row],[Rate]]</f>
        <v>0</v>
      </c>
      <c r="Z36" s="51"/>
      <c r="AA36" s="63" t="s">
        <v>2355</v>
      </c>
      <c r="AB36" s="64" t="s">
        <v>2356</v>
      </c>
      <c r="AC36" s="7"/>
      <c r="AD36" s="60"/>
      <c r="AE36" s="57"/>
      <c r="AF36" s="7"/>
      <c r="AG36" s="60"/>
      <c r="AH36" s="57"/>
      <c r="AI36" s="7"/>
      <c r="AJ36" s="60"/>
      <c r="AK36" s="57"/>
    </row>
    <row r="37" spans="1:37" x14ac:dyDescent="0.3">
      <c r="A37" s="43" t="str">
        <f>INDEX(Table_Numbering[L1],MATCH(Table681620[[#This Row],[L1]],Table_Numbering[L1 Description (Cost Area)],0))</f>
        <v>A</v>
      </c>
      <c r="B37" s="43" t="str">
        <f>IFERROR(INDEX(Table_Numbering[L2],MATCH(Table681620[[#This Row],[L2]],Table_Numbering[L2 Description (Area)],0)),"0")</f>
        <v>1</v>
      </c>
      <c r="C37" s="43" t="str">
        <f>IFERROR(INDEX(Table_Numbering[L3],MATCH(Table681620[[#This Row],[L3]],Table_Numbering[L3 Description (Sub Area)],0)),"0")</f>
        <v>01</v>
      </c>
      <c r="D37" s="43" t="str">
        <f>Table681620[[#This Row],[N1]]&amp;Table681620[[#This Row],[N2]]&amp;Table681620[[#This Row],[N3]]</f>
        <v>A101</v>
      </c>
      <c r="E37" s="43" t="str">
        <f>TEXT(COUNTIF(C$7:C35,Table681620[[#This Row],[N3]]),"00")</f>
        <v>26</v>
      </c>
      <c r="F37" s="43">
        <f>COUNTIFS(J$7:J37,J37,K$7:K37,K37,L$7:L37,L37,M$7:M37,M37)</f>
        <v>1</v>
      </c>
      <c r="G37" s="43" t="str">
        <f>TEXT(COUNTIFS(A$7:A37,A37,B$7:B37,B37,E$7:E37,E37,F$7:F37,1),"00")</f>
        <v>01</v>
      </c>
      <c r="H37" s="43" t="str">
        <f t="shared" si="2"/>
        <v>00</v>
      </c>
      <c r="I37" s="44" t="str">
        <f t="shared" si="3"/>
        <v>4</v>
      </c>
      <c r="J37" s="45" t="s">
        <v>38</v>
      </c>
      <c r="K37" s="45" t="s">
        <v>39</v>
      </c>
      <c r="L37" s="45" t="s">
        <v>463</v>
      </c>
      <c r="M37" s="45" t="s">
        <v>58</v>
      </c>
      <c r="N37" s="45"/>
      <c r="O3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A1.01.26</v>
      </c>
      <c r="P37" s="47" t="s">
        <v>472</v>
      </c>
      <c r="Q37" s="47" t="s">
        <v>59</v>
      </c>
      <c r="R37" s="59"/>
      <c r="S37" s="59"/>
      <c r="T37" s="58" t="str">
        <f>IF(Table681620[[#This Row],[LEVEL]]="5",Table681620[[#This Row],[L5]],
IF(Table681620[[#This Row],[LEVEL]]="4",Table681620[[#This Row],[L4]],
IF(Table681620[[#This Row],[LEVEL]]="3",Table681620[[#This Row],[L3]],
IF(Table681620[[#This Row],[LEVEL]]="2",Table681620[[#This Row],[L2]],
IF(Table681620[[#This Row],[LEVEL]]="1",Table681620[[#This Row],[L1]],"")))))</f>
        <v>Scheduler / Planner</v>
      </c>
      <c r="U37" s="47" t="s">
        <v>43</v>
      </c>
      <c r="V37" s="59" t="s">
        <v>44</v>
      </c>
      <c r="W37" s="72"/>
      <c r="X37" s="61"/>
      <c r="Y37" s="62">
        <f>Table681620[[#This Row],[Qty]]*Table681620[[#This Row],[Rate]]</f>
        <v>0</v>
      </c>
      <c r="Z37" s="51"/>
      <c r="AA37" s="63" t="s">
        <v>2355</v>
      </c>
      <c r="AB37" s="64" t="s">
        <v>2356</v>
      </c>
      <c r="AC37" s="7"/>
      <c r="AD37" s="60"/>
      <c r="AE37" s="57"/>
      <c r="AF37" s="7"/>
      <c r="AG37" s="60"/>
      <c r="AH37" s="57"/>
      <c r="AI37" s="7"/>
      <c r="AJ37" s="60"/>
      <c r="AK37" s="57"/>
    </row>
    <row r="38" spans="1:37" x14ac:dyDescent="0.3">
      <c r="A38" s="43" t="str">
        <f>INDEX(Table_Numbering[L1],MATCH(Table681620[[#This Row],[L1]],Table_Numbering[L1 Description (Cost Area)],0))</f>
        <v>A</v>
      </c>
      <c r="B38" s="43" t="str">
        <f>IFERROR(INDEX(Table_Numbering[L2],MATCH(Table681620[[#This Row],[L2]],Table_Numbering[L2 Description (Area)],0)),"0")</f>
        <v>1</v>
      </c>
      <c r="C38" s="43" t="str">
        <f>IFERROR(INDEX(Table_Numbering[L3],MATCH(Table681620[[#This Row],[L3]],Table_Numbering[L3 Description (Sub Area)],0)),"0")</f>
        <v>01</v>
      </c>
      <c r="D38" s="43" t="str">
        <f>Table681620[[#This Row],[N1]]&amp;Table681620[[#This Row],[N2]]&amp;Table681620[[#This Row],[N3]]</f>
        <v>A101</v>
      </c>
      <c r="E38" s="43" t="str">
        <f>TEXT(COUNTIF(C$7:C36,Table681620[[#This Row],[N3]]),"00")</f>
        <v>27</v>
      </c>
      <c r="F38" s="43">
        <f>COUNTIFS(J$7:J38,J38,K$7:K38,K38,L$7:L38,L38,M$7:M38,M38)</f>
        <v>1</v>
      </c>
      <c r="G38" s="43" t="str">
        <f>TEXT(COUNTIFS(A$7:A38,A38,B$7:B38,B38,E$7:E38,E38,F$7:F38,1),"00")</f>
        <v>01</v>
      </c>
      <c r="H38" s="43" t="str">
        <f t="shared" si="2"/>
        <v>00</v>
      </c>
      <c r="I38" s="44" t="str">
        <f t="shared" si="3"/>
        <v>4</v>
      </c>
      <c r="J38" s="45" t="s">
        <v>38</v>
      </c>
      <c r="K38" s="45" t="s">
        <v>39</v>
      </c>
      <c r="L38" s="45" t="s">
        <v>463</v>
      </c>
      <c r="M38" s="45" t="s">
        <v>182</v>
      </c>
      <c r="N38" s="45"/>
      <c r="O3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A1.01.27</v>
      </c>
      <c r="P38" s="47" t="s">
        <v>472</v>
      </c>
      <c r="Q38" s="47" t="s">
        <v>59</v>
      </c>
      <c r="R38" s="59"/>
      <c r="S38" s="59"/>
      <c r="T38" s="58" t="str">
        <f>IF(Table681620[[#This Row],[LEVEL]]="5",Table681620[[#This Row],[L5]],
IF(Table681620[[#This Row],[LEVEL]]="4",Table681620[[#This Row],[L4]],
IF(Table681620[[#This Row],[LEVEL]]="3",Table681620[[#This Row],[L3]],
IF(Table681620[[#This Row],[LEVEL]]="2",Table681620[[#This Row],[L2]],
IF(Table681620[[#This Row],[LEVEL]]="1",Table681620[[#This Row],[L1]],"")))))</f>
        <v>Project Administrator</v>
      </c>
      <c r="U38" s="47" t="s">
        <v>43</v>
      </c>
      <c r="V38" s="59" t="s">
        <v>44</v>
      </c>
      <c r="W38" s="72"/>
      <c r="X38" s="61"/>
      <c r="Y38" s="62">
        <f>Table681620[[#This Row],[Qty]]*Table681620[[#This Row],[Rate]]</f>
        <v>0</v>
      </c>
      <c r="Z38" s="51"/>
      <c r="AA38" s="63" t="s">
        <v>2355</v>
      </c>
      <c r="AB38" s="64" t="s">
        <v>2356</v>
      </c>
      <c r="AC38" s="7"/>
      <c r="AD38" s="60"/>
      <c r="AE38" s="57"/>
      <c r="AF38" s="7"/>
      <c r="AG38" s="60"/>
      <c r="AH38" s="57"/>
      <c r="AI38" s="7"/>
      <c r="AJ38" s="60"/>
      <c r="AK38" s="57"/>
    </row>
    <row r="39" spans="1:37" x14ac:dyDescent="0.3">
      <c r="A39" s="43" t="str">
        <f>INDEX(Table_Numbering[L1],MATCH(Table681620[[#This Row],[L1]],Table_Numbering[L1 Description (Cost Area)],0))</f>
        <v>A</v>
      </c>
      <c r="B39" s="43" t="str">
        <f>IFERROR(INDEX(Table_Numbering[L2],MATCH(Table681620[[#This Row],[L2]],Table_Numbering[L2 Description (Area)],0)),"0")</f>
        <v>1</v>
      </c>
      <c r="C39" s="43" t="str">
        <f>IFERROR(INDEX(Table_Numbering[L3],MATCH(Table681620[[#This Row],[L3]],Table_Numbering[L3 Description (Sub Area)],0)),"0")</f>
        <v>02</v>
      </c>
      <c r="D39" s="43" t="str">
        <f>Table681620[[#This Row],[N1]]&amp;Table681620[[#This Row],[N2]]&amp;Table681620[[#This Row],[N3]]</f>
        <v>A102</v>
      </c>
      <c r="E39" s="43" t="str">
        <f>TEXT(COUNTIF(C$7:C37,Table681620[[#This Row],[N3]]),"00")</f>
        <v>00</v>
      </c>
      <c r="F39" s="43">
        <f>COUNTIFS(J$7:J39,J39,K$7:K39,K39,L$7:L39,L39,M$7:M39,M39)</f>
        <v>0</v>
      </c>
      <c r="G39" s="43" t="str">
        <f>TEXT(COUNTIFS(A$7:A39,A39,B$7:B39,B39,E$7:E39,E39,F$7:F39,1),"00")</f>
        <v>01</v>
      </c>
      <c r="H39" s="43" t="str">
        <f t="shared" si="2"/>
        <v>00</v>
      </c>
      <c r="I39" s="44" t="str">
        <f t="shared" si="3"/>
        <v>3</v>
      </c>
      <c r="J39" s="45" t="s">
        <v>38</v>
      </c>
      <c r="K39" s="45" t="s">
        <v>39</v>
      </c>
      <c r="L39" s="45" t="s">
        <v>173</v>
      </c>
      <c r="M39" s="45"/>
      <c r="N39" s="45"/>
      <c r="O39"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A1.02</v>
      </c>
      <c r="P39" s="47"/>
      <c r="Q39" s="59"/>
      <c r="R39" s="59"/>
      <c r="S39" s="59"/>
      <c r="T39" s="68" t="str">
        <f>IF(Table681620[[#This Row],[LEVEL]]="5",Table681620[[#This Row],[L5]],
IF(Table681620[[#This Row],[LEVEL]]="4",Table681620[[#This Row],[L4]],
IF(Table681620[[#This Row],[LEVEL]]="3",Table681620[[#This Row],[L3]],
IF(Table681620[[#This Row],[LEVEL]]="2",Table681620[[#This Row],[L2]],
IF(Table681620[[#This Row],[LEVEL]]="1",Table681620[[#This Row],[L1]],"")))))</f>
        <v>HSE</v>
      </c>
      <c r="U39" s="47"/>
      <c r="V39" s="59"/>
      <c r="W39" s="60"/>
      <c r="X39" s="61"/>
      <c r="Y39" s="50">
        <f>SUBTOTAL(9,Y40:Y46)</f>
        <v>0</v>
      </c>
      <c r="Z39" s="51"/>
      <c r="AA39" s="63"/>
      <c r="AB39" s="64"/>
      <c r="AC39" s="7"/>
      <c r="AD39" s="60"/>
      <c r="AE39" s="50"/>
      <c r="AF39" s="7"/>
      <c r="AG39" s="60"/>
      <c r="AH39" s="50"/>
      <c r="AI39" s="7"/>
      <c r="AJ39" s="60"/>
      <c r="AK39" s="50"/>
    </row>
    <row r="40" spans="1:37" x14ac:dyDescent="0.3">
      <c r="A40" s="43" t="str">
        <f>INDEX(Table_Numbering[L1],MATCH(Table681620[[#This Row],[L1]],Table_Numbering[L1 Description (Cost Area)],0))</f>
        <v>A</v>
      </c>
      <c r="B40" s="43" t="str">
        <f>IFERROR(INDEX(Table_Numbering[L2],MATCH(Table681620[[#This Row],[L2]],Table_Numbering[L2 Description (Area)],0)),"0")</f>
        <v>1</v>
      </c>
      <c r="C40" s="43" t="str">
        <f>IFERROR(INDEX(Table_Numbering[L3],MATCH(Table681620[[#This Row],[L3]],Table_Numbering[L3 Description (Sub Area)],0)),"0")</f>
        <v>02</v>
      </c>
      <c r="D40" s="43" t="str">
        <f>Table681620[[#This Row],[N1]]&amp;Table681620[[#This Row],[N2]]&amp;Table681620[[#This Row],[N3]]</f>
        <v>A102</v>
      </c>
      <c r="E40" s="43" t="str">
        <f>TEXT(COUNTIF(C$7:C38,Table681620[[#This Row],[N3]]),"00")</f>
        <v>00</v>
      </c>
      <c r="F40" s="43">
        <f>COUNTIFS(J$7:J40,J40,K$7:K40,K40,L$7:L40,L40,M$7:M40,M40)</f>
        <v>1</v>
      </c>
      <c r="G40" s="43" t="str">
        <f>TEXT(COUNTIFS(A$7:A40,A40,B$7:B40,B40,E$7:E40,E40,F$7:F40,1),"00")</f>
        <v>02</v>
      </c>
      <c r="H40" s="43" t="str">
        <f t="shared" si="2"/>
        <v>00</v>
      </c>
      <c r="I40" s="44" t="str">
        <f t="shared" si="3"/>
        <v>4</v>
      </c>
      <c r="J40" s="45" t="s">
        <v>38</v>
      </c>
      <c r="K40" s="45" t="s">
        <v>39</v>
      </c>
      <c r="L40" s="45" t="s">
        <v>173</v>
      </c>
      <c r="M40" s="45" t="s">
        <v>60</v>
      </c>
      <c r="N40" s="45"/>
      <c r="O40"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A1.02.00</v>
      </c>
      <c r="P40" s="47" t="s">
        <v>474</v>
      </c>
      <c r="Q40" s="59" t="s">
        <v>61</v>
      </c>
      <c r="R40" s="59"/>
      <c r="S40" s="59" t="s">
        <v>1566</v>
      </c>
      <c r="T40" s="66" t="str">
        <f>IF(Table681620[[#This Row],[LEVEL]]="5",Table681620[[#This Row],[L5]],
IF(Table681620[[#This Row],[LEVEL]]="4",Table681620[[#This Row],[L4]],
IF(Table681620[[#This Row],[LEVEL]]="3",Table681620[[#This Row],[L3]],
IF(Table681620[[#This Row],[LEVEL]]="2",Table681620[[#This Row],[L2]],
IF(Table681620[[#This Row],[LEVEL]]="1",Table681620[[#This Row],[L1]],"")))))</f>
        <v>WHS Management System</v>
      </c>
      <c r="U40" s="47" t="s">
        <v>62</v>
      </c>
      <c r="V40" s="59" t="s">
        <v>44</v>
      </c>
      <c r="W40" s="60">
        <v>1</v>
      </c>
      <c r="X40" s="61"/>
      <c r="Y40" s="62">
        <f>Table681620[[#This Row],[Qty]]*Table681620[[#This Row],[Rate]]</f>
        <v>0</v>
      </c>
      <c r="Z40" s="51"/>
      <c r="AA40" s="63" t="s">
        <v>2357</v>
      </c>
      <c r="AB40" s="64" t="s">
        <v>2358</v>
      </c>
      <c r="AC40" s="7"/>
      <c r="AD40" s="60"/>
      <c r="AE40" s="67"/>
      <c r="AF40" s="7"/>
      <c r="AG40" s="60"/>
      <c r="AH40" s="67"/>
      <c r="AI40" s="7"/>
      <c r="AJ40" s="60"/>
      <c r="AK40" s="67"/>
    </row>
    <row r="41" spans="1:37" x14ac:dyDescent="0.3">
      <c r="A41" s="43" t="str">
        <f>INDEX(Table_Numbering[L1],MATCH(Table681620[[#This Row],[L1]],Table_Numbering[L1 Description (Cost Area)],0))</f>
        <v>A</v>
      </c>
      <c r="B41" s="43" t="str">
        <f>IFERROR(INDEX(Table_Numbering[L2],MATCH(Table681620[[#This Row],[L2]],Table_Numbering[L2 Description (Area)],0)),"0")</f>
        <v>1</v>
      </c>
      <c r="C41" s="43" t="str">
        <f>IFERROR(INDEX(Table_Numbering[L3],MATCH(Table681620[[#This Row],[L3]],Table_Numbering[L3 Description (Sub Area)],0)),"0")</f>
        <v>02</v>
      </c>
      <c r="D41" s="43" t="str">
        <f>Table681620[[#This Row],[N1]]&amp;Table681620[[#This Row],[N2]]&amp;Table681620[[#This Row],[N3]]</f>
        <v>A102</v>
      </c>
      <c r="E41" s="43" t="str">
        <f>TEXT(COUNTIF(C$7:C39,Table681620[[#This Row],[N3]]),"00")</f>
        <v>01</v>
      </c>
      <c r="F41" s="43">
        <f>COUNTIFS(J$7:J41,J41,K$7:K41,K41,L$7:L41,L41,M$7:M41,M41)</f>
        <v>1</v>
      </c>
      <c r="G41" s="43" t="str">
        <f>TEXT(COUNTIFS(A$7:A41,A41,B$7:B41,B41,E$7:E41,E41,F$7:F41,1),"00")</f>
        <v>02</v>
      </c>
      <c r="H41" s="43" t="str">
        <f t="shared" si="2"/>
        <v>00</v>
      </c>
      <c r="I41" s="44" t="str">
        <f t="shared" si="3"/>
        <v>4</v>
      </c>
      <c r="J41" s="45" t="s">
        <v>38</v>
      </c>
      <c r="K41" s="45" t="s">
        <v>39</v>
      </c>
      <c r="L41" s="45" t="s">
        <v>173</v>
      </c>
      <c r="M41" s="45" t="s">
        <v>65</v>
      </c>
      <c r="N41" s="45"/>
      <c r="O41"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A1.02.01</v>
      </c>
      <c r="P41" s="47" t="s">
        <v>475</v>
      </c>
      <c r="Q41" s="59" t="s">
        <v>66</v>
      </c>
      <c r="R41" s="59"/>
      <c r="S41" s="59" t="s">
        <v>1567</v>
      </c>
      <c r="T41" s="66" t="str">
        <f>IF(Table681620[[#This Row],[LEVEL]]="5",Table681620[[#This Row],[L5]],
IF(Table681620[[#This Row],[LEVEL]]="4",Table681620[[#This Row],[L4]],
IF(Table681620[[#This Row],[LEVEL]]="3",Table681620[[#This Row],[L3]],
IF(Table681620[[#This Row],[LEVEL]]="2",Table681620[[#This Row],[L2]],
IF(Table681620[[#This Row],[LEVEL]]="1",Table681620[[#This Row],[L1]],"")))))</f>
        <v>Permits and Controls</v>
      </c>
      <c r="U41" s="47" t="s">
        <v>62</v>
      </c>
      <c r="V41" s="59" t="s">
        <v>44</v>
      </c>
      <c r="W41" s="60">
        <v>1</v>
      </c>
      <c r="X41" s="61"/>
      <c r="Y41" s="62">
        <f>Table681620[[#This Row],[Qty]]*Table681620[[#This Row],[Rate]]</f>
        <v>0</v>
      </c>
      <c r="Z41" s="51"/>
      <c r="AA41" s="63" t="s">
        <v>45</v>
      </c>
      <c r="AB41" s="64" t="s">
        <v>476</v>
      </c>
      <c r="AC41" s="7"/>
      <c r="AD41" s="60"/>
      <c r="AE41" s="67"/>
      <c r="AF41" s="7"/>
      <c r="AG41" s="60"/>
      <c r="AH41" s="67"/>
      <c r="AI41" s="7"/>
      <c r="AJ41" s="60"/>
      <c r="AK41" s="67"/>
    </row>
    <row r="42" spans="1:37" x14ac:dyDescent="0.3">
      <c r="A42" s="43" t="str">
        <f>INDEX(Table_Numbering[L1],MATCH(Table681620[[#This Row],[L1]],Table_Numbering[L1 Description (Cost Area)],0))</f>
        <v>A</v>
      </c>
      <c r="B42" s="43" t="str">
        <f>IFERROR(INDEX(Table_Numbering[L2],MATCH(Table681620[[#This Row],[L2]],Table_Numbering[L2 Description (Area)],0)),"0")</f>
        <v>1</v>
      </c>
      <c r="C42" s="43" t="str">
        <f>IFERROR(INDEX(Table_Numbering[L3],MATCH(Table681620[[#This Row],[L3]],Table_Numbering[L3 Description (Sub Area)],0)),"0")</f>
        <v>02</v>
      </c>
      <c r="D42" s="43" t="str">
        <f>Table681620[[#This Row],[N1]]&amp;Table681620[[#This Row],[N2]]&amp;Table681620[[#This Row],[N3]]</f>
        <v>A102</v>
      </c>
      <c r="E42" s="43" t="str">
        <f>TEXT(COUNTIF(C$7:C40,Table681620[[#This Row],[N3]]),"00")</f>
        <v>02</v>
      </c>
      <c r="F42" s="43">
        <f>COUNTIFS(J$7:J42,J42,K$7:K42,K42,L$7:L42,L42,M$7:M42,M42)</f>
        <v>1</v>
      </c>
      <c r="G42" s="43" t="str">
        <f>TEXT(COUNTIFS(A$7:A42,A42,B$7:B42,B42,E$7:E42,E42,F$7:F42,1),"00")</f>
        <v>02</v>
      </c>
      <c r="H42" s="43" t="str">
        <f t="shared" si="2"/>
        <v>00</v>
      </c>
      <c r="I42" s="44" t="str">
        <f t="shared" si="3"/>
        <v>4</v>
      </c>
      <c r="J42" s="45" t="s">
        <v>38</v>
      </c>
      <c r="K42" s="45" t="s">
        <v>39</v>
      </c>
      <c r="L42" s="45" t="s">
        <v>173</v>
      </c>
      <c r="M42" s="45" t="s">
        <v>67</v>
      </c>
      <c r="N42" s="45"/>
      <c r="O42"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A1.02.02</v>
      </c>
      <c r="P42" s="59" t="s">
        <v>477</v>
      </c>
      <c r="Q42" s="59" t="s">
        <v>68</v>
      </c>
      <c r="R42" s="59"/>
      <c r="S42" s="59" t="s">
        <v>1568</v>
      </c>
      <c r="T42" s="66" t="str">
        <f>IF(Table681620[[#This Row],[LEVEL]]="5",Table681620[[#This Row],[L5]],
IF(Table681620[[#This Row],[LEVEL]]="4",Table681620[[#This Row],[L4]],
IF(Table681620[[#This Row],[LEVEL]]="3",Table681620[[#This Row],[L3]],
IF(Table681620[[#This Row],[LEVEL]]="2",Table681620[[#This Row],[L2]],
IF(Table681620[[#This Row],[LEVEL]]="1",Table681620[[#This Row],[L1]],"")))))</f>
        <v>Environmental Management</v>
      </c>
      <c r="U42" s="47" t="s">
        <v>62</v>
      </c>
      <c r="V42" s="59" t="s">
        <v>44</v>
      </c>
      <c r="W42" s="60">
        <v>1</v>
      </c>
      <c r="X42" s="61"/>
      <c r="Y42" s="62">
        <f>Table681620[[#This Row],[Qty]]*Table681620[[#This Row],[Rate]]</f>
        <v>0</v>
      </c>
      <c r="Z42" s="51"/>
      <c r="AA42" s="63" t="s">
        <v>63</v>
      </c>
      <c r="AB42" s="64" t="s">
        <v>69</v>
      </c>
      <c r="AC42" s="7"/>
      <c r="AD42" s="60"/>
      <c r="AE42" s="57"/>
      <c r="AF42" s="7"/>
      <c r="AG42" s="60"/>
      <c r="AH42" s="57"/>
      <c r="AI42" s="7"/>
      <c r="AJ42" s="60"/>
      <c r="AK42" s="57"/>
    </row>
    <row r="43" spans="1:37" x14ac:dyDescent="0.3">
      <c r="A43" s="43" t="str">
        <f>INDEX(Table_Numbering[L1],MATCH(Table681620[[#This Row],[L1]],Table_Numbering[L1 Description (Cost Area)],0))</f>
        <v>A</v>
      </c>
      <c r="B43" s="43" t="str">
        <f>IFERROR(INDEX(Table_Numbering[L2],MATCH(Table681620[[#This Row],[L2]],Table_Numbering[L2 Description (Area)],0)),"0")</f>
        <v>1</v>
      </c>
      <c r="C43" s="43" t="str">
        <f>IFERROR(INDEX(Table_Numbering[L3],MATCH(Table681620[[#This Row],[L3]],Table_Numbering[L3 Description (Sub Area)],0)),"0")</f>
        <v>02</v>
      </c>
      <c r="D43" s="43" t="str">
        <f>Table681620[[#This Row],[N1]]&amp;Table681620[[#This Row],[N2]]&amp;Table681620[[#This Row],[N3]]</f>
        <v>A102</v>
      </c>
      <c r="E43" s="43" t="str">
        <f>TEXT(COUNTIF(C$7:C41,Table681620[[#This Row],[N3]]),"00")</f>
        <v>03</v>
      </c>
      <c r="F43" s="43">
        <f>COUNTIFS(J$7:J43,J43,K$7:K43,K43,L$7:L43,L43,M$7:M43,M43)</f>
        <v>1</v>
      </c>
      <c r="G43" s="43" t="str">
        <f>TEXT(COUNTIFS(A$7:A43,A43,B$7:B43,B43,E$7:E43,E43,F$7:F43,1),"00")</f>
        <v>02</v>
      </c>
      <c r="H43" s="43" t="str">
        <f t="shared" si="2"/>
        <v>00</v>
      </c>
      <c r="I43" s="44" t="str">
        <f t="shared" si="3"/>
        <v>4</v>
      </c>
      <c r="J43" s="45" t="s">
        <v>38</v>
      </c>
      <c r="K43" s="45" t="s">
        <v>39</v>
      </c>
      <c r="L43" s="45" t="s">
        <v>173</v>
      </c>
      <c r="M43" s="45" t="s">
        <v>70</v>
      </c>
      <c r="N43" s="45"/>
      <c r="O43"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A1.02.03</v>
      </c>
      <c r="P43" s="59" t="s">
        <v>478</v>
      </c>
      <c r="Q43" s="59" t="s">
        <v>68</v>
      </c>
      <c r="R43" s="59"/>
      <c r="S43" s="59" t="s">
        <v>1569</v>
      </c>
      <c r="T43" s="66" t="str">
        <f>IF(Table681620[[#This Row],[LEVEL]]="5",Table681620[[#This Row],[L5]],
IF(Table681620[[#This Row],[LEVEL]]="4",Table681620[[#This Row],[L4]],
IF(Table681620[[#This Row],[LEVEL]]="3",Table681620[[#This Row],[L3]],
IF(Table681620[[#This Row],[LEVEL]]="2",Table681620[[#This Row],[L2]],
IF(Table681620[[#This Row],[LEVEL]]="1",Table681620[[#This Row],[L1]],"")))))</f>
        <v>SWMS Development &amp; Approvals</v>
      </c>
      <c r="U43" s="59" t="s">
        <v>62</v>
      </c>
      <c r="V43" s="59" t="s">
        <v>44</v>
      </c>
      <c r="W43" s="60">
        <v>1</v>
      </c>
      <c r="X43" s="69"/>
      <c r="Y43" s="62">
        <f>Table681620[[#This Row],[Qty]]*Table681620[[#This Row],[Rate]]</f>
        <v>0</v>
      </c>
      <c r="Z43" s="51"/>
      <c r="AA43" s="63" t="s">
        <v>466</v>
      </c>
      <c r="AB43" s="64" t="s">
        <v>467</v>
      </c>
      <c r="AC43" s="7"/>
      <c r="AD43" s="60"/>
      <c r="AE43" s="67"/>
      <c r="AF43" s="7"/>
      <c r="AG43" s="60"/>
      <c r="AH43" s="67"/>
      <c r="AI43" s="7"/>
      <c r="AJ43" s="60"/>
      <c r="AK43" s="67"/>
    </row>
    <row r="44" spans="1:37" x14ac:dyDescent="0.3">
      <c r="A44" s="43" t="str">
        <f>INDEX(Table_Numbering[L1],MATCH(Table681620[[#This Row],[L1]],Table_Numbering[L1 Description (Cost Area)],0))</f>
        <v>A</v>
      </c>
      <c r="B44" s="43" t="str">
        <f>IFERROR(INDEX(Table_Numbering[L2],MATCH(Table681620[[#This Row],[L2]],Table_Numbering[L2 Description (Area)],0)),"0")</f>
        <v>1</v>
      </c>
      <c r="C44" s="43" t="str">
        <f>IFERROR(INDEX(Table_Numbering[L3],MATCH(Table681620[[#This Row],[L3]],Table_Numbering[L3 Description (Sub Area)],0)),"0")</f>
        <v>02</v>
      </c>
      <c r="D44" s="43" t="str">
        <f>Table681620[[#This Row],[N1]]&amp;Table681620[[#This Row],[N2]]&amp;Table681620[[#This Row],[N3]]</f>
        <v>A102</v>
      </c>
      <c r="E44" s="43" t="str">
        <f>TEXT(COUNTIF(C$7:C42,Table681620[[#This Row],[N3]]),"00")</f>
        <v>04</v>
      </c>
      <c r="F44" s="43">
        <f>COUNTIFS(J$7:J44,J44,K$7:K44,K44,L$7:L44,L44,M$7:M44,M44)</f>
        <v>1</v>
      </c>
      <c r="G44" s="43" t="str">
        <f>TEXT(COUNTIFS(A$7:A44,A44,B$7:B44,B44,E$7:E44,E44,F$7:F44,1),"00")</f>
        <v>02</v>
      </c>
      <c r="H44" s="43" t="str">
        <f t="shared" si="2"/>
        <v>00</v>
      </c>
      <c r="I44" s="44" t="str">
        <f t="shared" si="3"/>
        <v>4</v>
      </c>
      <c r="J44" s="45" t="s">
        <v>38</v>
      </c>
      <c r="K44" s="45" t="s">
        <v>39</v>
      </c>
      <c r="L44" s="45" t="s">
        <v>173</v>
      </c>
      <c r="M44" s="45" t="s">
        <v>71</v>
      </c>
      <c r="N44" s="45"/>
      <c r="O44"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A1.02.04</v>
      </c>
      <c r="P44" s="59" t="s">
        <v>478</v>
      </c>
      <c r="Q44" s="59" t="s">
        <v>72</v>
      </c>
      <c r="R44" s="59"/>
      <c r="S44" s="59" t="s">
        <v>1570</v>
      </c>
      <c r="T44" s="66" t="str">
        <f>IF(Table681620[[#This Row],[LEVEL]]="5",Table681620[[#This Row],[L5]],
IF(Table681620[[#This Row],[LEVEL]]="4",Table681620[[#This Row],[L4]],
IF(Table681620[[#This Row],[LEVEL]]="3",Table681620[[#This Row],[L3]],
IF(Table681620[[#This Row],[LEVEL]]="2",Table681620[[#This Row],[L2]],
IF(Table681620[[#This Row],[LEVEL]]="1",Table681620[[#This Row],[L1]],"")))))</f>
        <v>Site Inductions &amp; Competency Verification</v>
      </c>
      <c r="U44" s="59" t="s">
        <v>62</v>
      </c>
      <c r="V44" s="59" t="s">
        <v>44</v>
      </c>
      <c r="W44" s="60">
        <v>1</v>
      </c>
      <c r="X44" s="69"/>
      <c r="Y44" s="62">
        <f>Table681620[[#This Row],[Qty]]*Table681620[[#This Row],[Rate]]</f>
        <v>0</v>
      </c>
      <c r="Z44" s="51"/>
      <c r="AA44" s="63" t="s">
        <v>45</v>
      </c>
      <c r="AB44" s="64" t="s">
        <v>479</v>
      </c>
      <c r="AC44" s="7"/>
      <c r="AD44" s="60"/>
      <c r="AE44" s="67"/>
      <c r="AF44" s="7"/>
      <c r="AG44" s="60"/>
      <c r="AH44" s="67"/>
      <c r="AI44" s="7"/>
      <c r="AJ44" s="60"/>
      <c r="AK44" s="67"/>
    </row>
    <row r="45" spans="1:37" x14ac:dyDescent="0.3">
      <c r="A45" s="43" t="str">
        <f>INDEX(Table_Numbering[L1],MATCH(Table681620[[#This Row],[L1]],Table_Numbering[L1 Description (Cost Area)],0))</f>
        <v>A</v>
      </c>
      <c r="B45" s="43" t="str">
        <f>IFERROR(INDEX(Table_Numbering[L2],MATCH(Table681620[[#This Row],[L2]],Table_Numbering[L2 Description (Area)],0)),"0")</f>
        <v>1</v>
      </c>
      <c r="C45" s="43" t="str">
        <f>IFERROR(INDEX(Table_Numbering[L3],MATCH(Table681620[[#This Row],[L3]],Table_Numbering[L3 Description (Sub Area)],0)),"0")</f>
        <v>02</v>
      </c>
      <c r="D45" s="43" t="str">
        <f>Table681620[[#This Row],[N1]]&amp;Table681620[[#This Row],[N2]]&amp;Table681620[[#This Row],[N3]]</f>
        <v>A102</v>
      </c>
      <c r="E45" s="43" t="str">
        <f>TEXT(COUNTIF(C$7:C43,Table681620[[#This Row],[N3]]),"00")</f>
        <v>05</v>
      </c>
      <c r="F45" s="43">
        <f>COUNTIFS(J$7:J45,J45,K$7:K45,K45,L$7:L45,L45,M$7:M45,M45)</f>
        <v>1</v>
      </c>
      <c r="G45" s="43" t="str">
        <f>TEXT(COUNTIFS(A$7:A45,A45,B$7:B45,B45,E$7:E45,E45,F$7:F45,1),"00")</f>
        <v>02</v>
      </c>
      <c r="H45" s="43" t="str">
        <f t="shared" si="2"/>
        <v>00</v>
      </c>
      <c r="I45" s="44" t="str">
        <f t="shared" si="3"/>
        <v>4</v>
      </c>
      <c r="J45" s="45" t="s">
        <v>38</v>
      </c>
      <c r="K45" s="45" t="s">
        <v>39</v>
      </c>
      <c r="L45" s="45" t="s">
        <v>173</v>
      </c>
      <c r="M45" s="45" t="s">
        <v>73</v>
      </c>
      <c r="N45" s="45"/>
      <c r="O45"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A1.02.05</v>
      </c>
      <c r="P45" s="59" t="s">
        <v>480</v>
      </c>
      <c r="Q45" s="59" t="s">
        <v>74</v>
      </c>
      <c r="R45" s="59"/>
      <c r="S45" s="59" t="s">
        <v>1571</v>
      </c>
      <c r="T45" s="66" t="str">
        <f>IF(Table681620[[#This Row],[LEVEL]]="5",Table681620[[#This Row],[L5]],
IF(Table681620[[#This Row],[LEVEL]]="4",Table681620[[#This Row],[L4]],
IF(Table681620[[#This Row],[LEVEL]]="3",Table681620[[#This Row],[L3]],
IF(Table681620[[#This Row],[LEVEL]]="2",Table681620[[#This Row],[L2]],
IF(Table681620[[#This Row],[LEVEL]]="1",Table681620[[#This Row],[L1]],"")))))</f>
        <v>Incident Management &amp; Reporting</v>
      </c>
      <c r="U45" s="59" t="s">
        <v>62</v>
      </c>
      <c r="V45" s="59" t="s">
        <v>44</v>
      </c>
      <c r="W45" s="60">
        <v>1</v>
      </c>
      <c r="X45" s="69"/>
      <c r="Y45" s="62">
        <f>Table681620[[#This Row],[Qty]]*Table681620[[#This Row],[Rate]]</f>
        <v>0</v>
      </c>
      <c r="Z45" s="51"/>
      <c r="AA45" s="63" t="s">
        <v>45</v>
      </c>
      <c r="AB45" s="64" t="s">
        <v>481</v>
      </c>
      <c r="AC45" s="7"/>
      <c r="AD45" s="60"/>
      <c r="AE45" s="67"/>
      <c r="AF45" s="7"/>
      <c r="AG45" s="60"/>
      <c r="AH45" s="67"/>
      <c r="AI45" s="7"/>
      <c r="AJ45" s="60"/>
      <c r="AK45" s="67"/>
    </row>
    <row r="46" spans="1:37" x14ac:dyDescent="0.3">
      <c r="A46" s="43" t="str">
        <f>INDEX(Table_Numbering[L1],MATCH(Table681620[[#This Row],[L1]],Table_Numbering[L1 Description (Cost Area)],0))</f>
        <v>A</v>
      </c>
      <c r="B46" s="43" t="str">
        <f>IFERROR(INDEX(Table_Numbering[L2],MATCH(Table681620[[#This Row],[L2]],Table_Numbering[L2 Description (Area)],0)),"0")</f>
        <v>1</v>
      </c>
      <c r="C46" s="43" t="str">
        <f>IFERROR(INDEX(Table_Numbering[L3],MATCH(Table681620[[#This Row],[L3]],Table_Numbering[L3 Description (Sub Area)],0)),"0")</f>
        <v>02</v>
      </c>
      <c r="D46" s="43" t="str">
        <f>Table681620[[#This Row],[N1]]&amp;Table681620[[#This Row],[N2]]&amp;Table681620[[#This Row],[N3]]</f>
        <v>A102</v>
      </c>
      <c r="E46" s="43" t="str">
        <f>TEXT(COUNTIF(C$7:C44,Table681620[[#This Row],[N3]]),"00")</f>
        <v>06</v>
      </c>
      <c r="F46" s="43">
        <f>COUNTIFS(J$7:J46,J46,K$7:K46,K46,L$7:L46,L46,M$7:M46,M46)</f>
        <v>1</v>
      </c>
      <c r="G46" s="43" t="str">
        <f>TEXT(COUNTIFS(A$7:A46,A46,B$7:B46,B46,E$7:E46,E46,F$7:F46,1),"00")</f>
        <v>02</v>
      </c>
      <c r="H46" s="43" t="str">
        <f t="shared" si="2"/>
        <v>00</v>
      </c>
      <c r="I46" s="44" t="str">
        <f t="shared" si="3"/>
        <v>4</v>
      </c>
      <c r="J46" s="45" t="s">
        <v>38</v>
      </c>
      <c r="K46" s="45" t="s">
        <v>39</v>
      </c>
      <c r="L46" s="45" t="s">
        <v>173</v>
      </c>
      <c r="M46" s="45" t="s">
        <v>75</v>
      </c>
      <c r="N46" s="45"/>
      <c r="O4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A1.02.06</v>
      </c>
      <c r="P46" s="59" t="s">
        <v>482</v>
      </c>
      <c r="Q46" s="59" t="s">
        <v>76</v>
      </c>
      <c r="R46" s="59"/>
      <c r="S46" s="59" t="s">
        <v>1572</v>
      </c>
      <c r="T46" s="58" t="str">
        <f>IF(Table681620[[#This Row],[LEVEL]]="5",Table681620[[#This Row],[L5]],
IF(Table681620[[#This Row],[LEVEL]]="4",Table681620[[#This Row],[L4]],
IF(Table681620[[#This Row],[LEVEL]]="3",Table681620[[#This Row],[L3]],
IF(Table681620[[#This Row],[LEVEL]]="2",Table681620[[#This Row],[L2]],
IF(Table681620[[#This Row],[LEVEL]]="1",Table681620[[#This Row],[L1]],"")))))</f>
        <v>Traffic Management Plan &amp; Implementation</v>
      </c>
      <c r="U46" s="59" t="s">
        <v>62</v>
      </c>
      <c r="V46" s="59" t="s">
        <v>44</v>
      </c>
      <c r="W46" s="60">
        <v>1</v>
      </c>
      <c r="X46" s="49"/>
      <c r="Y46" s="62">
        <f>Table681620[[#This Row],[Qty]]*Table681620[[#This Row],[Rate]]</f>
        <v>0</v>
      </c>
      <c r="Z46" s="51"/>
      <c r="AA46" s="63" t="s">
        <v>63</v>
      </c>
      <c r="AB46" s="64" t="s">
        <v>483</v>
      </c>
      <c r="AC46" s="7"/>
      <c r="AD46" s="56"/>
      <c r="AE46" s="67"/>
      <c r="AF46" s="7"/>
      <c r="AG46" s="56"/>
      <c r="AH46" s="67"/>
      <c r="AI46" s="7"/>
      <c r="AJ46" s="56"/>
      <c r="AK46" s="67"/>
    </row>
    <row r="47" spans="1:37" x14ac:dyDescent="0.3">
      <c r="A47" s="43" t="str">
        <f>INDEX(Table_Numbering[L1],MATCH(Table681620[[#This Row],[L1]],Table_Numbering[L1 Description (Cost Area)],0))</f>
        <v>A</v>
      </c>
      <c r="B47" s="43" t="str">
        <f>IFERROR(INDEX(Table_Numbering[L2],MATCH(Table681620[[#This Row],[L2]],Table_Numbering[L2 Description (Area)],0)),"0")</f>
        <v>1</v>
      </c>
      <c r="C47" s="43" t="str">
        <f>IFERROR(INDEX(Table_Numbering[L3],MATCH(Table681620[[#This Row],[L3]],Table_Numbering[L3 Description (Sub Area)],0)),"0")</f>
        <v>03</v>
      </c>
      <c r="D47" s="43" t="str">
        <f>Table681620[[#This Row],[N1]]&amp;Table681620[[#This Row],[N2]]&amp;Table681620[[#This Row],[N3]]</f>
        <v>A103</v>
      </c>
      <c r="E47" s="43" t="str">
        <f>TEXT(COUNTIF(C$7:C45,Table681620[[#This Row],[N3]]),"00")</f>
        <v>00</v>
      </c>
      <c r="F47" s="43">
        <f>COUNTIFS(J$7:J47,J47,K$7:K47,K47,L$7:L47,L47,M$7:M47,M47)</f>
        <v>0</v>
      </c>
      <c r="G47" s="43" t="str">
        <f>TEXT(COUNTIFS(A$7:A47,A47,B$7:B47,B47,E$7:E47,E47,F$7:F47,1),"00")</f>
        <v>02</v>
      </c>
      <c r="H47" s="43" t="str">
        <f t="shared" si="2"/>
        <v>00</v>
      </c>
      <c r="I47" s="44" t="str">
        <f t="shared" si="3"/>
        <v>3</v>
      </c>
      <c r="J47" s="45" t="s">
        <v>38</v>
      </c>
      <c r="K47" s="45" t="s">
        <v>39</v>
      </c>
      <c r="L47" s="45" t="s">
        <v>484</v>
      </c>
      <c r="M47" s="45"/>
      <c r="N47" s="45"/>
      <c r="O4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A1.03</v>
      </c>
      <c r="P47" s="59"/>
      <c r="Q47" s="59"/>
      <c r="R47" s="59"/>
      <c r="S47" s="59"/>
      <c r="T47" s="55" t="str">
        <f>IF(Table681620[[#This Row],[LEVEL]]="5",Table681620[[#This Row],[L5]],
IF(Table681620[[#This Row],[LEVEL]]="4",Table681620[[#This Row],[L4]],
IF(Table681620[[#This Row],[LEVEL]]="3",Table681620[[#This Row],[L3]],
IF(Table681620[[#This Row],[LEVEL]]="2",Table681620[[#This Row],[L2]],
IF(Table681620[[#This Row],[LEVEL]]="1",Table681620[[#This Row],[L1]],"")))))</f>
        <v>QUALITY</v>
      </c>
      <c r="U47" s="59"/>
      <c r="V47" s="59"/>
      <c r="W47" s="60"/>
      <c r="X47" s="49"/>
      <c r="Y47" s="50">
        <f>SUBTOTAL(9,Y48:Y52)</f>
        <v>0</v>
      </c>
      <c r="Z47" s="51"/>
      <c r="AA47" s="63"/>
      <c r="AB47" s="64"/>
      <c r="AC47" s="7"/>
      <c r="AD47" s="49"/>
      <c r="AE47" s="67"/>
      <c r="AF47" s="7"/>
      <c r="AG47" s="49"/>
      <c r="AH47" s="67"/>
      <c r="AI47" s="7"/>
      <c r="AJ47" s="49"/>
      <c r="AK47" s="67"/>
    </row>
    <row r="48" spans="1:37" x14ac:dyDescent="0.3">
      <c r="A48" s="43" t="str">
        <f>INDEX(Table_Numbering[L1],MATCH(Table681620[[#This Row],[L1]],Table_Numbering[L1 Description (Cost Area)],0))</f>
        <v>A</v>
      </c>
      <c r="B48" s="43" t="str">
        <f>IFERROR(INDEX(Table_Numbering[L2],MATCH(Table681620[[#This Row],[L2]],Table_Numbering[L2 Description (Area)],0)),"0")</f>
        <v>1</v>
      </c>
      <c r="C48" s="43" t="str">
        <f>IFERROR(INDEX(Table_Numbering[L3],MATCH(Table681620[[#This Row],[L3]],Table_Numbering[L3 Description (Sub Area)],0)),"0")</f>
        <v>03</v>
      </c>
      <c r="D48" s="43" t="str">
        <f>Table681620[[#This Row],[N1]]&amp;Table681620[[#This Row],[N2]]&amp;Table681620[[#This Row],[N3]]</f>
        <v>A103</v>
      </c>
      <c r="E48" s="43" t="str">
        <f>TEXT(COUNTIF(C$7:C46,Table681620[[#This Row],[N3]]),"00")</f>
        <v>00</v>
      </c>
      <c r="F48" s="43">
        <f>COUNTIFS(J$7:J48,J48,K$7:K48,K48,L$7:L48,L48,M$7:M48,M48)</f>
        <v>1</v>
      </c>
      <c r="G48" s="43" t="str">
        <f>TEXT(COUNTIFS(A$7:A48,A48,B$7:B48,B48,E$7:E48,E48,F$7:F48,1),"00")</f>
        <v>03</v>
      </c>
      <c r="H48" s="43" t="str">
        <f t="shared" si="2"/>
        <v>00</v>
      </c>
      <c r="I48" s="44" t="str">
        <f t="shared" si="3"/>
        <v>4</v>
      </c>
      <c r="J48" s="45" t="s">
        <v>38</v>
      </c>
      <c r="K48" s="45" t="s">
        <v>39</v>
      </c>
      <c r="L48" s="45" t="s">
        <v>484</v>
      </c>
      <c r="M48" s="45" t="s">
        <v>77</v>
      </c>
      <c r="N48" s="45"/>
      <c r="O4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A1.03.00</v>
      </c>
      <c r="P48" s="59" t="s">
        <v>486</v>
      </c>
      <c r="Q48" s="59" t="s">
        <v>78</v>
      </c>
      <c r="R48" s="59"/>
      <c r="S48" s="59" t="s">
        <v>1573</v>
      </c>
      <c r="T48" s="58" t="str">
        <f>IF(Table681620[[#This Row],[LEVEL]]="5",Table681620[[#This Row],[L5]],
IF(Table681620[[#This Row],[LEVEL]]="4",Table681620[[#This Row],[L4]],
IF(Table681620[[#This Row],[LEVEL]]="3",Table681620[[#This Row],[L3]],
IF(Table681620[[#This Row],[LEVEL]]="2",Table681620[[#This Row],[L2]],
IF(Table681620[[#This Row],[LEVEL]]="1",Table681620[[#This Row],[L1]],"")))))</f>
        <v>Quality Management Plan (QMP)</v>
      </c>
      <c r="U48" s="59" t="s">
        <v>62</v>
      </c>
      <c r="V48" s="59" t="s">
        <v>44</v>
      </c>
      <c r="W48" s="60">
        <v>1</v>
      </c>
      <c r="X48" s="49"/>
      <c r="Y48" s="62">
        <f>Table681620[[#This Row],[Qty]]*Table681620[[#This Row],[Rate]]</f>
        <v>0</v>
      </c>
      <c r="Z48" s="51"/>
      <c r="AA48" s="63" t="s">
        <v>79</v>
      </c>
      <c r="AB48" s="64" t="s">
        <v>487</v>
      </c>
      <c r="AC48" s="7"/>
      <c r="AD48" s="56"/>
      <c r="AE48" s="67"/>
      <c r="AF48" s="7"/>
      <c r="AG48" s="56"/>
      <c r="AH48" s="67"/>
      <c r="AI48" s="7"/>
      <c r="AJ48" s="56"/>
      <c r="AK48" s="67"/>
    </row>
    <row r="49" spans="1:37" x14ac:dyDescent="0.3">
      <c r="A49" s="43" t="str">
        <f>INDEX(Table_Numbering[L1],MATCH(Table681620[[#This Row],[L1]],Table_Numbering[L1 Description (Cost Area)],0))</f>
        <v>A</v>
      </c>
      <c r="B49" s="43" t="str">
        <f>IFERROR(INDEX(Table_Numbering[L2],MATCH(Table681620[[#This Row],[L2]],Table_Numbering[L2 Description (Area)],0)),"0")</f>
        <v>1</v>
      </c>
      <c r="C49" s="43" t="str">
        <f>IFERROR(INDEX(Table_Numbering[L3],MATCH(Table681620[[#This Row],[L3]],Table_Numbering[L3 Description (Sub Area)],0)),"0")</f>
        <v>03</v>
      </c>
      <c r="D49" s="43" t="str">
        <f>Table681620[[#This Row],[N1]]&amp;Table681620[[#This Row],[N2]]&amp;Table681620[[#This Row],[N3]]</f>
        <v>A103</v>
      </c>
      <c r="E49" s="43" t="str">
        <f>TEXT(COUNTIF(C$7:C47,Table681620[[#This Row],[N3]]),"00")</f>
        <v>01</v>
      </c>
      <c r="F49" s="43">
        <f>COUNTIFS(J$7:J49,J49,K$7:K49,K49,L$7:L49,L49,M$7:M49,M49)</f>
        <v>1</v>
      </c>
      <c r="G49" s="43" t="str">
        <f>TEXT(COUNTIFS(A$7:A49,A49,B$7:B49,B49,E$7:E49,E49,F$7:F49,1),"00")</f>
        <v>03</v>
      </c>
      <c r="H49" s="43" t="str">
        <f t="shared" si="2"/>
        <v>00</v>
      </c>
      <c r="I49" s="44" t="str">
        <f t="shared" si="3"/>
        <v>4</v>
      </c>
      <c r="J49" s="45" t="s">
        <v>38</v>
      </c>
      <c r="K49" s="45" t="s">
        <v>39</v>
      </c>
      <c r="L49" s="45" t="s">
        <v>484</v>
      </c>
      <c r="M49" s="45" t="s">
        <v>80</v>
      </c>
      <c r="N49" s="45"/>
      <c r="O49"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A1.03.01</v>
      </c>
      <c r="P49" s="59" t="s">
        <v>81</v>
      </c>
      <c r="Q49" s="59" t="s">
        <v>82</v>
      </c>
      <c r="R49" s="59"/>
      <c r="S49" s="59" t="s">
        <v>1574</v>
      </c>
      <c r="T49" s="66" t="str">
        <f>IF(Table681620[[#This Row],[LEVEL]]="5",Table681620[[#This Row],[L5]],
IF(Table681620[[#This Row],[LEVEL]]="4",Table681620[[#This Row],[L4]],
IF(Table681620[[#This Row],[LEVEL]]="3",Table681620[[#This Row],[L3]],
IF(Table681620[[#This Row],[LEVEL]]="2",Table681620[[#This Row],[L2]],
IF(Table681620[[#This Row],[LEVEL]]="1",Table681620[[#This Row],[L1]],"")))))</f>
        <v>Inspection &amp; Test Plans (ITPs)</v>
      </c>
      <c r="U49" s="59" t="s">
        <v>62</v>
      </c>
      <c r="V49" s="59" t="s">
        <v>44</v>
      </c>
      <c r="W49" s="60">
        <v>1</v>
      </c>
      <c r="X49" s="60"/>
      <c r="Y49" s="62">
        <f>Table681620[[#This Row],[Qty]]*Table681620[[#This Row],[Rate]]</f>
        <v>0</v>
      </c>
      <c r="Z49" s="51"/>
      <c r="AA49" s="63" t="s">
        <v>488</v>
      </c>
      <c r="AB49" s="64" t="s">
        <v>83</v>
      </c>
      <c r="AC49" s="7"/>
      <c r="AD49" s="49"/>
      <c r="AE49" s="67"/>
      <c r="AF49" s="7"/>
      <c r="AG49" s="49"/>
      <c r="AH49" s="67"/>
      <c r="AI49" s="7"/>
      <c r="AJ49" s="49"/>
      <c r="AK49" s="67"/>
    </row>
    <row r="50" spans="1:37" x14ac:dyDescent="0.3">
      <c r="A50" s="43" t="str">
        <f>INDEX(Table_Numbering[L1],MATCH(Table681620[[#This Row],[L1]],Table_Numbering[L1 Description (Cost Area)],0))</f>
        <v>A</v>
      </c>
      <c r="B50" s="43" t="str">
        <f>IFERROR(INDEX(Table_Numbering[L2],MATCH(Table681620[[#This Row],[L2]],Table_Numbering[L2 Description (Area)],0)),"0")</f>
        <v>1</v>
      </c>
      <c r="C50" s="43" t="str">
        <f>IFERROR(INDEX(Table_Numbering[L3],MATCH(Table681620[[#This Row],[L3]],Table_Numbering[L3 Description (Sub Area)],0)),"0")</f>
        <v>03</v>
      </c>
      <c r="D50" s="43" t="str">
        <f>Table681620[[#This Row],[N1]]&amp;Table681620[[#This Row],[N2]]&amp;Table681620[[#This Row],[N3]]</f>
        <v>A103</v>
      </c>
      <c r="E50" s="43" t="str">
        <f>TEXT(COUNTIF(C$7:C48,Table681620[[#This Row],[N3]]),"00")</f>
        <v>02</v>
      </c>
      <c r="F50" s="43">
        <f>COUNTIFS(J$7:J50,J50,K$7:K50,K50,L$7:L50,L50,M$7:M50,M50)</f>
        <v>1</v>
      </c>
      <c r="G50" s="43" t="str">
        <f>TEXT(COUNTIFS(A$7:A50,A50,B$7:B50,B50,E$7:E50,E50,F$7:F50,1),"00")</f>
        <v>03</v>
      </c>
      <c r="H50" s="43" t="str">
        <f t="shared" si="2"/>
        <v>00</v>
      </c>
      <c r="I50" s="44" t="str">
        <f t="shared" si="3"/>
        <v>4</v>
      </c>
      <c r="J50" s="45" t="s">
        <v>38</v>
      </c>
      <c r="K50" s="45" t="s">
        <v>39</v>
      </c>
      <c r="L50" s="45" t="s">
        <v>484</v>
      </c>
      <c r="M50" s="45" t="s">
        <v>84</v>
      </c>
      <c r="N50" s="45"/>
      <c r="O50"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A1.03.02</v>
      </c>
      <c r="P50" s="59" t="s">
        <v>85</v>
      </c>
      <c r="Q50" s="59" t="s">
        <v>86</v>
      </c>
      <c r="R50" s="59"/>
      <c r="S50" s="59" t="s">
        <v>1575</v>
      </c>
      <c r="T50" s="66" t="str">
        <f>IF(Table681620[[#This Row],[LEVEL]]="5",Table681620[[#This Row],[L5]],
IF(Table681620[[#This Row],[LEVEL]]="4",Table681620[[#This Row],[L4]],
IF(Table681620[[#This Row],[LEVEL]]="3",Table681620[[#This Row],[L3]],
IF(Table681620[[#This Row],[LEVEL]]="2",Table681620[[#This Row],[L2]],
IF(Table681620[[#This Row],[LEVEL]]="1",Table681620[[#This Row],[L1]],"")))))</f>
        <v>Non-Conformance &amp; Corrective Actions</v>
      </c>
      <c r="U50" s="59" t="s">
        <v>62</v>
      </c>
      <c r="V50" s="59" t="s">
        <v>44</v>
      </c>
      <c r="W50" s="49">
        <v>1</v>
      </c>
      <c r="X50" s="60"/>
      <c r="Y50" s="62">
        <f>Table681620[[#This Row],[Qty]]*Table681620[[#This Row],[Rate]]</f>
        <v>0</v>
      </c>
      <c r="Z50" s="51"/>
      <c r="AA50" s="63" t="s">
        <v>45</v>
      </c>
      <c r="AB50" s="64" t="s">
        <v>489</v>
      </c>
      <c r="AC50" s="7"/>
      <c r="AD50" s="56"/>
      <c r="AE50" s="67"/>
      <c r="AF50" s="7"/>
      <c r="AG50" s="56"/>
      <c r="AH50" s="67"/>
      <c r="AI50" s="7"/>
      <c r="AJ50" s="56"/>
      <c r="AK50" s="67"/>
    </row>
    <row r="51" spans="1:37" x14ac:dyDescent="0.3">
      <c r="A51" s="43" t="str">
        <f>INDEX(Table_Numbering[L1],MATCH(Table681620[[#This Row],[L1]],Table_Numbering[L1 Description (Cost Area)],0))</f>
        <v>A</v>
      </c>
      <c r="B51" s="43" t="str">
        <f>IFERROR(INDEX(Table_Numbering[L2],MATCH(Table681620[[#This Row],[L2]],Table_Numbering[L2 Description (Area)],0)),"0")</f>
        <v>1</v>
      </c>
      <c r="C51" s="43" t="str">
        <f>IFERROR(INDEX(Table_Numbering[L3],MATCH(Table681620[[#This Row],[L3]],Table_Numbering[L3 Description (Sub Area)],0)),"0")</f>
        <v>03</v>
      </c>
      <c r="D51" s="43" t="str">
        <f>Table681620[[#This Row],[N1]]&amp;Table681620[[#This Row],[N2]]&amp;Table681620[[#This Row],[N3]]</f>
        <v>A103</v>
      </c>
      <c r="E51" s="43" t="str">
        <f>TEXT(COUNTIF(C$7:C49,Table681620[[#This Row],[N3]]),"00")</f>
        <v>03</v>
      </c>
      <c r="F51" s="43">
        <f>COUNTIFS(J$7:J51,J51,K$7:K51,K51,L$7:L51,L51,M$7:M51,M51)</f>
        <v>1</v>
      </c>
      <c r="G51" s="43" t="str">
        <f>TEXT(COUNTIFS(A$7:A51,A51,B$7:B51,B51,E$7:E51,E51,F$7:F51,1),"00")</f>
        <v>03</v>
      </c>
      <c r="H51" s="43" t="str">
        <f t="shared" si="2"/>
        <v>00</v>
      </c>
      <c r="I51" s="44" t="str">
        <f t="shared" si="3"/>
        <v>4</v>
      </c>
      <c r="J51" s="45" t="s">
        <v>38</v>
      </c>
      <c r="K51" s="45" t="s">
        <v>39</v>
      </c>
      <c r="L51" s="45" t="s">
        <v>484</v>
      </c>
      <c r="M51" s="45" t="s">
        <v>87</v>
      </c>
      <c r="N51" s="45"/>
      <c r="O51"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A1.03.03</v>
      </c>
      <c r="P51" s="59" t="s">
        <v>88</v>
      </c>
      <c r="Q51" s="59" t="s">
        <v>89</v>
      </c>
      <c r="R51" s="59"/>
      <c r="S51" s="59" t="s">
        <v>1576</v>
      </c>
      <c r="T51" s="66" t="str">
        <f>IF(Table681620[[#This Row],[LEVEL]]="5",Table681620[[#This Row],[L5]],
IF(Table681620[[#This Row],[LEVEL]]="4",Table681620[[#This Row],[L4]],
IF(Table681620[[#This Row],[LEVEL]]="3",Table681620[[#This Row],[L3]],
IF(Table681620[[#This Row],[LEVEL]]="2",Table681620[[#This Row],[L2]],
IF(Table681620[[#This Row],[LEVEL]]="1",Table681620[[#This Row],[L1]],"")))))</f>
        <v>Witness &amp; Hold Point Inspections</v>
      </c>
      <c r="U51" s="59" t="s">
        <v>62</v>
      </c>
      <c r="V51" s="59" t="s">
        <v>44</v>
      </c>
      <c r="W51" s="60">
        <v>1</v>
      </c>
      <c r="X51" s="49"/>
      <c r="Y51" s="62">
        <f>Table681620[[#This Row],[Qty]]*Table681620[[#This Row],[Rate]]</f>
        <v>0</v>
      </c>
      <c r="Z51" s="51"/>
      <c r="AA51" s="63" t="s">
        <v>490</v>
      </c>
      <c r="AB51" s="64" t="s">
        <v>491</v>
      </c>
      <c r="AC51" s="7"/>
      <c r="AD51" s="49"/>
      <c r="AE51" s="67"/>
      <c r="AF51" s="7"/>
      <c r="AG51" s="49"/>
      <c r="AH51" s="67"/>
      <c r="AI51" s="7"/>
      <c r="AJ51" s="49"/>
      <c r="AK51" s="67"/>
    </row>
    <row r="52" spans="1:37" x14ac:dyDescent="0.3">
      <c r="A52" s="43" t="str">
        <f>INDEX(Table_Numbering[L1],MATCH(Table681620[[#This Row],[L1]],Table_Numbering[L1 Description (Cost Area)],0))</f>
        <v>A</v>
      </c>
      <c r="B52" s="43" t="str">
        <f>IFERROR(INDEX(Table_Numbering[L2],MATCH(Table681620[[#This Row],[L2]],Table_Numbering[L2 Description (Area)],0)),"0")</f>
        <v>1</v>
      </c>
      <c r="C52" s="43" t="str">
        <f>IFERROR(INDEX(Table_Numbering[L3],MATCH(Table681620[[#This Row],[L3]],Table_Numbering[L3 Description (Sub Area)],0)),"0")</f>
        <v>03</v>
      </c>
      <c r="D52" s="43" t="str">
        <f>Table681620[[#This Row],[N1]]&amp;Table681620[[#This Row],[N2]]&amp;Table681620[[#This Row],[N3]]</f>
        <v>A103</v>
      </c>
      <c r="E52" s="43" t="str">
        <f>TEXT(COUNTIF(C$7:C50,Table681620[[#This Row],[N3]]),"00")</f>
        <v>04</v>
      </c>
      <c r="F52" s="43">
        <f>COUNTIFS(J$7:J52,J52,K$7:K52,K52,L$7:L52,L52,M$7:M52,M52)</f>
        <v>1</v>
      </c>
      <c r="G52" s="43" t="str">
        <f>TEXT(COUNTIFS(A$7:A52,A52,B$7:B52,B52,E$7:E52,E52,F$7:F52,1),"00")</f>
        <v>03</v>
      </c>
      <c r="H52" s="43" t="str">
        <f t="shared" si="2"/>
        <v>00</v>
      </c>
      <c r="I52" s="44" t="str">
        <f t="shared" si="3"/>
        <v>4</v>
      </c>
      <c r="J52" s="45" t="s">
        <v>38</v>
      </c>
      <c r="K52" s="45" t="s">
        <v>39</v>
      </c>
      <c r="L52" s="45" t="s">
        <v>484</v>
      </c>
      <c r="M52" s="45" t="s">
        <v>91</v>
      </c>
      <c r="N52" s="45"/>
      <c r="O52"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A1.03.04</v>
      </c>
      <c r="P52" s="59" t="s">
        <v>492</v>
      </c>
      <c r="Q52" s="59" t="s">
        <v>92</v>
      </c>
      <c r="R52" s="59"/>
      <c r="S52" s="59" t="s">
        <v>1577</v>
      </c>
      <c r="T52" s="66" t="str">
        <f>IF(Table681620[[#This Row],[LEVEL]]="5",Table681620[[#This Row],[L5]],
IF(Table681620[[#This Row],[LEVEL]]="4",Table681620[[#This Row],[L4]],
IF(Table681620[[#This Row],[LEVEL]]="3",Table681620[[#This Row],[L3]],
IF(Table681620[[#This Row],[LEVEL]]="2",Table681620[[#This Row],[L2]],
IF(Table681620[[#This Row],[LEVEL]]="1",Table681620[[#This Row],[L1]],"")))))</f>
        <v>Manufacturer's Data Records (MDR)</v>
      </c>
      <c r="U52" s="59" t="s">
        <v>62</v>
      </c>
      <c r="V52" s="59" t="s">
        <v>44</v>
      </c>
      <c r="W52" s="60">
        <v>1</v>
      </c>
      <c r="X52" s="49"/>
      <c r="Y52" s="62">
        <f>Table681620[[#This Row],[Qty]]*Table681620[[#This Row],[Rate]]</f>
        <v>0</v>
      </c>
      <c r="Z52" s="51"/>
      <c r="AA52" s="63" t="s">
        <v>79</v>
      </c>
      <c r="AB52" s="64" t="s">
        <v>493</v>
      </c>
      <c r="AC52" s="7"/>
      <c r="AD52" s="56"/>
      <c r="AE52" s="67"/>
      <c r="AF52" s="7"/>
      <c r="AG52" s="56"/>
      <c r="AH52" s="67"/>
      <c r="AI52" s="7"/>
      <c r="AJ52" s="56"/>
      <c r="AK52" s="67"/>
    </row>
    <row r="53" spans="1:37" x14ac:dyDescent="0.3">
      <c r="A53" s="43" t="str">
        <f>INDEX(Table_Numbering[L1],MATCH(Table681620[[#This Row],[L1]],Table_Numbering[L1 Description (Cost Area)],0))</f>
        <v>A</v>
      </c>
      <c r="B53" s="43" t="str">
        <f>IFERROR(INDEX(Table_Numbering[L2],MATCH(Table681620[[#This Row],[L2]],Table_Numbering[L2 Description (Area)],0)),"0")</f>
        <v>1</v>
      </c>
      <c r="C53" s="43" t="str">
        <f>IFERROR(INDEX(Table_Numbering[L3],MATCH(Table681620[[#This Row],[L3]],Table_Numbering[L3 Description (Sub Area)],0)),"0")</f>
        <v>04</v>
      </c>
      <c r="D53" s="43" t="str">
        <f>Table681620[[#This Row],[N1]]&amp;Table681620[[#This Row],[N2]]&amp;Table681620[[#This Row],[N3]]</f>
        <v>A104</v>
      </c>
      <c r="E53" s="43" t="str">
        <f>TEXT(COUNTIF(C$7:C51,Table681620[[#This Row],[N3]]),"00")</f>
        <v>00</v>
      </c>
      <c r="F53" s="43">
        <f>COUNTIFS(J$7:J53,J53,K$7:K53,K53,L$7:L53,L53,M$7:M53,M53)</f>
        <v>0</v>
      </c>
      <c r="G53" s="43" t="str">
        <f>TEXT(COUNTIFS(A$7:A53,A53,B$7:B53,B53,E$7:E53,E53,F$7:F53,1),"00")</f>
        <v>03</v>
      </c>
      <c r="H53" s="43" t="str">
        <f t="shared" si="2"/>
        <v>00</v>
      </c>
      <c r="I53" s="44" t="str">
        <f t="shared" si="3"/>
        <v>3</v>
      </c>
      <c r="J53" s="45" t="s">
        <v>38</v>
      </c>
      <c r="K53" s="45" t="s">
        <v>39</v>
      </c>
      <c r="L53" s="45" t="s">
        <v>494</v>
      </c>
      <c r="M53" s="45"/>
      <c r="N53" s="45"/>
      <c r="O53"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A1.04</v>
      </c>
      <c r="P53" s="59"/>
      <c r="Q53" s="59"/>
      <c r="R53" s="59"/>
      <c r="S53" s="59"/>
      <c r="T53" s="68" t="str">
        <f>IF(Table681620[[#This Row],[LEVEL]]="5",Table681620[[#This Row],[L5]],
IF(Table681620[[#This Row],[LEVEL]]="4",Table681620[[#This Row],[L4]],
IF(Table681620[[#This Row],[LEVEL]]="3",Table681620[[#This Row],[L3]],
IF(Table681620[[#This Row],[LEVEL]]="2",Table681620[[#This Row],[L2]],
IF(Table681620[[#This Row],[LEVEL]]="1",Table681620[[#This Row],[L1]],"")))))</f>
        <v>DESIGN</v>
      </c>
      <c r="U53" s="59"/>
      <c r="V53" s="59"/>
      <c r="W53" s="60"/>
      <c r="X53" s="60"/>
      <c r="Y53" s="50">
        <f>SUBTOTAL(9,Y54:Y56)</f>
        <v>0</v>
      </c>
      <c r="Z53" s="51"/>
      <c r="AA53" s="63"/>
      <c r="AB53" s="64"/>
      <c r="AC53" s="7"/>
      <c r="AD53" s="49"/>
      <c r="AE53" s="67"/>
      <c r="AF53" s="7"/>
      <c r="AG53" s="49"/>
      <c r="AH53" s="67"/>
      <c r="AI53" s="7"/>
      <c r="AJ53" s="49"/>
      <c r="AK53" s="67"/>
    </row>
    <row r="54" spans="1:37" x14ac:dyDescent="0.3">
      <c r="A54" s="43" t="str">
        <f>INDEX(Table_Numbering[L1],MATCH(Table681620[[#This Row],[L1]],Table_Numbering[L1 Description (Cost Area)],0))</f>
        <v>A</v>
      </c>
      <c r="B54" s="43" t="str">
        <f>IFERROR(INDEX(Table_Numbering[L2],MATCH(Table681620[[#This Row],[L2]],Table_Numbering[L2 Description (Area)],0)),"0")</f>
        <v>1</v>
      </c>
      <c r="C54" s="43" t="str">
        <f>IFERROR(INDEX(Table_Numbering[L3],MATCH(Table681620[[#This Row],[L3]],Table_Numbering[L3 Description (Sub Area)],0)),"0")</f>
        <v>04</v>
      </c>
      <c r="D54" s="43" t="str">
        <f>Table681620[[#This Row],[N1]]&amp;Table681620[[#This Row],[N2]]&amp;Table681620[[#This Row],[N3]]</f>
        <v>A104</v>
      </c>
      <c r="E54" s="43" t="str">
        <f>TEXT(COUNTIF(C$7:C52,Table681620[[#This Row],[N3]]),"00")</f>
        <v>00</v>
      </c>
      <c r="F54" s="43">
        <f>COUNTIFS(J$7:J54,J54,K$7:K54,K54,L$7:L54,L54,M$7:M54,M54)</f>
        <v>1</v>
      </c>
      <c r="G54" s="43" t="str">
        <f>TEXT(COUNTIFS(A$7:A54,A54,B$7:B54,B54,E$7:E54,E54,F$7:F54,1),"00")</f>
        <v>04</v>
      </c>
      <c r="H54" s="43" t="str">
        <f t="shared" si="2"/>
        <v>00</v>
      </c>
      <c r="I54" s="44" t="str">
        <f t="shared" si="3"/>
        <v>4</v>
      </c>
      <c r="J54" s="45" t="s">
        <v>38</v>
      </c>
      <c r="K54" s="45" t="s">
        <v>39</v>
      </c>
      <c r="L54" s="45" t="s">
        <v>494</v>
      </c>
      <c r="M54" s="45" t="s">
        <v>93</v>
      </c>
      <c r="N54" s="45"/>
      <c r="O54"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A1.04.00</v>
      </c>
      <c r="P54" s="59" t="s">
        <v>94</v>
      </c>
      <c r="Q54" s="59" t="s">
        <v>95</v>
      </c>
      <c r="R54" s="59"/>
      <c r="S54" s="59" t="s">
        <v>1578</v>
      </c>
      <c r="T54" s="66" t="str">
        <f>IF(Table681620[[#This Row],[LEVEL]]="5",Table681620[[#This Row],[L5]],
IF(Table681620[[#This Row],[LEVEL]]="4",Table681620[[#This Row],[L4]],
IF(Table681620[[#This Row],[LEVEL]]="3",Table681620[[#This Row],[L3]],
IF(Table681620[[#This Row],[LEVEL]]="2",Table681620[[#This Row],[L2]],
IF(Table681620[[#This Row],[LEVEL]]="1",Table681620[[#This Row],[L1]],"")))))</f>
        <v>Design Management and Coordination</v>
      </c>
      <c r="U54" s="59" t="s">
        <v>62</v>
      </c>
      <c r="V54" s="59" t="s">
        <v>44</v>
      </c>
      <c r="W54" s="60">
        <v>1</v>
      </c>
      <c r="X54" s="60"/>
      <c r="Y54" s="62">
        <f>Table681620[[#This Row],[Qty]]*Table681620[[#This Row],[Rate]]</f>
        <v>0</v>
      </c>
      <c r="Z54" s="51"/>
      <c r="AA54" s="63" t="s">
        <v>79</v>
      </c>
      <c r="AB54" s="64" t="s">
        <v>496</v>
      </c>
      <c r="AC54" s="7"/>
      <c r="AD54" s="56"/>
      <c r="AE54" s="67"/>
      <c r="AF54" s="7"/>
      <c r="AG54" s="56"/>
      <c r="AH54" s="67"/>
      <c r="AI54" s="7"/>
      <c r="AJ54" s="56"/>
      <c r="AK54" s="67"/>
    </row>
    <row r="55" spans="1:37" x14ac:dyDescent="0.3">
      <c r="A55" s="43" t="str">
        <f>INDEX(Table_Numbering[L1],MATCH(Table681620[[#This Row],[L1]],Table_Numbering[L1 Description (Cost Area)],0))</f>
        <v>A</v>
      </c>
      <c r="B55" s="43" t="str">
        <f>IFERROR(INDEX(Table_Numbering[L2],MATCH(Table681620[[#This Row],[L2]],Table_Numbering[L2 Description (Area)],0)),"0")</f>
        <v>1</v>
      </c>
      <c r="C55" s="43" t="str">
        <f>IFERROR(INDEX(Table_Numbering[L3],MATCH(Table681620[[#This Row],[L3]],Table_Numbering[L3 Description (Sub Area)],0)),"0")</f>
        <v>04</v>
      </c>
      <c r="D55" s="43" t="str">
        <f>Table681620[[#This Row],[N1]]&amp;Table681620[[#This Row],[N2]]&amp;Table681620[[#This Row],[N3]]</f>
        <v>A104</v>
      </c>
      <c r="E55" s="43" t="str">
        <f>TEXT(COUNTIF(C$7:C53,Table681620[[#This Row],[N3]]),"00")</f>
        <v>01</v>
      </c>
      <c r="F55" s="43">
        <f>COUNTIFS(J$7:J55,J55,K$7:K55,K55,L$7:L55,L55,M$7:M55,M55)</f>
        <v>1</v>
      </c>
      <c r="G55" s="43" t="str">
        <f>TEXT(COUNTIFS(A$7:A55,A55,B$7:B55,B55,E$7:E55,E55,F$7:F55,1),"00")</f>
        <v>04</v>
      </c>
      <c r="H55" s="43" t="str">
        <f t="shared" si="2"/>
        <v>00</v>
      </c>
      <c r="I55" s="44" t="str">
        <f t="shared" si="3"/>
        <v>4</v>
      </c>
      <c r="J55" s="45" t="s">
        <v>38</v>
      </c>
      <c r="K55" s="45" t="s">
        <v>39</v>
      </c>
      <c r="L55" s="45" t="s">
        <v>494</v>
      </c>
      <c r="M55" s="45" t="s">
        <v>96</v>
      </c>
      <c r="N55" s="45"/>
      <c r="O55"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A1.04.01</v>
      </c>
      <c r="P55" s="59" t="s">
        <v>94</v>
      </c>
      <c r="Q55" s="59" t="s">
        <v>97</v>
      </c>
      <c r="R55" s="59"/>
      <c r="S55" s="59" t="s">
        <v>1579</v>
      </c>
      <c r="T55" s="66" t="str">
        <f>IF(Table681620[[#This Row],[LEVEL]]="5",Table681620[[#This Row],[L5]],
IF(Table681620[[#This Row],[LEVEL]]="4",Table681620[[#This Row],[L4]],
IF(Table681620[[#This Row],[LEVEL]]="3",Table681620[[#This Row],[L3]],
IF(Table681620[[#This Row],[LEVEL]]="2",Table681620[[#This Row],[L2]],
IF(Table681620[[#This Row],[LEVEL]]="1",Table681620[[#This Row],[L1]],"")))))</f>
        <v>Contractor Design Deliverables</v>
      </c>
      <c r="U55" s="59" t="s">
        <v>62</v>
      </c>
      <c r="V55" s="59" t="s">
        <v>44</v>
      </c>
      <c r="W55" s="60">
        <v>1</v>
      </c>
      <c r="X55" s="60"/>
      <c r="Y55" s="62">
        <f>Table681620[[#This Row],[Qty]]*Table681620[[#This Row],[Rate]]</f>
        <v>0</v>
      </c>
      <c r="Z55" s="51"/>
      <c r="AA55" s="63" t="s">
        <v>79</v>
      </c>
      <c r="AB55" s="64" t="s">
        <v>98</v>
      </c>
      <c r="AC55" s="7"/>
      <c r="AD55" s="49"/>
      <c r="AE55" s="67"/>
      <c r="AF55" s="7"/>
      <c r="AG55" s="49"/>
      <c r="AH55" s="67"/>
      <c r="AI55" s="7"/>
      <c r="AJ55" s="49"/>
      <c r="AK55" s="67"/>
    </row>
    <row r="56" spans="1:37" x14ac:dyDescent="0.3">
      <c r="A56" s="43" t="str">
        <f>INDEX(Table_Numbering[L1],MATCH(Table681620[[#This Row],[L1]],Table_Numbering[L1 Description (Cost Area)],0))</f>
        <v>A</v>
      </c>
      <c r="B56" s="43" t="str">
        <f>IFERROR(INDEX(Table_Numbering[L2],MATCH(Table681620[[#This Row],[L2]],Table_Numbering[L2 Description (Area)],0)),"0")</f>
        <v>1</v>
      </c>
      <c r="C56" s="43" t="str">
        <f>IFERROR(INDEX(Table_Numbering[L3],MATCH(Table681620[[#This Row],[L3]],Table_Numbering[L3 Description (Sub Area)],0)),"0")</f>
        <v>04</v>
      </c>
      <c r="D56" s="43" t="str">
        <f>Table681620[[#This Row],[N1]]&amp;Table681620[[#This Row],[N2]]&amp;Table681620[[#This Row],[N3]]</f>
        <v>A104</v>
      </c>
      <c r="E56" s="43" t="str">
        <f>TEXT(COUNTIF(C$7:C54,Table681620[[#This Row],[N3]]),"00")</f>
        <v>02</v>
      </c>
      <c r="F56" s="43">
        <f>COUNTIFS(J$7:J56,J56,K$7:K56,K56,L$7:L56,L56,M$7:M56,M56)</f>
        <v>1</v>
      </c>
      <c r="G56" s="43" t="str">
        <f>TEXT(COUNTIFS(A$7:A56,A56,B$7:B56,B56,E$7:E56,E56,F$7:F56,1),"00")</f>
        <v>04</v>
      </c>
      <c r="H56" s="43" t="str">
        <f t="shared" si="2"/>
        <v>00</v>
      </c>
      <c r="I56" s="44" t="str">
        <f t="shared" si="3"/>
        <v>4</v>
      </c>
      <c r="J56" s="45" t="s">
        <v>38</v>
      </c>
      <c r="K56" s="45" t="s">
        <v>39</v>
      </c>
      <c r="L56" s="45" t="s">
        <v>494</v>
      </c>
      <c r="M56" s="45" t="s">
        <v>99</v>
      </c>
      <c r="N56" s="45"/>
      <c r="O56"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A1.04.02</v>
      </c>
      <c r="P56" s="59" t="s">
        <v>100</v>
      </c>
      <c r="Q56" s="59" t="s">
        <v>101</v>
      </c>
      <c r="R56" s="59"/>
      <c r="S56" s="59" t="s">
        <v>1580</v>
      </c>
      <c r="T56" s="66" t="str">
        <f>IF(Table681620[[#This Row],[LEVEL]]="5",Table681620[[#This Row],[L5]],
IF(Table681620[[#This Row],[LEVEL]]="4",Table681620[[#This Row],[L4]],
IF(Table681620[[#This Row],[LEVEL]]="3",Table681620[[#This Row],[L3]],
IF(Table681620[[#This Row],[LEVEL]]="2",Table681620[[#This Row],[L2]],
IF(Table681620[[#This Row],[LEVEL]]="1",Table681620[[#This Row],[L1]],"")))))</f>
        <v>Shop Drawings - All Disciplines</v>
      </c>
      <c r="U56" s="59" t="s">
        <v>62</v>
      </c>
      <c r="V56" s="59" t="s">
        <v>44</v>
      </c>
      <c r="W56" s="49">
        <v>1</v>
      </c>
      <c r="X56" s="60"/>
      <c r="Y56" s="62">
        <f>Table681620[[#This Row],[Qty]]*Table681620[[#This Row],[Rate]]</f>
        <v>0</v>
      </c>
      <c r="Z56" s="51"/>
      <c r="AA56" s="63" t="s">
        <v>102</v>
      </c>
      <c r="AB56" s="64" t="s">
        <v>497</v>
      </c>
      <c r="AC56" s="7"/>
      <c r="AD56" s="56"/>
      <c r="AE56" s="67"/>
      <c r="AF56" s="7"/>
      <c r="AG56" s="56"/>
      <c r="AH56" s="67"/>
      <c r="AI56" s="7"/>
      <c r="AJ56" s="56"/>
      <c r="AK56" s="67"/>
    </row>
    <row r="57" spans="1:37" x14ac:dyDescent="0.3">
      <c r="A57" s="43" t="str">
        <f>INDEX(Table_Numbering[L1],MATCH(Table681620[[#This Row],[L1]],Table_Numbering[L1 Description (Cost Area)],0))</f>
        <v>A</v>
      </c>
      <c r="B57" s="43" t="str">
        <f>IFERROR(INDEX(Table_Numbering[L2],MATCH(Table681620[[#This Row],[L2]],Table_Numbering[L2 Description (Area)],0)),"0")</f>
        <v>1</v>
      </c>
      <c r="C57" s="43" t="str">
        <f>IFERROR(INDEX(Table_Numbering[L3],MATCH(Table681620[[#This Row],[L3]],Table_Numbering[L3 Description (Sub Area)],0)),"0")</f>
        <v>05</v>
      </c>
      <c r="D57" s="43" t="str">
        <f>Table681620[[#This Row],[N1]]&amp;Table681620[[#This Row],[N2]]&amp;Table681620[[#This Row],[N3]]</f>
        <v>A105</v>
      </c>
      <c r="E57" s="43" t="str">
        <f>TEXT(COUNTIF(C$7:C55,Table681620[[#This Row],[N3]]),"00")</f>
        <v>00</v>
      </c>
      <c r="F57" s="43">
        <f>COUNTIFS(J$7:J57,J57,K$7:K57,K57,L$7:L57,L57,M$7:M57,M57)</f>
        <v>0</v>
      </c>
      <c r="G57" s="43" t="str">
        <f>TEXT(COUNTIFS(A$7:A57,A57,B$7:B57,B57,E$7:E57,E57,F$7:F57,1),"00")</f>
        <v>04</v>
      </c>
      <c r="H57" s="43" t="str">
        <f t="shared" si="2"/>
        <v>00</v>
      </c>
      <c r="I57" s="44" t="str">
        <f t="shared" si="3"/>
        <v>3</v>
      </c>
      <c r="J57" s="45" t="s">
        <v>38</v>
      </c>
      <c r="K57" s="45" t="s">
        <v>39</v>
      </c>
      <c r="L57" s="45" t="s">
        <v>498</v>
      </c>
      <c r="M57" s="45"/>
      <c r="N57" s="45"/>
      <c r="O57"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A1.05</v>
      </c>
      <c r="P57" s="59"/>
      <c r="Q57" s="59"/>
      <c r="R57" s="59"/>
      <c r="S57" s="59"/>
      <c r="T57" s="68" t="str">
        <f>IF(Table681620[[#This Row],[LEVEL]]="5",Table681620[[#This Row],[L5]],
IF(Table681620[[#This Row],[LEVEL]]="4",Table681620[[#This Row],[L4]],
IF(Table681620[[#This Row],[LEVEL]]="3",Table681620[[#This Row],[L3]],
IF(Table681620[[#This Row],[LEVEL]]="2",Table681620[[#This Row],[L2]],
IF(Table681620[[#This Row],[LEVEL]]="1",Table681620[[#This Row],[L1]],"")))))</f>
        <v>APPROVALS</v>
      </c>
      <c r="U57" s="59"/>
      <c r="V57" s="59"/>
      <c r="W57" s="60"/>
      <c r="X57" s="61"/>
      <c r="Y57" s="50">
        <f>SUBTOTAL(9,Y58:Y64)</f>
        <v>0</v>
      </c>
      <c r="Z57" s="51"/>
      <c r="AA57" s="63"/>
      <c r="AB57" s="64"/>
      <c r="AC57" s="7"/>
      <c r="AD57" s="49"/>
      <c r="AE57" s="67"/>
      <c r="AF57" s="7"/>
      <c r="AG57" s="49"/>
      <c r="AH57" s="67"/>
      <c r="AI57" s="7"/>
      <c r="AJ57" s="49"/>
      <c r="AK57" s="67"/>
    </row>
    <row r="58" spans="1:37" x14ac:dyDescent="0.3">
      <c r="A58" s="43" t="str">
        <f>INDEX(Table_Numbering[L1],MATCH(Table681620[[#This Row],[L1]],Table_Numbering[L1 Description (Cost Area)],0))</f>
        <v>A</v>
      </c>
      <c r="B58" s="43" t="str">
        <f>IFERROR(INDEX(Table_Numbering[L2],MATCH(Table681620[[#This Row],[L2]],Table_Numbering[L2 Description (Area)],0)),"0")</f>
        <v>1</v>
      </c>
      <c r="C58" s="43" t="str">
        <f>IFERROR(INDEX(Table_Numbering[L3],MATCH(Table681620[[#This Row],[L3]],Table_Numbering[L3 Description (Sub Area)],0)),"0")</f>
        <v>05</v>
      </c>
      <c r="D58" s="43" t="str">
        <f>Table681620[[#This Row],[N1]]&amp;Table681620[[#This Row],[N2]]&amp;Table681620[[#This Row],[N3]]</f>
        <v>A105</v>
      </c>
      <c r="E58" s="43" t="str">
        <f>TEXT(COUNTIF(C$7:C56,Table681620[[#This Row],[N3]]),"00")</f>
        <v>00</v>
      </c>
      <c r="F58" s="43">
        <f>COUNTIFS(J$7:J58,J58,K$7:K58,K58,L$7:L58,L58,M$7:M58,M58)</f>
        <v>1</v>
      </c>
      <c r="G58" s="43" t="str">
        <f>TEXT(COUNTIFS(A$7:A58,A58,B$7:B58,B58,E$7:E58,E58,F$7:F58,1),"00")</f>
        <v>05</v>
      </c>
      <c r="H58" s="43" t="str">
        <f t="shared" si="2"/>
        <v>00</v>
      </c>
      <c r="I58" s="44" t="str">
        <f t="shared" si="3"/>
        <v>4</v>
      </c>
      <c r="J58" s="45" t="s">
        <v>38</v>
      </c>
      <c r="K58" s="45" t="s">
        <v>39</v>
      </c>
      <c r="L58" s="45" t="s">
        <v>498</v>
      </c>
      <c r="M58" s="45" t="s">
        <v>103</v>
      </c>
      <c r="N58" s="45"/>
      <c r="O58"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A1.05.00</v>
      </c>
      <c r="P58" s="59" t="s">
        <v>500</v>
      </c>
      <c r="Q58" s="59" t="s">
        <v>104</v>
      </c>
      <c r="R58" s="59"/>
      <c r="S58" s="59" t="s">
        <v>1581</v>
      </c>
      <c r="T58" s="66" t="str">
        <f>IF(Table681620[[#This Row],[LEVEL]]="5",Table681620[[#This Row],[L5]],
IF(Table681620[[#This Row],[LEVEL]]="4",Table681620[[#This Row],[L4]],
IF(Table681620[[#This Row],[LEVEL]]="3",Table681620[[#This Row],[L3]],
IF(Table681620[[#This Row],[LEVEL]]="2",Table681620[[#This Row],[L2]],
IF(Table681620[[#This Row],[LEVEL]]="1",Table681620[[#This Row],[L1]],"")))))</f>
        <v>Building Approval Coordination</v>
      </c>
      <c r="U58" s="59" t="s">
        <v>62</v>
      </c>
      <c r="V58" s="59" t="s">
        <v>44</v>
      </c>
      <c r="W58" s="60">
        <v>1</v>
      </c>
      <c r="X58" s="61"/>
      <c r="Y58" s="62">
        <f>Table681620[[#This Row],[Qty]]*Table681620[[#This Row],[Rate]]</f>
        <v>0</v>
      </c>
      <c r="Z58" s="51"/>
      <c r="AA58" s="63" t="s">
        <v>79</v>
      </c>
      <c r="AB58" s="64" t="s">
        <v>105</v>
      </c>
      <c r="AC58" s="7"/>
      <c r="AD58" s="60"/>
      <c r="AE58" s="67"/>
      <c r="AF58" s="7"/>
      <c r="AG58" s="60"/>
      <c r="AH58" s="67"/>
      <c r="AI58" s="7"/>
      <c r="AJ58" s="60"/>
      <c r="AK58" s="67"/>
    </row>
    <row r="59" spans="1:37" x14ac:dyDescent="0.3">
      <c r="A59" s="43" t="str">
        <f>INDEX(Table_Numbering[L1],MATCH(Table681620[[#This Row],[L1]],Table_Numbering[L1 Description (Cost Area)],0))</f>
        <v>A</v>
      </c>
      <c r="B59" s="43" t="str">
        <f>IFERROR(INDEX(Table_Numbering[L2],MATCH(Table681620[[#This Row],[L2]],Table_Numbering[L2 Description (Area)],0)),"0")</f>
        <v>1</v>
      </c>
      <c r="C59" s="43" t="str">
        <f>IFERROR(INDEX(Table_Numbering[L3],MATCH(Table681620[[#This Row],[L3]],Table_Numbering[L3 Description (Sub Area)],0)),"0")</f>
        <v>05</v>
      </c>
      <c r="D59" s="43" t="str">
        <f>Table681620[[#This Row],[N1]]&amp;Table681620[[#This Row],[N2]]&amp;Table681620[[#This Row],[N3]]</f>
        <v>A105</v>
      </c>
      <c r="E59" s="43" t="str">
        <f>TEXT(COUNTIF(C$7:C57,Table681620[[#This Row],[N3]]),"00")</f>
        <v>01</v>
      </c>
      <c r="F59" s="43">
        <f>COUNTIFS(J$7:J59,J59,K$7:K59,K59,L$7:L59,L59,M$7:M59,M59)</f>
        <v>1</v>
      </c>
      <c r="G59" s="43" t="str">
        <f>TEXT(COUNTIFS(A$7:A59,A59,B$7:B59,B59,E$7:E59,E59,F$7:F59,1),"00")</f>
        <v>05</v>
      </c>
      <c r="H59" s="43" t="str">
        <f t="shared" si="2"/>
        <v>00</v>
      </c>
      <c r="I59" s="44" t="str">
        <f t="shared" si="3"/>
        <v>4</v>
      </c>
      <c r="J59" s="45" t="s">
        <v>38</v>
      </c>
      <c r="K59" s="45" t="s">
        <v>39</v>
      </c>
      <c r="L59" s="45" t="s">
        <v>498</v>
      </c>
      <c r="M59" s="45" t="s">
        <v>106</v>
      </c>
      <c r="N59" s="45"/>
      <c r="O59"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A1.05.01</v>
      </c>
      <c r="P59" s="59" t="s">
        <v>501</v>
      </c>
      <c r="Q59" s="59" t="s">
        <v>104</v>
      </c>
      <c r="R59" s="59"/>
      <c r="S59" s="59" t="s">
        <v>1582</v>
      </c>
      <c r="T59" s="66" t="str">
        <f>IF(Table681620[[#This Row],[LEVEL]]="5",Table681620[[#This Row],[L5]],
IF(Table681620[[#This Row],[LEVEL]]="4",Table681620[[#This Row],[L4]],
IF(Table681620[[#This Row],[LEVEL]]="3",Table681620[[#This Row],[L3]],
IF(Table681620[[#This Row],[LEVEL]]="2",Table681620[[#This Row],[L2]],
IF(Table681620[[#This Row],[LEVEL]]="1",Table681620[[#This Row],[L1]],"")))))</f>
        <v>Authority Inspections &amp; Certifications</v>
      </c>
      <c r="U59" s="59" t="s">
        <v>62</v>
      </c>
      <c r="V59" s="59" t="s">
        <v>44</v>
      </c>
      <c r="W59" s="60">
        <v>1</v>
      </c>
      <c r="X59" s="60"/>
      <c r="Y59" s="62">
        <f>Table681620[[#This Row],[Qty]]*Table681620[[#This Row],[Rate]]</f>
        <v>0</v>
      </c>
      <c r="Z59" s="51"/>
      <c r="AA59" s="63" t="s">
        <v>490</v>
      </c>
      <c r="AB59" s="64" t="s">
        <v>107</v>
      </c>
      <c r="AC59" s="7"/>
      <c r="AD59" s="49"/>
      <c r="AE59" s="67"/>
      <c r="AF59" s="7"/>
      <c r="AG59" s="49"/>
      <c r="AH59" s="67"/>
      <c r="AI59" s="7"/>
      <c r="AJ59" s="49"/>
      <c r="AK59" s="67"/>
    </row>
    <row r="60" spans="1:37" x14ac:dyDescent="0.3">
      <c r="A60" s="43" t="str">
        <f>INDEX(Table_Numbering[L1],MATCH(Table681620[[#This Row],[L1]],Table_Numbering[L1 Description (Cost Area)],0))</f>
        <v>A</v>
      </c>
      <c r="B60" s="43" t="str">
        <f>IFERROR(INDEX(Table_Numbering[L2],MATCH(Table681620[[#This Row],[L2]],Table_Numbering[L2 Description (Area)],0)),"0")</f>
        <v>1</v>
      </c>
      <c r="C60" s="43" t="str">
        <f>IFERROR(INDEX(Table_Numbering[L3],MATCH(Table681620[[#This Row],[L3]],Table_Numbering[L3 Description (Sub Area)],0)),"0")</f>
        <v>05</v>
      </c>
      <c r="D60" s="43" t="str">
        <f>Table681620[[#This Row],[N1]]&amp;Table681620[[#This Row],[N2]]&amp;Table681620[[#This Row],[N3]]</f>
        <v>A105</v>
      </c>
      <c r="E60" s="43" t="str">
        <f>TEXT(COUNTIF(C$7:C58,Table681620[[#This Row],[N3]]),"00")</f>
        <v>02</v>
      </c>
      <c r="F60" s="43">
        <f>COUNTIFS(J$7:J60,J60,K$7:K60,K60,L$7:L60,L60,M$7:M60,M60)</f>
        <v>1</v>
      </c>
      <c r="G60" s="43" t="str">
        <f>TEXT(COUNTIFS(A$7:A60,A60,B$7:B60,B60,E$7:E60,E60,F$7:F60,1),"00")</f>
        <v>05</v>
      </c>
      <c r="H60" s="43" t="str">
        <f t="shared" si="2"/>
        <v>00</v>
      </c>
      <c r="I60" s="44" t="str">
        <f t="shared" si="3"/>
        <v>4</v>
      </c>
      <c r="J60" s="45" t="s">
        <v>38</v>
      </c>
      <c r="K60" s="45" t="s">
        <v>39</v>
      </c>
      <c r="L60" s="45" t="s">
        <v>498</v>
      </c>
      <c r="M60" s="45" t="s">
        <v>108</v>
      </c>
      <c r="N60" s="45"/>
      <c r="O60"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A1.05.02</v>
      </c>
      <c r="P60" s="59" t="s">
        <v>502</v>
      </c>
      <c r="Q60" s="59" t="s">
        <v>104</v>
      </c>
      <c r="R60" s="59"/>
      <c r="S60" s="59" t="s">
        <v>1583</v>
      </c>
      <c r="T60" s="66" t="str">
        <f>IF(Table681620[[#This Row],[LEVEL]]="5",Table681620[[#This Row],[L5]],
IF(Table681620[[#This Row],[LEVEL]]="4",Table681620[[#This Row],[L4]],
IF(Table681620[[#This Row],[LEVEL]]="3",Table681620[[#This Row],[L3]],
IF(Table681620[[#This Row],[LEVEL]]="2",Table681620[[#This Row],[L2]],
IF(Table681620[[#This Row],[LEVEL]]="1",Table681620[[#This Row],[L1]],"")))))</f>
        <v>Council / Local Authority Coordination</v>
      </c>
      <c r="U60" s="59" t="s">
        <v>62</v>
      </c>
      <c r="V60" s="59" t="s">
        <v>44</v>
      </c>
      <c r="W60" s="49">
        <v>1</v>
      </c>
      <c r="X60" s="60"/>
      <c r="Y60" s="62">
        <f>Table681620[[#This Row],[Qty]]*Table681620[[#This Row],[Rate]]</f>
        <v>0</v>
      </c>
      <c r="Z60" s="51"/>
      <c r="AA60" s="63" t="s">
        <v>90</v>
      </c>
      <c r="AB60" s="64" t="s">
        <v>503</v>
      </c>
      <c r="AC60" s="7"/>
      <c r="AD60" s="56"/>
      <c r="AE60" s="67"/>
      <c r="AF60" s="7"/>
      <c r="AG60" s="56"/>
      <c r="AH60" s="67"/>
      <c r="AI60" s="7"/>
      <c r="AJ60" s="56"/>
      <c r="AK60" s="67"/>
    </row>
    <row r="61" spans="1:37" x14ac:dyDescent="0.3">
      <c r="A61" s="43" t="str">
        <f>INDEX(Table_Numbering[L1],MATCH(Table681620[[#This Row],[L1]],Table_Numbering[L1 Description (Cost Area)],0))</f>
        <v>A</v>
      </c>
      <c r="B61" s="43" t="str">
        <f>IFERROR(INDEX(Table_Numbering[L2],MATCH(Table681620[[#This Row],[L2]],Table_Numbering[L2 Description (Area)],0)),"0")</f>
        <v>1</v>
      </c>
      <c r="C61" s="43" t="str">
        <f>IFERROR(INDEX(Table_Numbering[L3],MATCH(Table681620[[#This Row],[L3]],Table_Numbering[L3 Description (Sub Area)],0)),"0")</f>
        <v>05</v>
      </c>
      <c r="D61" s="43" t="str">
        <f>Table681620[[#This Row],[N1]]&amp;Table681620[[#This Row],[N2]]&amp;Table681620[[#This Row],[N3]]</f>
        <v>A105</v>
      </c>
      <c r="E61" s="43" t="str">
        <f>TEXT(COUNTIF(C$7:C59,Table681620[[#This Row],[N3]]),"00")</f>
        <v>03</v>
      </c>
      <c r="F61" s="43">
        <f>COUNTIFS(J$7:J61,J61,K$7:K61,K61,L$7:L61,L61,M$7:M61,M61)</f>
        <v>1</v>
      </c>
      <c r="G61" s="43" t="str">
        <f>TEXT(COUNTIFS(A$7:A61,A61,B$7:B61,B61,E$7:E61,E61,F$7:F61,1),"00")</f>
        <v>04</v>
      </c>
      <c r="H61" s="43" t="str">
        <f t="shared" si="2"/>
        <v>00</v>
      </c>
      <c r="I61" s="44" t="str">
        <f t="shared" si="3"/>
        <v>4</v>
      </c>
      <c r="J61" s="45" t="s">
        <v>38</v>
      </c>
      <c r="K61" s="45" t="s">
        <v>39</v>
      </c>
      <c r="L61" s="45" t="s">
        <v>498</v>
      </c>
      <c r="M61" s="45" t="s">
        <v>109</v>
      </c>
      <c r="N61" s="45"/>
      <c r="O61"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A1.05.03</v>
      </c>
      <c r="P61" s="59" t="s">
        <v>504</v>
      </c>
      <c r="Q61" s="59" t="s">
        <v>104</v>
      </c>
      <c r="R61" s="59"/>
      <c r="S61" s="59" t="s">
        <v>1584</v>
      </c>
      <c r="T61" s="66" t="str">
        <f>IF(Table681620[[#This Row],[LEVEL]]="5",Table681620[[#This Row],[L5]],
IF(Table681620[[#This Row],[LEVEL]]="4",Table681620[[#This Row],[L4]],
IF(Table681620[[#This Row],[LEVEL]]="3",Table681620[[#This Row],[L3]],
IF(Table681620[[#This Row],[LEVEL]]="2",Table681620[[#This Row],[L2]],
IF(Table681620[[#This Row],[LEVEL]]="1",Table681620[[#This Row],[L1]],"")))))</f>
        <v>Utility Authority Coordination (Power/Water/Comms)</v>
      </c>
      <c r="U61" s="59" t="s">
        <v>62</v>
      </c>
      <c r="V61" s="59" t="s">
        <v>44</v>
      </c>
      <c r="W61" s="60">
        <v>1</v>
      </c>
      <c r="X61" s="60"/>
      <c r="Y61" s="62">
        <f>Table681620[[#This Row],[Qty]]*Table681620[[#This Row],[Rate]]</f>
        <v>0</v>
      </c>
      <c r="Z61" s="51"/>
      <c r="AA61" s="63" t="s">
        <v>505</v>
      </c>
      <c r="AB61" s="64" t="s">
        <v>110</v>
      </c>
      <c r="AC61" s="7"/>
      <c r="AD61" s="49"/>
      <c r="AE61" s="67"/>
      <c r="AF61" s="7"/>
      <c r="AG61" s="49"/>
      <c r="AH61" s="67"/>
      <c r="AI61" s="7"/>
      <c r="AJ61" s="49"/>
      <c r="AK61" s="67"/>
    </row>
    <row r="62" spans="1:37" x14ac:dyDescent="0.3">
      <c r="A62" s="43" t="str">
        <f>INDEX(Table_Numbering[L1],MATCH(Table681620[[#This Row],[L1]],Table_Numbering[L1 Description (Cost Area)],0))</f>
        <v>A</v>
      </c>
      <c r="B62" s="43" t="str">
        <f>IFERROR(INDEX(Table_Numbering[L2],MATCH(Table681620[[#This Row],[L2]],Table_Numbering[L2 Description (Area)],0)),"0")</f>
        <v>1</v>
      </c>
      <c r="C62" s="43" t="str">
        <f>IFERROR(INDEX(Table_Numbering[L3],MATCH(Table681620[[#This Row],[L3]],Table_Numbering[L3 Description (Sub Area)],0)),"0")</f>
        <v>05</v>
      </c>
      <c r="D62" s="43" t="str">
        <f>Table681620[[#This Row],[N1]]&amp;Table681620[[#This Row],[N2]]&amp;Table681620[[#This Row],[N3]]</f>
        <v>A105</v>
      </c>
      <c r="E62" s="43" t="str">
        <f>TEXT(COUNTIF(C$7:C60,Table681620[[#This Row],[N3]]),"00")</f>
        <v>04</v>
      </c>
      <c r="F62" s="43">
        <f>COUNTIFS(J$7:J62,J62,K$7:K62,K62,L$7:L62,L62,M$7:M62,M62)</f>
        <v>1</v>
      </c>
      <c r="G62" s="43" t="str">
        <f>TEXT(COUNTIFS(A$7:A62,A62,B$7:B62,B62,E$7:E62,E62,F$7:F62,1),"00")</f>
        <v>04</v>
      </c>
      <c r="H62" s="43" t="str">
        <f t="shared" si="2"/>
        <v>00</v>
      </c>
      <c r="I62" s="44" t="str">
        <f t="shared" si="3"/>
        <v>4</v>
      </c>
      <c r="J62" s="45" t="s">
        <v>38</v>
      </c>
      <c r="K62" s="45" t="s">
        <v>39</v>
      </c>
      <c r="L62" s="45" t="s">
        <v>498</v>
      </c>
      <c r="M62" s="45" t="s">
        <v>111</v>
      </c>
      <c r="N62" s="45"/>
      <c r="O6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A1.05.04</v>
      </c>
      <c r="P62" s="59" t="s">
        <v>506</v>
      </c>
      <c r="Q62" s="59" t="s">
        <v>104</v>
      </c>
      <c r="R62" s="59"/>
      <c r="S62" s="59" t="s">
        <v>1585</v>
      </c>
      <c r="T62" s="58" t="str">
        <f>IF(Table681620[[#This Row],[LEVEL]]="5",Table681620[[#This Row],[L5]],
IF(Table681620[[#This Row],[LEVEL]]="4",Table681620[[#This Row],[L4]],
IF(Table681620[[#This Row],[LEVEL]]="3",Table681620[[#This Row],[L3]],
IF(Table681620[[#This Row],[LEVEL]]="2",Table681620[[#This Row],[L2]],
IF(Table681620[[#This Row],[LEVEL]]="1",Table681620[[#This Row],[L1]],"")))))</f>
        <v>Fire Authority Approval (QFES)</v>
      </c>
      <c r="U62" s="59" t="s">
        <v>62</v>
      </c>
      <c r="V62" s="59" t="s">
        <v>44</v>
      </c>
      <c r="W62" s="60">
        <v>1</v>
      </c>
      <c r="X62" s="49"/>
      <c r="Y62" s="62">
        <f>Table681620[[#This Row],[Qty]]*Table681620[[#This Row],[Rate]]</f>
        <v>0</v>
      </c>
      <c r="Z62" s="51"/>
      <c r="AA62" s="52" t="s">
        <v>79</v>
      </c>
      <c r="AB62" s="48" t="s">
        <v>507</v>
      </c>
      <c r="AC62" s="7"/>
      <c r="AD62" s="56"/>
      <c r="AE62" s="67"/>
      <c r="AF62" s="7"/>
      <c r="AG62" s="56"/>
      <c r="AH62" s="67"/>
      <c r="AI62" s="7"/>
      <c r="AJ62" s="56"/>
      <c r="AK62" s="67"/>
    </row>
    <row r="63" spans="1:37" x14ac:dyDescent="0.3">
      <c r="A63" s="43" t="str">
        <f>INDEX(Table_Numbering[L1],MATCH(Table681620[[#This Row],[L1]],Table_Numbering[L1 Description (Cost Area)],0))</f>
        <v>A</v>
      </c>
      <c r="B63" s="43" t="str">
        <f>IFERROR(INDEX(Table_Numbering[L2],MATCH(Table681620[[#This Row],[L2]],Table_Numbering[L2 Description (Area)],0)),"0")</f>
        <v>1</v>
      </c>
      <c r="C63" s="43" t="str">
        <f>IFERROR(INDEX(Table_Numbering[L3],MATCH(Table681620[[#This Row],[L3]],Table_Numbering[L3 Description (Sub Area)],0)),"0")</f>
        <v>05</v>
      </c>
      <c r="D63" s="43" t="str">
        <f>Table681620[[#This Row],[N1]]&amp;Table681620[[#This Row],[N2]]&amp;Table681620[[#This Row],[N3]]</f>
        <v>A105</v>
      </c>
      <c r="E63" s="43" t="str">
        <f>TEXT(COUNTIF(C$7:C61,Table681620[[#This Row],[N3]]),"00")</f>
        <v>05</v>
      </c>
      <c r="F63" s="43">
        <f>COUNTIFS(J$7:J63,J63,K$7:K63,K63,L$7:L63,L63,M$7:M63,M63)</f>
        <v>1</v>
      </c>
      <c r="G63" s="43" t="str">
        <f>TEXT(COUNTIFS(A$7:A63,A63,B$7:B63,B63,E$7:E63,E63,F$7:F63,1),"00")</f>
        <v>03</v>
      </c>
      <c r="H63" s="43" t="str">
        <f t="shared" si="2"/>
        <v>00</v>
      </c>
      <c r="I63" s="44" t="str">
        <f t="shared" si="3"/>
        <v>4</v>
      </c>
      <c r="J63" s="45" t="s">
        <v>38</v>
      </c>
      <c r="K63" s="45" t="s">
        <v>39</v>
      </c>
      <c r="L63" s="45" t="s">
        <v>498</v>
      </c>
      <c r="M63" s="45" t="s">
        <v>112</v>
      </c>
      <c r="N63" s="45"/>
      <c r="O63"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A1.05.05</v>
      </c>
      <c r="P63" s="59" t="s">
        <v>508</v>
      </c>
      <c r="Q63" s="59" t="s">
        <v>113</v>
      </c>
      <c r="R63" s="59"/>
      <c r="S63" s="59" t="s">
        <v>1586</v>
      </c>
      <c r="T63" s="66" t="str">
        <f>IF(Table681620[[#This Row],[LEVEL]]="5",Table681620[[#This Row],[L5]],
IF(Table681620[[#This Row],[LEVEL]]="4",Table681620[[#This Row],[L4]],
IF(Table681620[[#This Row],[LEVEL]]="3",Table681620[[#This Row],[L3]],
IF(Table681620[[#This Row],[LEVEL]]="2",Table681620[[#This Row],[L2]],
IF(Table681620[[#This Row],[LEVEL]]="1",Table681620[[#This Row],[L1]],"")))))</f>
        <v>Occupancy Certificate / Final Inspection</v>
      </c>
      <c r="U63" s="59" t="s">
        <v>62</v>
      </c>
      <c r="V63" s="59" t="s">
        <v>44</v>
      </c>
      <c r="W63" s="60">
        <v>1</v>
      </c>
      <c r="X63" s="49"/>
      <c r="Y63" s="62">
        <f>Table681620[[#This Row],[Qty]]*Table681620[[#This Row],[Rate]]</f>
        <v>0</v>
      </c>
      <c r="Z63" s="51"/>
      <c r="AA63" s="63" t="s">
        <v>79</v>
      </c>
      <c r="AB63" s="64" t="s">
        <v>509</v>
      </c>
      <c r="AC63" s="7"/>
      <c r="AD63" s="49"/>
      <c r="AE63" s="67"/>
      <c r="AF63" s="7"/>
      <c r="AG63" s="49"/>
      <c r="AH63" s="67"/>
      <c r="AI63" s="7"/>
      <c r="AJ63" s="49"/>
      <c r="AK63" s="67"/>
    </row>
    <row r="64" spans="1:37" x14ac:dyDescent="0.3">
      <c r="A64" s="43" t="str">
        <f>INDEX(Table_Numbering[L1],MATCH(Table681620[[#This Row],[L1]],Table_Numbering[L1 Description (Cost Area)],0))</f>
        <v>A</v>
      </c>
      <c r="B64" s="43" t="str">
        <f>IFERROR(INDEX(Table_Numbering[L2],MATCH(Table681620[[#This Row],[L2]],Table_Numbering[L2 Description (Area)],0)),"0")</f>
        <v>1</v>
      </c>
      <c r="C64" s="43" t="str">
        <f>IFERROR(INDEX(Table_Numbering[L3],MATCH(Table681620[[#This Row],[L3]],Table_Numbering[L3 Description (Sub Area)],0)),"0")</f>
        <v>05</v>
      </c>
      <c r="D64" s="43" t="str">
        <f>Table681620[[#This Row],[N1]]&amp;Table681620[[#This Row],[N2]]&amp;Table681620[[#This Row],[N3]]</f>
        <v>A105</v>
      </c>
      <c r="E64" s="43" t="str">
        <f>TEXT(COUNTIF(C$7:C62,Table681620[[#This Row],[N3]]),"00")</f>
        <v>06</v>
      </c>
      <c r="F64" s="43">
        <f>COUNTIFS(J$7:J64,J64,K$7:K64,K64,L$7:L64,L64,M$7:M64,M64)</f>
        <v>1</v>
      </c>
      <c r="G64" s="43" t="str">
        <f>TEXT(COUNTIFS(A$7:A64,A64,B$7:B64,B64,E$7:E64,E64,F$7:F64,1),"00")</f>
        <v>03</v>
      </c>
      <c r="H64" s="43" t="str">
        <f t="shared" si="2"/>
        <v>00</v>
      </c>
      <c r="I64" s="44" t="str">
        <f t="shared" si="3"/>
        <v>4</v>
      </c>
      <c r="J64" s="45" t="s">
        <v>38</v>
      </c>
      <c r="K64" s="45" t="s">
        <v>39</v>
      </c>
      <c r="L64" s="45" t="s">
        <v>498</v>
      </c>
      <c r="M64" s="45" t="s">
        <v>114</v>
      </c>
      <c r="N64" s="45"/>
      <c r="O64"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A1.05.06</v>
      </c>
      <c r="P64" s="59" t="s">
        <v>510</v>
      </c>
      <c r="Q64" s="59" t="s">
        <v>104</v>
      </c>
      <c r="R64" s="59"/>
      <c r="S64" s="59" t="s">
        <v>1587</v>
      </c>
      <c r="T64" s="66" t="str">
        <f>IF(Table681620[[#This Row],[LEVEL]]="5",Table681620[[#This Row],[L5]],
IF(Table681620[[#This Row],[LEVEL]]="4",Table681620[[#This Row],[L4]],
IF(Table681620[[#This Row],[LEVEL]]="3",Table681620[[#This Row],[L3]],
IF(Table681620[[#This Row],[LEVEL]]="2",Table681620[[#This Row],[L2]],
IF(Table681620[[#This Row],[LEVEL]]="1",Table681620[[#This Row],[L1]],"")))))</f>
        <v>Form 21 / Final Certificate Coordination</v>
      </c>
      <c r="U64" s="59" t="s">
        <v>62</v>
      </c>
      <c r="V64" s="59" t="s">
        <v>44</v>
      </c>
      <c r="W64" s="60">
        <v>1</v>
      </c>
      <c r="X64" s="49"/>
      <c r="Y64" s="62">
        <f>Table681620[[#This Row],[Qty]]*Table681620[[#This Row],[Rate]]</f>
        <v>0</v>
      </c>
      <c r="Z64" s="51"/>
      <c r="AA64" s="63" t="s">
        <v>79</v>
      </c>
      <c r="AB64" s="64" t="s">
        <v>511</v>
      </c>
      <c r="AC64" s="7"/>
      <c r="AD64" s="56"/>
      <c r="AE64" s="67"/>
      <c r="AF64" s="7"/>
      <c r="AG64" s="56"/>
      <c r="AH64" s="67"/>
      <c r="AI64" s="7"/>
      <c r="AJ64" s="56"/>
      <c r="AK64" s="67"/>
    </row>
    <row r="65" spans="1:37" x14ac:dyDescent="0.3">
      <c r="A65" s="43" t="str">
        <f>INDEX(Table_Numbering[L1],MATCH(Table681620[[#This Row],[L1]],Table_Numbering[L1 Description (Cost Area)],0))</f>
        <v>A</v>
      </c>
      <c r="B65" s="43" t="str">
        <f>IFERROR(INDEX(Table_Numbering[L2],MATCH(Table681620[[#This Row],[L2]],Table_Numbering[L2 Description (Area)],0)),"0")</f>
        <v>2</v>
      </c>
      <c r="C65" s="43" t="str">
        <f>IFERROR(INDEX(Table_Numbering[L3],MATCH(Table681620[[#This Row],[L3]],Table_Numbering[L3 Description (Sub Area)],0)),"0")</f>
        <v>0</v>
      </c>
      <c r="D65" s="43" t="str">
        <f>Table681620[[#This Row],[N1]]&amp;Table681620[[#This Row],[N2]]&amp;Table681620[[#This Row],[N3]]</f>
        <v>A20</v>
      </c>
      <c r="E65" s="43" t="str">
        <f>TEXT(COUNTIF(C$7:C63,Table681620[[#This Row],[N3]]),"00")</f>
        <v>03</v>
      </c>
      <c r="F65" s="43">
        <f>COUNTIFS(J$7:J65,J65,K$7:K65,K65,L$7:L65,L65,M$7:M65,M65)</f>
        <v>0</v>
      </c>
      <c r="G65" s="43" t="str">
        <f>TEXT(COUNTIFS(A$7:A65,A65,B$7:B65,B65,E$7:E65,E65,F$7:F65,1),"00")</f>
        <v>00</v>
      </c>
      <c r="H65" s="43" t="str">
        <f t="shared" si="2"/>
        <v>00</v>
      </c>
      <c r="I65" s="44" t="str">
        <f t="shared" si="3"/>
        <v>2</v>
      </c>
      <c r="J65" s="45" t="s">
        <v>38</v>
      </c>
      <c r="K65" s="45" t="s">
        <v>392</v>
      </c>
      <c r="L65" s="45"/>
      <c r="M65" s="45"/>
      <c r="N65" s="45"/>
      <c r="O65"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v>
      </c>
      <c r="P65" s="59"/>
      <c r="Q65" s="59"/>
      <c r="R65" s="59"/>
      <c r="S65" s="59"/>
      <c r="T65" s="65" t="str">
        <f>IF(Table681620[[#This Row],[LEVEL]]="5",Table681620[[#This Row],[L5]],
IF(Table681620[[#This Row],[LEVEL]]="4",Table681620[[#This Row],[L4]],
IF(Table681620[[#This Row],[LEVEL]]="3",Table681620[[#This Row],[L3]],
IF(Table681620[[#This Row],[LEVEL]]="2",Table681620[[#This Row],[L2]],
IF(Table681620[[#This Row],[LEVEL]]="1",Table681620[[#This Row],[L1]],"")))))</f>
        <v>SITE WIDE</v>
      </c>
      <c r="U65" s="59"/>
      <c r="V65" s="59"/>
      <c r="W65" s="60"/>
      <c r="X65" s="49"/>
      <c r="Y65" s="50">
        <f>SUBTOTAL(9,Y66:Y117)</f>
        <v>0</v>
      </c>
      <c r="Z65" s="51"/>
      <c r="AA65" s="63"/>
      <c r="AB65" s="64"/>
      <c r="AC65" s="7"/>
      <c r="AD65" s="49"/>
      <c r="AE65" s="67"/>
      <c r="AF65" s="7"/>
      <c r="AG65" s="49"/>
      <c r="AH65" s="67"/>
      <c r="AI65" s="7"/>
      <c r="AJ65" s="49"/>
      <c r="AK65" s="67"/>
    </row>
    <row r="66" spans="1:37" x14ac:dyDescent="0.3">
      <c r="A66" s="43" t="str">
        <f>INDEX(Table_Numbering[L1],MATCH(Table681620[[#This Row],[L1]],Table_Numbering[L1 Description (Cost Area)],0))</f>
        <v>A</v>
      </c>
      <c r="B66" s="43" t="str">
        <f>IFERROR(INDEX(Table_Numbering[L2],MATCH(Table681620[[#This Row],[L2]],Table_Numbering[L2 Description (Area)],0)),"0")</f>
        <v>2</v>
      </c>
      <c r="C66" s="43" t="str">
        <f>IFERROR(INDEX(Table_Numbering[L3],MATCH(Table681620[[#This Row],[L3]],Table_Numbering[L3 Description (Sub Area)],0)),"0")</f>
        <v>01</v>
      </c>
      <c r="D66" s="43" t="str">
        <f>Table681620[[#This Row],[N1]]&amp;Table681620[[#This Row],[N2]]&amp;Table681620[[#This Row],[N3]]</f>
        <v>A201</v>
      </c>
      <c r="E66" s="43" t="str">
        <f>TEXT(COUNTIF(C$7:C64,Table681620[[#This Row],[N3]]),"00")</f>
        <v>29</v>
      </c>
      <c r="F66" s="43">
        <f>COUNTIFS(J$7:J66,J66,K$7:K66,K66,L$7:L66,L66,M$7:M66,M66)</f>
        <v>0</v>
      </c>
      <c r="G66" s="43" t="str">
        <f>TEXT(COUNTIFS(A$7:A66,A66,B$7:B66,B66,E$7:E66,E66,F$7:F66,1),"00")</f>
        <v>00</v>
      </c>
      <c r="H66" s="43" t="str">
        <f t="shared" si="2"/>
        <v>00</v>
      </c>
      <c r="I66" s="44" t="str">
        <f t="shared" si="3"/>
        <v>3</v>
      </c>
      <c r="J66" s="45" t="s">
        <v>38</v>
      </c>
      <c r="K66" s="45" t="s">
        <v>392</v>
      </c>
      <c r="L66" s="45" t="s">
        <v>273</v>
      </c>
      <c r="M66" s="45"/>
      <c r="N66" s="45"/>
      <c r="O66"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A2.01</v>
      </c>
      <c r="P66" s="59"/>
      <c r="Q66" s="59"/>
      <c r="R66" s="59"/>
      <c r="S66" s="59"/>
      <c r="T66" s="68" t="str">
        <f>IF(Table681620[[#This Row],[LEVEL]]="5",Table681620[[#This Row],[L5]],
IF(Table681620[[#This Row],[LEVEL]]="4",Table681620[[#This Row],[L4]],
IF(Table681620[[#This Row],[LEVEL]]="3",Table681620[[#This Row],[L3]],
IF(Table681620[[#This Row],[LEVEL]]="2",Table681620[[#This Row],[L2]],
IF(Table681620[[#This Row],[LEVEL]]="1",Table681620[[#This Row],[L1]],"")))))</f>
        <v>SITE ESTABLISHMENT</v>
      </c>
      <c r="U66" s="59"/>
      <c r="V66" s="59"/>
      <c r="W66" s="60"/>
      <c r="X66" s="60"/>
      <c r="Y66" s="50">
        <f>SUBTOTAL(9,Y67:Y72)</f>
        <v>0</v>
      </c>
      <c r="Z66" s="51"/>
      <c r="AA66" s="63"/>
      <c r="AB66" s="64"/>
      <c r="AC66" s="7"/>
      <c r="AD66" s="56"/>
      <c r="AE66" s="67"/>
      <c r="AF66" s="7"/>
      <c r="AG66" s="56"/>
      <c r="AH66" s="67"/>
      <c r="AI66" s="7"/>
      <c r="AJ66" s="56"/>
      <c r="AK66" s="67"/>
    </row>
    <row r="67" spans="1:37" x14ac:dyDescent="0.3">
      <c r="A67" s="43" t="str">
        <f>INDEX(Table_Numbering[L1],MATCH(Table681620[[#This Row],[L1]],Table_Numbering[L1 Description (Cost Area)],0))</f>
        <v>A</v>
      </c>
      <c r="B67" s="43" t="str">
        <f>IFERROR(INDEX(Table_Numbering[L2],MATCH(Table681620[[#This Row],[L2]],Table_Numbering[L2 Description (Area)],0)),"0")</f>
        <v>2</v>
      </c>
      <c r="C67" s="43" t="str">
        <f>IFERROR(INDEX(Table_Numbering[L3],MATCH(Table681620[[#This Row],[L3]],Table_Numbering[L3 Description (Sub Area)],0)),"0")</f>
        <v>01</v>
      </c>
      <c r="D67" s="43" t="str">
        <f>Table681620[[#This Row],[N1]]&amp;Table681620[[#This Row],[N2]]&amp;Table681620[[#This Row],[N3]]</f>
        <v>A201</v>
      </c>
      <c r="E67" s="43" t="str">
        <f>TEXT(COUNTIF(C$7:C65,Table681620[[#This Row],[N3]]),"00")</f>
        <v>29</v>
      </c>
      <c r="F67" s="43">
        <f>COUNTIFS(J$7:J67,J67,K$7:K67,K67,L$7:L67,L67,M$7:M67,M67)</f>
        <v>1</v>
      </c>
      <c r="G67" s="43" t="str">
        <f>TEXT(COUNTIFS(A$7:A67,A67,B$7:B67,B67,E$7:E67,E67,F$7:F67,1),"00")</f>
        <v>01</v>
      </c>
      <c r="H67" s="43" t="str">
        <f t="shared" si="2"/>
        <v>00</v>
      </c>
      <c r="I67" s="44" t="str">
        <f t="shared" si="3"/>
        <v>4</v>
      </c>
      <c r="J67" s="45" t="s">
        <v>38</v>
      </c>
      <c r="K67" s="45" t="s">
        <v>392</v>
      </c>
      <c r="L67" s="45" t="s">
        <v>273</v>
      </c>
      <c r="M67" s="45" t="s">
        <v>274</v>
      </c>
      <c r="N67" s="45"/>
      <c r="O6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A2.01.29</v>
      </c>
      <c r="P67" s="47" t="s">
        <v>280</v>
      </c>
      <c r="Q67" s="47" t="s">
        <v>281</v>
      </c>
      <c r="R67" s="47" t="s">
        <v>514</v>
      </c>
      <c r="S67" s="47" t="s">
        <v>1815</v>
      </c>
      <c r="T67" s="58" t="str">
        <f>IF(Table681620[[#This Row],[LEVEL]]="5",Table681620[[#This Row],[L5]],
IF(Table681620[[#This Row],[LEVEL]]="4",Table681620[[#This Row],[L4]],
IF(Table681620[[#This Row],[LEVEL]]="3",Table681620[[#This Row],[L3]],
IF(Table681620[[#This Row],[LEVEL]]="2",Table681620[[#This Row],[L2]],
IF(Table681620[[#This Row],[LEVEL]]="1",Table681620[[#This Row],[L1]],"")))))</f>
        <v>Site Mobilisation</v>
      </c>
      <c r="U67" s="59" t="s">
        <v>62</v>
      </c>
      <c r="V67" s="59" t="s">
        <v>44</v>
      </c>
      <c r="W67" s="60">
        <v>1</v>
      </c>
      <c r="X67" s="49"/>
      <c r="Y67" s="62">
        <f>Table681620[[#This Row],[Qty]]*Table681620[[#This Row],[Rate]]</f>
        <v>0</v>
      </c>
      <c r="Z67" s="51"/>
      <c r="AA67" s="52" t="s">
        <v>79</v>
      </c>
      <c r="AB67" s="48" t="s">
        <v>115</v>
      </c>
      <c r="AC67" s="7"/>
      <c r="AD67" s="49"/>
      <c r="AE67" s="67"/>
      <c r="AF67" s="7"/>
      <c r="AG67" s="49"/>
      <c r="AH67" s="67"/>
      <c r="AI67" s="7"/>
      <c r="AJ67" s="49"/>
      <c r="AK67" s="67"/>
    </row>
    <row r="68" spans="1:37" x14ac:dyDescent="0.3">
      <c r="A68" s="43" t="str">
        <f>INDEX(Table_Numbering[L1],MATCH(Table681620[[#This Row],[L1]],Table_Numbering[L1 Description (Cost Area)],0))</f>
        <v>A</v>
      </c>
      <c r="B68" s="43" t="str">
        <f>IFERROR(INDEX(Table_Numbering[L2],MATCH(Table681620[[#This Row],[L2]],Table_Numbering[L2 Description (Area)],0)),"0")</f>
        <v>2</v>
      </c>
      <c r="C68" s="43" t="str">
        <f>IFERROR(INDEX(Table_Numbering[L3],MATCH(Table681620[[#This Row],[L3]],Table_Numbering[L3 Description (Sub Area)],0)),"0")</f>
        <v>01</v>
      </c>
      <c r="D68" s="43" t="str">
        <f>Table681620[[#This Row],[N1]]&amp;Table681620[[#This Row],[N2]]&amp;Table681620[[#This Row],[N3]]</f>
        <v>A201</v>
      </c>
      <c r="E68" s="43" t="str">
        <f>TEXT(COUNTIF(C$7:C66,Table681620[[#This Row],[N3]]),"00")</f>
        <v>30</v>
      </c>
      <c r="F68" s="43">
        <f>COUNTIFS(J$7:J68,J68,K$7:K68,K68,L$7:L68,L68,M$7:M68,M68)</f>
        <v>1</v>
      </c>
      <c r="G68" s="43" t="str">
        <f>TEXT(COUNTIFS(A$7:A68,A68,B$7:B68,B68,E$7:E68,E68,F$7:F68,1),"00")</f>
        <v>01</v>
      </c>
      <c r="H68" s="43" t="str">
        <f t="shared" si="2"/>
        <v>00</v>
      </c>
      <c r="I68" s="44" t="str">
        <f t="shared" si="3"/>
        <v>4</v>
      </c>
      <c r="J68" s="45" t="s">
        <v>38</v>
      </c>
      <c r="K68" s="45" t="s">
        <v>392</v>
      </c>
      <c r="L68" s="45" t="s">
        <v>273</v>
      </c>
      <c r="M68" s="45" t="s">
        <v>275</v>
      </c>
      <c r="N68" s="45"/>
      <c r="O68"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A2.01.30</v>
      </c>
      <c r="P68" s="59" t="s">
        <v>282</v>
      </c>
      <c r="Q68" s="59" t="s">
        <v>283</v>
      </c>
      <c r="R68" s="59" t="s">
        <v>514</v>
      </c>
      <c r="S68" s="59" t="s">
        <v>1816</v>
      </c>
      <c r="T68" s="66" t="str">
        <f>IF(Table681620[[#This Row],[LEVEL]]="5",Table681620[[#This Row],[L5]],
IF(Table681620[[#This Row],[LEVEL]]="4",Table681620[[#This Row],[L4]],
IF(Table681620[[#This Row],[LEVEL]]="3",Table681620[[#This Row],[L3]],
IF(Table681620[[#This Row],[LEVEL]]="2",Table681620[[#This Row],[L2]],
IF(Table681620[[#This Row],[LEVEL]]="1",Table681620[[#This Row],[L1]],"")))))</f>
        <v>Site Offices &amp; Amenities</v>
      </c>
      <c r="U68" s="59" t="s">
        <v>62</v>
      </c>
      <c r="V68" s="59" t="s">
        <v>44</v>
      </c>
      <c r="W68" s="49">
        <v>1</v>
      </c>
      <c r="X68" s="61"/>
      <c r="Y68" s="62">
        <f>Table681620[[#This Row],[Qty]]*Table681620[[#This Row],[Rate]]</f>
        <v>0</v>
      </c>
      <c r="Z68" s="51"/>
      <c r="AA68" s="63" t="s">
        <v>79</v>
      </c>
      <c r="AB68" s="64" t="s">
        <v>515</v>
      </c>
      <c r="AC68" s="7"/>
      <c r="AD68" s="56"/>
      <c r="AE68" s="67"/>
      <c r="AF68" s="7"/>
      <c r="AG68" s="56"/>
      <c r="AH68" s="67"/>
      <c r="AI68" s="7"/>
      <c r="AJ68" s="56"/>
      <c r="AK68" s="67"/>
    </row>
    <row r="69" spans="1:37" x14ac:dyDescent="0.3">
      <c r="A69" s="43" t="str">
        <f>INDEX(Table_Numbering[L1],MATCH(Table681620[[#This Row],[L1]],Table_Numbering[L1 Description (Cost Area)],0))</f>
        <v>A</v>
      </c>
      <c r="B69" s="43" t="str">
        <f>IFERROR(INDEX(Table_Numbering[L2],MATCH(Table681620[[#This Row],[L2]],Table_Numbering[L2 Description (Area)],0)),"0")</f>
        <v>2</v>
      </c>
      <c r="C69" s="43" t="str">
        <f>IFERROR(INDEX(Table_Numbering[L3],MATCH(Table681620[[#This Row],[L3]],Table_Numbering[L3 Description (Sub Area)],0)),"0")</f>
        <v>01</v>
      </c>
      <c r="D69" s="43" t="str">
        <f>Table681620[[#This Row],[N1]]&amp;Table681620[[#This Row],[N2]]&amp;Table681620[[#This Row],[N3]]</f>
        <v>A201</v>
      </c>
      <c r="E69" s="43" t="str">
        <f>TEXT(COUNTIF(C$7:C67,Table681620[[#This Row],[N3]]),"00")</f>
        <v>31</v>
      </c>
      <c r="F69" s="43">
        <f>COUNTIFS(J$7:J69,J69,K$7:K69,K69,L$7:L69,L69,M$7:M69,M69)</f>
        <v>1</v>
      </c>
      <c r="G69" s="43" t="str">
        <f>TEXT(COUNTIFS(A$7:A69,A69,B$7:B69,B69,E$7:E69,E69,F$7:F69,1),"00")</f>
        <v>01</v>
      </c>
      <c r="H69" s="43" t="str">
        <f t="shared" si="2"/>
        <v>00</v>
      </c>
      <c r="I69" s="44" t="str">
        <f t="shared" si="3"/>
        <v>4</v>
      </c>
      <c r="J69" s="45" t="s">
        <v>38</v>
      </c>
      <c r="K69" s="45" t="s">
        <v>392</v>
      </c>
      <c r="L69" s="45" t="s">
        <v>273</v>
      </c>
      <c r="M69" s="45" t="s">
        <v>276</v>
      </c>
      <c r="N69" s="45"/>
      <c r="O69"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A2.01.31</v>
      </c>
      <c r="P69" s="59" t="s">
        <v>282</v>
      </c>
      <c r="Q69" s="59" t="s">
        <v>119</v>
      </c>
      <c r="R69" s="59"/>
      <c r="S69" s="59" t="s">
        <v>1817</v>
      </c>
      <c r="T69" s="66" t="str">
        <f>IF(Table681620[[#This Row],[LEVEL]]="5",Table681620[[#This Row],[L5]],
IF(Table681620[[#This Row],[LEVEL]]="4",Table681620[[#This Row],[L4]],
IF(Table681620[[#This Row],[LEVEL]]="3",Table681620[[#This Row],[L3]],
IF(Table681620[[#This Row],[LEVEL]]="2",Table681620[[#This Row],[L2]],
IF(Table681620[[#This Row],[LEVEL]]="1",Table681620[[#This Row],[L1]],"")))))</f>
        <v>Temporary Services (Power/Water)</v>
      </c>
      <c r="U69" s="59" t="s">
        <v>62</v>
      </c>
      <c r="V69" s="59" t="s">
        <v>44</v>
      </c>
      <c r="W69" s="49">
        <v>1</v>
      </c>
      <c r="X69" s="61"/>
      <c r="Y69" s="62">
        <f>Table681620[[#This Row],[Qty]]*Table681620[[#This Row],[Rate]]</f>
        <v>0</v>
      </c>
      <c r="Z69" s="51"/>
      <c r="AA69" s="63" t="s">
        <v>79</v>
      </c>
      <c r="AB69" s="64" t="s">
        <v>117</v>
      </c>
      <c r="AC69" s="7"/>
      <c r="AD69" s="49"/>
      <c r="AE69" s="67"/>
      <c r="AF69" s="7"/>
      <c r="AG69" s="49"/>
      <c r="AH69" s="67"/>
      <c r="AI69" s="7"/>
      <c r="AJ69" s="49"/>
      <c r="AK69" s="67"/>
    </row>
    <row r="70" spans="1:37" x14ac:dyDescent="0.3">
      <c r="A70" s="43" t="str">
        <f>INDEX(Table_Numbering[L1],MATCH(Table681620[[#This Row],[L1]],Table_Numbering[L1 Description (Cost Area)],0))</f>
        <v>A</v>
      </c>
      <c r="B70" s="43" t="str">
        <f>IFERROR(INDEX(Table_Numbering[L2],MATCH(Table681620[[#This Row],[L2]],Table_Numbering[L2 Description (Area)],0)),"0")</f>
        <v>2</v>
      </c>
      <c r="C70" s="43" t="str">
        <f>IFERROR(INDEX(Table_Numbering[L3],MATCH(Table681620[[#This Row],[L3]],Table_Numbering[L3 Description (Sub Area)],0)),"0")</f>
        <v>01</v>
      </c>
      <c r="D70" s="43" t="str">
        <f>Table681620[[#This Row],[N1]]&amp;Table681620[[#This Row],[N2]]&amp;Table681620[[#This Row],[N3]]</f>
        <v>A201</v>
      </c>
      <c r="E70" s="43" t="str">
        <f>TEXT(COUNTIF(C$7:C68,Table681620[[#This Row],[N3]]),"00")</f>
        <v>32</v>
      </c>
      <c r="F70" s="43">
        <f>COUNTIFS(J$7:J70,J70,K$7:K70,K70,L$7:L70,L70,M$7:M70,M70)</f>
        <v>1</v>
      </c>
      <c r="G70" s="43" t="str">
        <f>TEXT(COUNTIFS(A$7:A70,A70,B$7:B70,B70,E$7:E70,E70,F$7:F70,1),"00")</f>
        <v>01</v>
      </c>
      <c r="H70" s="43" t="str">
        <f t="shared" si="2"/>
        <v>00</v>
      </c>
      <c r="I70" s="44" t="str">
        <f t="shared" si="3"/>
        <v>4</v>
      </c>
      <c r="J70" s="45" t="s">
        <v>38</v>
      </c>
      <c r="K70" s="45" t="s">
        <v>392</v>
      </c>
      <c r="L70" s="45" t="s">
        <v>273</v>
      </c>
      <c r="M70" s="45" t="s">
        <v>277</v>
      </c>
      <c r="N70" s="45"/>
      <c r="O70"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A2.01.32</v>
      </c>
      <c r="P70" s="59" t="s">
        <v>282</v>
      </c>
      <c r="Q70" s="59" t="s">
        <v>119</v>
      </c>
      <c r="R70" s="59" t="s">
        <v>514</v>
      </c>
      <c r="S70" s="59" t="s">
        <v>1818</v>
      </c>
      <c r="T70" s="58" t="str">
        <f>IF(Table681620[[#This Row],[LEVEL]]="5",Table681620[[#This Row],[L5]],
IF(Table681620[[#This Row],[LEVEL]]="4",Table681620[[#This Row],[L4]],
IF(Table681620[[#This Row],[LEVEL]]="3",Table681620[[#This Row],[L3]],
IF(Table681620[[#This Row],[LEVEL]]="2",Table681620[[#This Row],[L2]],
IF(Table681620[[#This Row],[LEVEL]]="1",Table681620[[#This Row],[L1]],"")))))</f>
        <v>Temporary Fencing &amp; Hoarding</v>
      </c>
      <c r="U70" s="59" t="s">
        <v>62</v>
      </c>
      <c r="V70" s="47" t="s">
        <v>44</v>
      </c>
      <c r="W70" s="70"/>
      <c r="X70" s="70"/>
      <c r="Y70" s="62">
        <f>Table681620[[#This Row],[Qty]]*Table681620[[#This Row],[Rate]]</f>
        <v>0</v>
      </c>
      <c r="Z70" s="51"/>
      <c r="AA70" s="52" t="s">
        <v>516</v>
      </c>
      <c r="AB70" s="48" t="s">
        <v>517</v>
      </c>
      <c r="AC70" s="7"/>
      <c r="AD70" s="56"/>
      <c r="AE70" s="67"/>
      <c r="AF70" s="7"/>
      <c r="AG70" s="56"/>
      <c r="AH70" s="67"/>
      <c r="AI70" s="7"/>
      <c r="AJ70" s="56"/>
      <c r="AK70" s="67"/>
    </row>
    <row r="71" spans="1:37" x14ac:dyDescent="0.3">
      <c r="A71" s="43" t="str">
        <f>INDEX(Table_Numbering[L1],MATCH(Table681620[[#This Row],[L1]],Table_Numbering[L1 Description (Cost Area)],0))</f>
        <v>A</v>
      </c>
      <c r="B71" s="43" t="str">
        <f>IFERROR(INDEX(Table_Numbering[L2],MATCH(Table681620[[#This Row],[L2]],Table_Numbering[L2 Description (Area)],0)),"0")</f>
        <v>2</v>
      </c>
      <c r="C71" s="43" t="str">
        <f>IFERROR(INDEX(Table_Numbering[L3],MATCH(Table681620[[#This Row],[L3]],Table_Numbering[L3 Description (Sub Area)],0)),"0")</f>
        <v>01</v>
      </c>
      <c r="D71" s="43" t="str">
        <f>Table681620[[#This Row],[N1]]&amp;Table681620[[#This Row],[N2]]&amp;Table681620[[#This Row],[N3]]</f>
        <v>A201</v>
      </c>
      <c r="E71" s="43" t="str">
        <f>TEXT(COUNTIF(C$7:C69,Table681620[[#This Row],[N3]]),"00")</f>
        <v>33</v>
      </c>
      <c r="F71" s="43">
        <f>COUNTIFS(J$7:J71,J71,K$7:K71,K71,L$7:L71,L71,M$7:M71,M71)</f>
        <v>1</v>
      </c>
      <c r="G71" s="43" t="str">
        <f>TEXT(COUNTIFS(A$7:A71,A71,B$7:B71,B71,E$7:E71,E71,F$7:F71,1),"00")</f>
        <v>01</v>
      </c>
      <c r="H71" s="43" t="str">
        <f t="shared" si="2"/>
        <v>00</v>
      </c>
      <c r="I71" s="44" t="str">
        <f t="shared" si="3"/>
        <v>4</v>
      </c>
      <c r="J71" s="45" t="s">
        <v>38</v>
      </c>
      <c r="K71" s="45" t="s">
        <v>392</v>
      </c>
      <c r="L71" s="45" t="s">
        <v>273</v>
      </c>
      <c r="M71" s="45" t="s">
        <v>278</v>
      </c>
      <c r="N71" s="45"/>
      <c r="O71"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A2.01.33</v>
      </c>
      <c r="P71" s="59" t="s">
        <v>282</v>
      </c>
      <c r="Q71" s="59" t="s">
        <v>119</v>
      </c>
      <c r="R71" s="59"/>
      <c r="S71" s="59" t="s">
        <v>1819</v>
      </c>
      <c r="T71" s="58" t="str">
        <f>IF(Table681620[[#This Row],[LEVEL]]="5",Table681620[[#This Row],[L5]],
IF(Table681620[[#This Row],[LEVEL]]="4",Table681620[[#This Row],[L4]],
IF(Table681620[[#This Row],[LEVEL]]="3",Table681620[[#This Row],[L3]],
IF(Table681620[[#This Row],[LEVEL]]="2",Table681620[[#This Row],[L2]],
IF(Table681620[[#This Row],[LEVEL]]="1",Table681620[[#This Row],[L1]],"")))))</f>
        <v>Site Signage &amp; Safety Barriers</v>
      </c>
      <c r="U71" s="47" t="s">
        <v>62</v>
      </c>
      <c r="V71" s="47" t="s">
        <v>44</v>
      </c>
      <c r="W71" s="70">
        <v>1</v>
      </c>
      <c r="X71" s="70"/>
      <c r="Y71" s="62">
        <f>Table681620[[#This Row],[Qty]]*Table681620[[#This Row],[Rate]]</f>
        <v>0</v>
      </c>
      <c r="Z71" s="51"/>
      <c r="AA71" s="52" t="s">
        <v>79</v>
      </c>
      <c r="AB71" s="48" t="s">
        <v>518</v>
      </c>
      <c r="AC71" s="7"/>
      <c r="AD71" s="49"/>
      <c r="AE71" s="67"/>
      <c r="AF71" s="7"/>
      <c r="AG71" s="49"/>
      <c r="AH71" s="67"/>
      <c r="AI71" s="7"/>
      <c r="AJ71" s="49"/>
      <c r="AK71" s="67"/>
    </row>
    <row r="72" spans="1:37" x14ac:dyDescent="0.3">
      <c r="A72" s="43" t="str">
        <f>INDEX(Table_Numbering[L1],MATCH(Table681620[[#This Row],[L1]],Table_Numbering[L1 Description (Cost Area)],0))</f>
        <v>A</v>
      </c>
      <c r="B72" s="43" t="str">
        <f>IFERROR(INDEX(Table_Numbering[L2],MATCH(Table681620[[#This Row],[L2]],Table_Numbering[L2 Description (Area)],0)),"0")</f>
        <v>2</v>
      </c>
      <c r="C72" s="43" t="str">
        <f>IFERROR(INDEX(Table_Numbering[L3],MATCH(Table681620[[#This Row],[L3]],Table_Numbering[L3 Description (Sub Area)],0)),"0")</f>
        <v>01</v>
      </c>
      <c r="D72" s="43" t="str">
        <f>Table681620[[#This Row],[N1]]&amp;Table681620[[#This Row],[N2]]&amp;Table681620[[#This Row],[N3]]</f>
        <v>A201</v>
      </c>
      <c r="E72" s="43" t="str">
        <f>TEXT(COUNTIF(C$7:C70,Table681620[[#This Row],[N3]]),"00")</f>
        <v>34</v>
      </c>
      <c r="F72" s="43">
        <f>COUNTIFS(J$7:J72,J72,K$7:K72,K72,L$7:L72,L72,M$7:M72,M72)</f>
        <v>1</v>
      </c>
      <c r="G72" s="43" t="str">
        <f>TEXT(COUNTIFS(A$7:A72,A72,B$7:B72,B72,E$7:E72,E72,F$7:F72,1),"00")</f>
        <v>01</v>
      </c>
      <c r="H72" s="43" t="str">
        <f t="shared" si="2"/>
        <v>00</v>
      </c>
      <c r="I72" s="44" t="str">
        <f t="shared" si="3"/>
        <v>4</v>
      </c>
      <c r="J72" s="45" t="s">
        <v>38</v>
      </c>
      <c r="K72" s="45" t="s">
        <v>392</v>
      </c>
      <c r="L72" s="45" t="s">
        <v>273</v>
      </c>
      <c r="M72" s="45" t="s">
        <v>279</v>
      </c>
      <c r="N72" s="45"/>
      <c r="O7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A2.01.34</v>
      </c>
      <c r="P72" s="47" t="s">
        <v>519</v>
      </c>
      <c r="Q72" s="47" t="s">
        <v>119</v>
      </c>
      <c r="R72" s="47"/>
      <c r="S72" s="47" t="s">
        <v>1820</v>
      </c>
      <c r="T72" s="58" t="str">
        <f>IF(Table681620[[#This Row],[LEVEL]]="5",Table681620[[#This Row],[L5]],
IF(Table681620[[#This Row],[LEVEL]]="4",Table681620[[#This Row],[L4]],
IF(Table681620[[#This Row],[LEVEL]]="3",Table681620[[#This Row],[L3]],
IF(Table681620[[#This Row],[LEVEL]]="2",Table681620[[#This Row],[L2]],
IF(Table681620[[#This Row],[LEVEL]]="1",Table681620[[#This Row],[L1]],"")))))</f>
        <v>Waste Management Setup</v>
      </c>
      <c r="U72" s="47" t="s">
        <v>62</v>
      </c>
      <c r="V72" s="47" t="s">
        <v>44</v>
      </c>
      <c r="W72" s="70">
        <v>1</v>
      </c>
      <c r="X72" s="70"/>
      <c r="Y72" s="62">
        <f>Table681620[[#This Row],[Qty]]*Table681620[[#This Row],[Rate]]</f>
        <v>0</v>
      </c>
      <c r="Z72" s="51"/>
      <c r="AA72" s="52" t="s">
        <v>63</v>
      </c>
      <c r="AB72" s="48" t="s">
        <v>520</v>
      </c>
      <c r="AC72" s="7"/>
      <c r="AD72" s="56"/>
      <c r="AE72" s="67"/>
      <c r="AF72" s="7"/>
      <c r="AG72" s="56"/>
      <c r="AH72" s="67"/>
      <c r="AI72" s="7"/>
      <c r="AJ72" s="56"/>
      <c r="AK72" s="67"/>
    </row>
    <row r="73" spans="1:37" x14ac:dyDescent="0.3">
      <c r="A73" s="43" t="str">
        <f>INDEX(Table_Numbering[L1],MATCH(Table681620[[#This Row],[L1]],Table_Numbering[L1 Description (Cost Area)],0))</f>
        <v>A</v>
      </c>
      <c r="B73" s="43" t="str">
        <f>IFERROR(INDEX(Table_Numbering[L2],MATCH(Table681620[[#This Row],[L2]],Table_Numbering[L2 Description (Area)],0)),"0")</f>
        <v>2</v>
      </c>
      <c r="C73" s="43" t="str">
        <f>IFERROR(INDEX(Table_Numbering[L3],MATCH(Table681620[[#This Row],[L3]],Table_Numbering[L3 Description (Sub Area)],0)),"0")</f>
        <v>02</v>
      </c>
      <c r="D73" s="43" t="str">
        <f>Table681620[[#This Row],[N1]]&amp;Table681620[[#This Row],[N2]]&amp;Table681620[[#This Row],[N3]]</f>
        <v>A202</v>
      </c>
      <c r="E73" s="43" t="str">
        <f>TEXT(COUNTIF(C$7:C71,Table681620[[#This Row],[N3]]),"00")</f>
        <v>08</v>
      </c>
      <c r="F73" s="43">
        <f>COUNTIFS(J$7:J73,J73,K$7:K73,K73,L$7:L73,L73,M$7:M73,M73)</f>
        <v>0</v>
      </c>
      <c r="G73" s="43" t="str">
        <f>TEXT(COUNTIFS(A$7:A73,A73,B$7:B73,B73,E$7:E73,E73,F$7:F73,1),"00")</f>
        <v>00</v>
      </c>
      <c r="H73" s="43" t="str">
        <f t="shared" si="2"/>
        <v>00</v>
      </c>
      <c r="I73" s="44" t="str">
        <f t="shared" si="3"/>
        <v>3</v>
      </c>
      <c r="J73" s="45" t="s">
        <v>38</v>
      </c>
      <c r="K73" s="45" t="s">
        <v>392</v>
      </c>
      <c r="L73" s="45" t="s">
        <v>521</v>
      </c>
      <c r="M73" s="45"/>
      <c r="N73" s="45"/>
      <c r="O73"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A2.02</v>
      </c>
      <c r="P73" s="59"/>
      <c r="Q73" s="59"/>
      <c r="R73" s="59"/>
      <c r="S73" s="59"/>
      <c r="T73" s="68" t="str">
        <f>IF(Table681620[[#This Row],[LEVEL]]="5",Table681620[[#This Row],[L5]],
IF(Table681620[[#This Row],[LEVEL]]="4",Table681620[[#This Row],[L4]],
IF(Table681620[[#This Row],[LEVEL]]="3",Table681620[[#This Row],[L3]],
IF(Table681620[[#This Row],[LEVEL]]="2",Table681620[[#This Row],[L2]],
IF(Table681620[[#This Row],[LEVEL]]="1",Table681620[[#This Row],[L1]],"")))))</f>
        <v>DEMOBILISATION</v>
      </c>
      <c r="U73" s="47"/>
      <c r="V73" s="47"/>
      <c r="W73" s="70"/>
      <c r="X73" s="61"/>
      <c r="Y73" s="50">
        <f>SUBTOTAL(9,Y74:Y76)</f>
        <v>0</v>
      </c>
      <c r="Z73" s="51"/>
      <c r="AA73" s="63"/>
      <c r="AB73" s="64"/>
      <c r="AC73" s="7"/>
      <c r="AD73" s="49"/>
      <c r="AE73" s="67"/>
      <c r="AF73" s="7"/>
      <c r="AG73" s="49"/>
      <c r="AH73" s="67"/>
      <c r="AI73" s="7"/>
      <c r="AJ73" s="49"/>
      <c r="AK73" s="67"/>
    </row>
    <row r="74" spans="1:37" x14ac:dyDescent="0.3">
      <c r="A74" s="43" t="str">
        <f>INDEX(Table_Numbering[L1],MATCH(Table681620[[#This Row],[L1]],Table_Numbering[L1 Description (Cost Area)],0))</f>
        <v>A</v>
      </c>
      <c r="B74" s="43" t="str">
        <f>IFERROR(INDEX(Table_Numbering[L2],MATCH(Table681620[[#This Row],[L2]],Table_Numbering[L2 Description (Area)],0)),"0")</f>
        <v>2</v>
      </c>
      <c r="C74" s="43" t="str">
        <f>IFERROR(INDEX(Table_Numbering[L3],MATCH(Table681620[[#This Row],[L3]],Table_Numbering[L3 Description (Sub Area)],0)),"0")</f>
        <v>02</v>
      </c>
      <c r="D74" s="43" t="str">
        <f>Table681620[[#This Row],[N1]]&amp;Table681620[[#This Row],[N2]]&amp;Table681620[[#This Row],[N3]]</f>
        <v>A202</v>
      </c>
      <c r="E74" s="43" t="str">
        <f>TEXT(COUNTIF(C$7:C72,Table681620[[#This Row],[N3]]),"00")</f>
        <v>08</v>
      </c>
      <c r="F74" s="43">
        <f>COUNTIFS(J$7:J74,J74,K$7:K74,K74,L$7:L74,L74,M$7:M74,M74)</f>
        <v>1</v>
      </c>
      <c r="G74" s="43" t="str">
        <f>TEXT(COUNTIFS(A$7:A74,A74,B$7:B74,B74,E$7:E74,E74,F$7:F74,1),"00")</f>
        <v>01</v>
      </c>
      <c r="H74" s="43" t="str">
        <f t="shared" ref="H74:H137" si="4">TEXT(IF(ISBLANK(N74),0,IF(ISBLANK(N72),1,H72+1)),"00")</f>
        <v>00</v>
      </c>
      <c r="I74" s="44" t="str">
        <f t="shared" ref="I74:I137" si="5">IF(AND(ISBLANK(J74),ISBLANK(K74),ISBLANK(L74),ISBLANK(M74),ISBLANK(N74)),"0",
IF(AND(ISBLANK(K74),ISBLANK(L74),ISBLANK(M74),ISBLANK(N74)),"1",
IF(AND(ISBLANK(L74),ISBLANK(M74),ISBLANK(N74)),"2",
IF(AND(ISBLANK(M74),ISBLANK(N74)),"3",
IF(AND(ISBLANK(N74)),"4","5")))))</f>
        <v>4</v>
      </c>
      <c r="J74" s="45" t="s">
        <v>38</v>
      </c>
      <c r="K74" s="45" t="s">
        <v>392</v>
      </c>
      <c r="L74" s="45" t="s">
        <v>521</v>
      </c>
      <c r="M74" s="45" t="s">
        <v>126</v>
      </c>
      <c r="N74" s="45"/>
      <c r="O74"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A2.02.08</v>
      </c>
      <c r="P74" s="59" t="s">
        <v>127</v>
      </c>
      <c r="Q74" s="59" t="s">
        <v>128</v>
      </c>
      <c r="R74" s="59"/>
      <c r="S74" s="59" t="s">
        <v>1821</v>
      </c>
      <c r="T74" s="66" t="str">
        <f>IF(Table681620[[#This Row],[LEVEL]]="5",Table681620[[#This Row],[L5]],
IF(Table681620[[#This Row],[LEVEL]]="4",Table681620[[#This Row],[L4]],
IF(Table681620[[#This Row],[LEVEL]]="3",Table681620[[#This Row],[L3]],
IF(Table681620[[#This Row],[LEVEL]]="2",Table681620[[#This Row],[L2]],
IF(Table681620[[#This Row],[LEVEL]]="1",Table681620[[#This Row],[L1]],"")))))</f>
        <v>Demobilisation</v>
      </c>
      <c r="U74" s="47" t="s">
        <v>62</v>
      </c>
      <c r="V74" s="47" t="s">
        <v>44</v>
      </c>
      <c r="W74" s="70">
        <v>1</v>
      </c>
      <c r="X74" s="70"/>
      <c r="Y74" s="62">
        <f>Table681620[[#This Row],[Qty]]*Table681620[[#This Row],[Rate]]</f>
        <v>0</v>
      </c>
      <c r="Z74" s="51"/>
      <c r="AA74" s="63" t="s">
        <v>79</v>
      </c>
      <c r="AB74" s="64" t="s">
        <v>523</v>
      </c>
      <c r="AC74" s="7"/>
      <c r="AD74" s="56"/>
      <c r="AE74" s="67"/>
      <c r="AF74" s="7"/>
      <c r="AG74" s="56"/>
      <c r="AH74" s="67"/>
      <c r="AI74" s="7"/>
      <c r="AJ74" s="56"/>
      <c r="AK74" s="67"/>
    </row>
    <row r="75" spans="1:37" x14ac:dyDescent="0.3">
      <c r="A75" s="43" t="str">
        <f>INDEX(Table_Numbering[L1],MATCH(Table681620[[#This Row],[L1]],Table_Numbering[L1 Description (Cost Area)],0))</f>
        <v>A</v>
      </c>
      <c r="B75" s="43" t="str">
        <f>IFERROR(INDEX(Table_Numbering[L2],MATCH(Table681620[[#This Row],[L2]],Table_Numbering[L2 Description (Area)],0)),"0")</f>
        <v>2</v>
      </c>
      <c r="C75" s="43" t="str">
        <f>IFERROR(INDEX(Table_Numbering[L3],MATCH(Table681620[[#This Row],[L3]],Table_Numbering[L3 Description (Sub Area)],0)),"0")</f>
        <v>02</v>
      </c>
      <c r="D75" s="43" t="str">
        <f>Table681620[[#This Row],[N1]]&amp;Table681620[[#This Row],[N2]]&amp;Table681620[[#This Row],[N3]]</f>
        <v>A202</v>
      </c>
      <c r="E75" s="43" t="str">
        <f>TEXT(COUNTIF(C$7:C73,Table681620[[#This Row],[N3]]),"00")</f>
        <v>09</v>
      </c>
      <c r="F75" s="43">
        <f>COUNTIFS(J$7:J75,J75,K$7:K75,K75,L$7:L75,L75,M$7:M75,M75)</f>
        <v>1</v>
      </c>
      <c r="G75" s="43" t="str">
        <f>TEXT(COUNTIFS(A$7:A75,A75,B$7:B75,B75,E$7:E75,E75,F$7:F75,1),"00")</f>
        <v>01</v>
      </c>
      <c r="H75" s="43" t="str">
        <f t="shared" si="4"/>
        <v>00</v>
      </c>
      <c r="I75" s="44" t="str">
        <f t="shared" si="5"/>
        <v>4</v>
      </c>
      <c r="J75" s="45" t="s">
        <v>38</v>
      </c>
      <c r="K75" s="45" t="s">
        <v>392</v>
      </c>
      <c r="L75" s="45" t="s">
        <v>521</v>
      </c>
      <c r="M75" s="45" t="s">
        <v>129</v>
      </c>
      <c r="N75" s="45"/>
      <c r="O75"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A2.02.09</v>
      </c>
      <c r="P75" s="59" t="s">
        <v>130</v>
      </c>
      <c r="Q75" s="59" t="s">
        <v>119</v>
      </c>
      <c r="R75" s="59"/>
      <c r="S75" s="59" t="s">
        <v>1822</v>
      </c>
      <c r="T75" s="66" t="str">
        <f>IF(Table681620[[#This Row],[LEVEL]]="5",Table681620[[#This Row],[L5]],
IF(Table681620[[#This Row],[LEVEL]]="4",Table681620[[#This Row],[L4]],
IF(Table681620[[#This Row],[LEVEL]]="3",Table681620[[#This Row],[L3]],
IF(Table681620[[#This Row],[LEVEL]]="2",Table681620[[#This Row],[L2]],
IF(Table681620[[#This Row],[LEVEL]]="1",Table681620[[#This Row],[L1]],"")))))</f>
        <v>Make-good and Reinstatement</v>
      </c>
      <c r="U75" s="47" t="s">
        <v>62</v>
      </c>
      <c r="V75" s="47" t="s">
        <v>44</v>
      </c>
      <c r="W75" s="70">
        <v>1</v>
      </c>
      <c r="X75" s="70"/>
      <c r="Y75" s="62">
        <f>Table681620[[#This Row],[Qty]]*Table681620[[#This Row],[Rate]]</f>
        <v>0</v>
      </c>
      <c r="Z75" s="51"/>
      <c r="AA75" s="63" t="s">
        <v>79</v>
      </c>
      <c r="AB75" s="64" t="s">
        <v>524</v>
      </c>
      <c r="AC75" s="7"/>
      <c r="AD75" s="49"/>
      <c r="AE75" s="67"/>
      <c r="AF75" s="7"/>
      <c r="AG75" s="49"/>
      <c r="AH75" s="67"/>
      <c r="AI75" s="7"/>
      <c r="AJ75" s="49"/>
      <c r="AK75" s="67"/>
    </row>
    <row r="76" spans="1:37" x14ac:dyDescent="0.3">
      <c r="A76" s="43" t="str">
        <f>INDEX(Table_Numbering[L1],MATCH(Table681620[[#This Row],[L1]],Table_Numbering[L1 Description (Cost Area)],0))</f>
        <v>A</v>
      </c>
      <c r="B76" s="43" t="str">
        <f>IFERROR(INDEX(Table_Numbering[L2],MATCH(Table681620[[#This Row],[L2]],Table_Numbering[L2 Description (Area)],0)),"0")</f>
        <v>2</v>
      </c>
      <c r="C76" s="43" t="str">
        <f>IFERROR(INDEX(Table_Numbering[L3],MATCH(Table681620[[#This Row],[L3]],Table_Numbering[L3 Description (Sub Area)],0)),"0")</f>
        <v>02</v>
      </c>
      <c r="D76" s="43" t="str">
        <f>Table681620[[#This Row],[N1]]&amp;Table681620[[#This Row],[N2]]&amp;Table681620[[#This Row],[N3]]</f>
        <v>A202</v>
      </c>
      <c r="E76" s="43" t="str">
        <f>TEXT(COUNTIF(C$7:C74,Table681620[[#This Row],[N3]]),"00")</f>
        <v>10</v>
      </c>
      <c r="F76" s="43">
        <f>COUNTIFS(J$7:J76,J76,K$7:K76,K76,L$7:L76,L76,M$7:M76,M76)</f>
        <v>1</v>
      </c>
      <c r="G76" s="43" t="str">
        <f>TEXT(COUNTIFS(A$7:A76,A76,B$7:B76,B76,E$7:E76,E76,F$7:F76,1),"00")</f>
        <v>01</v>
      </c>
      <c r="H76" s="43" t="str">
        <f t="shared" si="4"/>
        <v>00</v>
      </c>
      <c r="I76" s="44" t="str">
        <f t="shared" si="5"/>
        <v>4</v>
      </c>
      <c r="J76" s="45" t="s">
        <v>38</v>
      </c>
      <c r="K76" s="45" t="s">
        <v>392</v>
      </c>
      <c r="L76" s="45" t="s">
        <v>521</v>
      </c>
      <c r="M76" s="45" t="s">
        <v>131</v>
      </c>
      <c r="N76" s="45"/>
      <c r="O76"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A2.02.10</v>
      </c>
      <c r="P76" s="59" t="s">
        <v>132</v>
      </c>
      <c r="Q76" s="59" t="s">
        <v>125</v>
      </c>
      <c r="R76" s="59"/>
      <c r="S76" s="59" t="s">
        <v>1823</v>
      </c>
      <c r="T76" s="66" t="str">
        <f>IF(Table681620[[#This Row],[LEVEL]]="5",Table681620[[#This Row],[L5]],
IF(Table681620[[#This Row],[LEVEL]]="4",Table681620[[#This Row],[L4]],
IF(Table681620[[#This Row],[LEVEL]]="3",Table681620[[#This Row],[L3]],
IF(Table681620[[#This Row],[LEVEL]]="2",Table681620[[#This Row],[L2]],
IF(Table681620[[#This Row],[LEVEL]]="1",Table681620[[#This Row],[L1]],"")))))</f>
        <v>Defects Liability &amp; Close-out</v>
      </c>
      <c r="U76" s="47" t="s">
        <v>62</v>
      </c>
      <c r="V76" s="72" t="s">
        <v>44</v>
      </c>
      <c r="W76" s="72">
        <v>1</v>
      </c>
      <c r="X76" s="70"/>
      <c r="Y76" s="62">
        <f>Table681620[[#This Row],[Qty]]*Table681620[[#This Row],[Rate]]</f>
        <v>0</v>
      </c>
      <c r="Z76" s="51"/>
      <c r="AA76" s="64" t="s">
        <v>525</v>
      </c>
      <c r="AB76" s="64" t="s">
        <v>526</v>
      </c>
      <c r="AC76" s="7"/>
      <c r="AD76" s="49"/>
      <c r="AE76" s="67"/>
      <c r="AF76" s="7"/>
      <c r="AG76" s="49"/>
      <c r="AH76" s="67"/>
      <c r="AI76" s="7"/>
      <c r="AJ76" s="49"/>
      <c r="AK76" s="67"/>
    </row>
    <row r="77" spans="1:37" x14ac:dyDescent="0.3">
      <c r="A77" s="43" t="str">
        <f>INDEX(Table_Numbering[L1],MATCH(Table681620[[#This Row],[L1]],Table_Numbering[L1 Description (Cost Area)],0))</f>
        <v>A</v>
      </c>
      <c r="B77" s="43" t="str">
        <f>IFERROR(INDEX(Table_Numbering[L2],MATCH(Table681620[[#This Row],[L2]],Table_Numbering[L2 Description (Area)],0)),"0")</f>
        <v>2</v>
      </c>
      <c r="C77" s="43" t="str">
        <f>IFERROR(INDEX(Table_Numbering[L3],MATCH(Table681620[[#This Row],[L3]],Table_Numbering[L3 Description (Sub Area)],0)),"0")</f>
        <v>03</v>
      </c>
      <c r="D77" s="43" t="str">
        <f>Table681620[[#This Row],[N1]]&amp;Table681620[[#This Row],[N2]]&amp;Table681620[[#This Row],[N3]]</f>
        <v>A203</v>
      </c>
      <c r="E77" s="43" t="str">
        <f>TEXT(COUNTIF(C$7:C75,Table681620[[#This Row],[N3]]),"00")</f>
        <v>06</v>
      </c>
      <c r="F77" s="43">
        <f>COUNTIFS(J$7:J77,J77,K$7:K77,K77,L$7:L77,L77,M$7:M77,M77)</f>
        <v>0</v>
      </c>
      <c r="G77" s="43" t="str">
        <f>TEXT(COUNTIFS(A$7:A77,A77,B$7:B77,B77,E$7:E77,E77,F$7:F77,1),"00")</f>
        <v>00</v>
      </c>
      <c r="H77" s="43" t="str">
        <f t="shared" si="4"/>
        <v>00</v>
      </c>
      <c r="I77" s="44" t="str">
        <f t="shared" si="5"/>
        <v>3</v>
      </c>
      <c r="J77" s="45" t="s">
        <v>38</v>
      </c>
      <c r="K77" s="45" t="s">
        <v>392</v>
      </c>
      <c r="L77" s="45" t="s">
        <v>527</v>
      </c>
      <c r="M77" s="45"/>
      <c r="N77" s="45"/>
      <c r="O77"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A2.03</v>
      </c>
      <c r="P77" s="59"/>
      <c r="Q77" s="59"/>
      <c r="R77" s="59"/>
      <c r="S77" s="59"/>
      <c r="T77" s="68" t="str">
        <f>IF(Table681620[[#This Row],[LEVEL]]="5",Table681620[[#This Row],[L5]],
IF(Table681620[[#This Row],[LEVEL]]="4",Table681620[[#This Row],[L4]],
IF(Table681620[[#This Row],[LEVEL]]="3",Table681620[[#This Row],[L3]],
IF(Table681620[[#This Row],[LEVEL]]="2",Table681620[[#This Row],[L2]],
IF(Table681620[[#This Row],[LEVEL]]="1",Table681620[[#This Row],[L1]],"")))))</f>
        <v>PROCUREMENT</v>
      </c>
      <c r="U77" s="47"/>
      <c r="V77" s="72"/>
      <c r="W77" s="72"/>
      <c r="X77" s="70"/>
      <c r="Y77" s="50">
        <f>SUBTOTAL(9,Y78:Y82)</f>
        <v>0</v>
      </c>
      <c r="Z77" s="51"/>
      <c r="AA77" s="64"/>
      <c r="AB77" s="64"/>
      <c r="AC77" s="7"/>
      <c r="AD77" s="49"/>
      <c r="AE77" s="67"/>
      <c r="AF77" s="7"/>
      <c r="AG77" s="49"/>
      <c r="AH77" s="67"/>
      <c r="AI77" s="7"/>
      <c r="AJ77" s="49"/>
      <c r="AK77" s="67"/>
    </row>
    <row r="78" spans="1:37" x14ac:dyDescent="0.3">
      <c r="A78" s="43" t="str">
        <f>INDEX(Table_Numbering[L1],MATCH(Table681620[[#This Row],[L1]],Table_Numbering[L1 Description (Cost Area)],0))</f>
        <v>A</v>
      </c>
      <c r="B78" s="43" t="str">
        <f>IFERROR(INDEX(Table_Numbering[L2],MATCH(Table681620[[#This Row],[L2]],Table_Numbering[L2 Description (Area)],0)),"0")</f>
        <v>2</v>
      </c>
      <c r="C78" s="43" t="str">
        <f>IFERROR(INDEX(Table_Numbering[L3],MATCH(Table681620[[#This Row],[L3]],Table_Numbering[L3 Description (Sub Area)],0)),"0")</f>
        <v>03</v>
      </c>
      <c r="D78" s="43" t="str">
        <f>Table681620[[#This Row],[N1]]&amp;Table681620[[#This Row],[N2]]&amp;Table681620[[#This Row],[N3]]</f>
        <v>A203</v>
      </c>
      <c r="E78" s="43" t="str">
        <f>TEXT(COUNTIF(C$7:C76,Table681620[[#This Row],[N3]]),"00")</f>
        <v>06</v>
      </c>
      <c r="F78" s="43">
        <f>COUNTIFS(J$7:J78,J78,K$7:K78,K78,L$7:L78,L78,M$7:M78,M78)</f>
        <v>1</v>
      </c>
      <c r="G78" s="43" t="str">
        <f>TEXT(COUNTIFS(A$7:A78,A78,B$7:B78,B78,E$7:E78,E78,F$7:F78,1),"00")</f>
        <v>01</v>
      </c>
      <c r="H78" s="43" t="str">
        <f t="shared" si="4"/>
        <v>00</v>
      </c>
      <c r="I78" s="44" t="str">
        <f t="shared" si="5"/>
        <v>4</v>
      </c>
      <c r="J78" s="45" t="s">
        <v>38</v>
      </c>
      <c r="K78" s="45" t="s">
        <v>392</v>
      </c>
      <c r="L78" s="45" t="s">
        <v>527</v>
      </c>
      <c r="M78" s="45" t="s">
        <v>284</v>
      </c>
      <c r="N78" s="45"/>
      <c r="O78"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A2.03.06</v>
      </c>
      <c r="P78" s="59" t="s">
        <v>325</v>
      </c>
      <c r="Q78" s="59" t="s">
        <v>326</v>
      </c>
      <c r="R78" s="59" t="s">
        <v>529</v>
      </c>
      <c r="S78" s="59" t="s">
        <v>1824</v>
      </c>
      <c r="T78" s="66" t="str">
        <f>IF(Table681620[[#This Row],[LEVEL]]="5",Table681620[[#This Row],[L5]],
IF(Table681620[[#This Row],[LEVEL]]="4",Table681620[[#This Row],[L4]],
IF(Table681620[[#This Row],[LEVEL]]="3",Table681620[[#This Row],[L3]],
IF(Table681620[[#This Row],[LEVEL]]="2",Table681620[[#This Row],[L2]],
IF(Table681620[[#This Row],[LEVEL]]="1",Table681620[[#This Row],[L1]],"")))))</f>
        <v>Long Lead Items - HVAC Equipment</v>
      </c>
      <c r="U78" s="47" t="s">
        <v>62</v>
      </c>
      <c r="V78" s="72" t="s">
        <v>44</v>
      </c>
      <c r="W78" s="72">
        <v>1</v>
      </c>
      <c r="X78" s="70"/>
      <c r="Y78" s="62">
        <f>Table681620[[#This Row],[Qty]]*Table681620[[#This Row],[Rate]]</f>
        <v>0</v>
      </c>
      <c r="Z78" s="51"/>
      <c r="AA78" s="64" t="s">
        <v>530</v>
      </c>
      <c r="AB78" s="64" t="s">
        <v>531</v>
      </c>
      <c r="AC78" s="7"/>
      <c r="AD78" s="49"/>
      <c r="AE78" s="67"/>
      <c r="AF78" s="7"/>
      <c r="AG78" s="49"/>
      <c r="AH78" s="67"/>
      <c r="AI78" s="7"/>
      <c r="AJ78" s="49"/>
      <c r="AK78" s="67"/>
    </row>
    <row r="79" spans="1:37" x14ac:dyDescent="0.3">
      <c r="A79" s="43" t="str">
        <f>INDEX(Table_Numbering[L1],MATCH(Table681620[[#This Row],[L1]],Table_Numbering[L1 Description (Cost Area)],0))</f>
        <v>A</v>
      </c>
      <c r="B79" s="43" t="str">
        <f>IFERROR(INDEX(Table_Numbering[L2],MATCH(Table681620[[#This Row],[L2]],Table_Numbering[L2 Description (Area)],0)),"0")</f>
        <v>2</v>
      </c>
      <c r="C79" s="43" t="str">
        <f>IFERROR(INDEX(Table_Numbering[L3],MATCH(Table681620[[#This Row],[L3]],Table_Numbering[L3 Description (Sub Area)],0)),"0")</f>
        <v>03</v>
      </c>
      <c r="D79" s="43" t="str">
        <f>Table681620[[#This Row],[N1]]&amp;Table681620[[#This Row],[N2]]&amp;Table681620[[#This Row],[N3]]</f>
        <v>A203</v>
      </c>
      <c r="E79" s="43" t="str">
        <f>TEXT(COUNTIF(C$7:C77,Table681620[[#This Row],[N3]]),"00")</f>
        <v>07</v>
      </c>
      <c r="F79" s="43">
        <f>COUNTIFS(J$7:J79,J79,K$7:K79,K79,L$7:L79,L79,M$7:M79,M79)</f>
        <v>1</v>
      </c>
      <c r="G79" s="43" t="str">
        <f>TEXT(COUNTIFS(A$7:A79,A79,B$7:B79,B79,E$7:E79,E79,F$7:F79,1),"00")</f>
        <v>01</v>
      </c>
      <c r="H79" s="43" t="str">
        <f t="shared" si="4"/>
        <v>00</v>
      </c>
      <c r="I79" s="44" t="str">
        <f t="shared" si="5"/>
        <v>4</v>
      </c>
      <c r="J79" s="45" t="s">
        <v>38</v>
      </c>
      <c r="K79" s="45" t="s">
        <v>392</v>
      </c>
      <c r="L79" s="45" t="s">
        <v>527</v>
      </c>
      <c r="M79" s="45" t="s">
        <v>285</v>
      </c>
      <c r="N79" s="45"/>
      <c r="O79"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A2.03.07</v>
      </c>
      <c r="P79" s="59" t="s">
        <v>325</v>
      </c>
      <c r="Q79" s="59" t="s">
        <v>326</v>
      </c>
      <c r="R79" s="59" t="s">
        <v>532</v>
      </c>
      <c r="S79" s="59" t="s">
        <v>1825</v>
      </c>
      <c r="T79" s="66" t="str">
        <f>IF(Table681620[[#This Row],[LEVEL]]="5",Table681620[[#This Row],[L5]],
IF(Table681620[[#This Row],[LEVEL]]="4",Table681620[[#This Row],[L4]],
IF(Table681620[[#This Row],[LEVEL]]="3",Table681620[[#This Row],[L3]],
IF(Table681620[[#This Row],[LEVEL]]="2",Table681620[[#This Row],[L2]],
IF(Table681620[[#This Row],[LEVEL]]="1",Table681620[[#This Row],[L1]],"")))))</f>
        <v>Long Lead Items - Switchboards</v>
      </c>
      <c r="U79" s="47" t="s">
        <v>62</v>
      </c>
      <c r="V79" s="72" t="s">
        <v>44</v>
      </c>
      <c r="W79" s="72">
        <v>1</v>
      </c>
      <c r="X79" s="70"/>
      <c r="Y79" s="62">
        <f>Table681620[[#This Row],[Qty]]*Table681620[[#This Row],[Rate]]</f>
        <v>0</v>
      </c>
      <c r="Z79" s="51"/>
      <c r="AA79" s="64" t="s">
        <v>530</v>
      </c>
      <c r="AB79" s="64" t="s">
        <v>533</v>
      </c>
      <c r="AC79" s="7"/>
      <c r="AD79" s="49"/>
      <c r="AE79" s="67"/>
      <c r="AF79" s="7"/>
      <c r="AG79" s="49"/>
      <c r="AH79" s="67"/>
      <c r="AI79" s="7"/>
      <c r="AJ79" s="49"/>
      <c r="AK79" s="67"/>
    </row>
    <row r="80" spans="1:37" x14ac:dyDescent="0.3">
      <c r="A80" s="43" t="str">
        <f>INDEX(Table_Numbering[L1],MATCH(Table681620[[#This Row],[L1]],Table_Numbering[L1 Description (Cost Area)],0))</f>
        <v>A</v>
      </c>
      <c r="B80" s="43" t="str">
        <f>IFERROR(INDEX(Table_Numbering[L2],MATCH(Table681620[[#This Row],[L2]],Table_Numbering[L2 Description (Area)],0)),"0")</f>
        <v>2</v>
      </c>
      <c r="C80" s="43" t="str">
        <f>IFERROR(INDEX(Table_Numbering[L3],MATCH(Table681620[[#This Row],[L3]],Table_Numbering[L3 Description (Sub Area)],0)),"0")</f>
        <v>03</v>
      </c>
      <c r="D80" s="43" t="str">
        <f>Table681620[[#This Row],[N1]]&amp;Table681620[[#This Row],[N2]]&amp;Table681620[[#This Row],[N3]]</f>
        <v>A203</v>
      </c>
      <c r="E80" s="43" t="str">
        <f>TEXT(COUNTIF(C$7:C78,Table681620[[#This Row],[N3]]),"00")</f>
        <v>08</v>
      </c>
      <c r="F80" s="43">
        <f>COUNTIFS(J$7:J80,J80,K$7:K80,K80,L$7:L80,L80,M$7:M80,M80)</f>
        <v>1</v>
      </c>
      <c r="G80" s="43" t="str">
        <f>TEXT(COUNTIFS(A$7:A80,A80,B$7:B80,B80,E$7:E80,E80,F$7:F80,1),"00")</f>
        <v>02</v>
      </c>
      <c r="H80" s="43" t="str">
        <f t="shared" si="4"/>
        <v>00</v>
      </c>
      <c r="I80" s="44" t="str">
        <f t="shared" si="5"/>
        <v>4</v>
      </c>
      <c r="J80" s="45" t="s">
        <v>38</v>
      </c>
      <c r="K80" s="45" t="s">
        <v>392</v>
      </c>
      <c r="L80" s="45" t="s">
        <v>527</v>
      </c>
      <c r="M80" s="45" t="s">
        <v>286</v>
      </c>
      <c r="N80" s="45"/>
      <c r="O80"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A2.03.08</v>
      </c>
      <c r="P80" s="59" t="s">
        <v>327</v>
      </c>
      <c r="Q80" s="59" t="s">
        <v>328</v>
      </c>
      <c r="R80" s="59" t="s">
        <v>534</v>
      </c>
      <c r="S80" s="59" t="s">
        <v>1826</v>
      </c>
      <c r="T80" s="66" t="str">
        <f>IF(Table681620[[#This Row],[LEVEL]]="5",Table681620[[#This Row],[L5]],
IF(Table681620[[#This Row],[LEVEL]]="4",Table681620[[#This Row],[L4]],
IF(Table681620[[#This Row],[LEVEL]]="3",Table681620[[#This Row],[L3]],
IF(Table681620[[#This Row],[LEVEL]]="2",Table681620[[#This Row],[L2]],
IF(Table681620[[#This Row],[LEVEL]]="1",Table681620[[#This Row],[L1]],"")))))</f>
        <v>Long Lead Items - Fire Services Equipment</v>
      </c>
      <c r="U80" s="47" t="s">
        <v>62</v>
      </c>
      <c r="V80" s="47" t="s">
        <v>44</v>
      </c>
      <c r="W80" s="70">
        <v>1</v>
      </c>
      <c r="X80" s="70"/>
      <c r="Y80" s="62">
        <f>Table681620[[#This Row],[Qty]]*Table681620[[#This Row],[Rate]]</f>
        <v>0</v>
      </c>
      <c r="Z80" s="51"/>
      <c r="AA80" s="63" t="s">
        <v>530</v>
      </c>
      <c r="AB80" s="64" t="s">
        <v>535</v>
      </c>
      <c r="AC80" s="7"/>
      <c r="AD80" s="56"/>
      <c r="AE80" s="67"/>
      <c r="AF80" s="7"/>
      <c r="AG80" s="56"/>
      <c r="AH80" s="67"/>
      <c r="AI80" s="7"/>
      <c r="AJ80" s="56"/>
      <c r="AK80" s="67"/>
    </row>
    <row r="81" spans="1:37" x14ac:dyDescent="0.3">
      <c r="A81" s="43" t="str">
        <f>INDEX(Table_Numbering[L1],MATCH(Table681620[[#This Row],[L1]],Table_Numbering[L1 Description (Cost Area)],0))</f>
        <v>A</v>
      </c>
      <c r="B81" s="43" t="str">
        <f>IFERROR(INDEX(Table_Numbering[L2],MATCH(Table681620[[#This Row],[L2]],Table_Numbering[L2 Description (Area)],0)),"0")</f>
        <v>2</v>
      </c>
      <c r="C81" s="43" t="str">
        <f>IFERROR(INDEX(Table_Numbering[L3],MATCH(Table681620[[#This Row],[L3]],Table_Numbering[L3 Description (Sub Area)],0)),"0")</f>
        <v>03</v>
      </c>
      <c r="D81" s="43" t="str">
        <f>Table681620[[#This Row],[N1]]&amp;Table681620[[#This Row],[N2]]&amp;Table681620[[#This Row],[N3]]</f>
        <v>A203</v>
      </c>
      <c r="E81" s="43" t="str">
        <f>TEXT(COUNTIF(C$7:C79,Table681620[[#This Row],[N3]]),"00")</f>
        <v>09</v>
      </c>
      <c r="F81" s="43">
        <f>COUNTIFS(J$7:J81,J81,K$7:K81,K81,L$7:L81,L81,M$7:M81,M81)</f>
        <v>1</v>
      </c>
      <c r="G81" s="43" t="str">
        <f>TEXT(COUNTIFS(A$7:A81,A81,B$7:B81,B81,E$7:E81,E81,F$7:F81,1),"00")</f>
        <v>02</v>
      </c>
      <c r="H81" s="43" t="str">
        <f t="shared" si="4"/>
        <v>00</v>
      </c>
      <c r="I81" s="44" t="str">
        <f t="shared" si="5"/>
        <v>4</v>
      </c>
      <c r="J81" s="45" t="s">
        <v>38</v>
      </c>
      <c r="K81" s="45" t="s">
        <v>392</v>
      </c>
      <c r="L81" s="45" t="s">
        <v>527</v>
      </c>
      <c r="M81" s="45" t="s">
        <v>287</v>
      </c>
      <c r="N81" s="45"/>
      <c r="O81"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A2.03.09</v>
      </c>
      <c r="P81" s="59" t="s">
        <v>329</v>
      </c>
      <c r="Q81" s="59" t="s">
        <v>328</v>
      </c>
      <c r="R81" s="59" t="s">
        <v>536</v>
      </c>
      <c r="S81" s="59" t="s">
        <v>1827</v>
      </c>
      <c r="T81" s="66" t="str">
        <f>IF(Table681620[[#This Row],[LEVEL]]="5",Table681620[[#This Row],[L5]],
IF(Table681620[[#This Row],[LEVEL]]="4",Table681620[[#This Row],[L4]],
IF(Table681620[[#This Row],[LEVEL]]="3",Table681620[[#This Row],[L3]],
IF(Table681620[[#This Row],[LEVEL]]="2",Table681620[[#This Row],[L2]],
IF(Table681620[[#This Row],[LEVEL]]="1",Table681620[[#This Row],[L1]],"")))))</f>
        <v>Architectural Materials Supply</v>
      </c>
      <c r="U81" s="59" t="s">
        <v>62</v>
      </c>
      <c r="V81" s="59" t="s">
        <v>44</v>
      </c>
      <c r="W81" s="49">
        <v>1</v>
      </c>
      <c r="X81" s="61"/>
      <c r="Y81" s="62">
        <f>Table681620[[#This Row],[Qty]]*Table681620[[#This Row],[Rate]]</f>
        <v>0</v>
      </c>
      <c r="Z81" s="51"/>
      <c r="AA81" s="63" t="s">
        <v>537</v>
      </c>
      <c r="AB81" s="64" t="s">
        <v>538</v>
      </c>
      <c r="AC81" s="7"/>
      <c r="AD81" s="49"/>
      <c r="AE81" s="67"/>
      <c r="AF81" s="7"/>
      <c r="AG81" s="49"/>
      <c r="AH81" s="67"/>
      <c r="AI81" s="7"/>
      <c r="AJ81" s="49"/>
      <c r="AK81" s="67"/>
    </row>
    <row r="82" spans="1:37" x14ac:dyDescent="0.3">
      <c r="A82" s="43" t="str">
        <f>INDEX(Table_Numbering[L1],MATCH(Table681620[[#This Row],[L1]],Table_Numbering[L1 Description (Cost Area)],0))</f>
        <v>A</v>
      </c>
      <c r="B82" s="43" t="str">
        <f>IFERROR(INDEX(Table_Numbering[L2],MATCH(Table681620[[#This Row],[L2]],Table_Numbering[L2 Description (Area)],0)),"0")</f>
        <v>2</v>
      </c>
      <c r="C82" s="43" t="str">
        <f>IFERROR(INDEX(Table_Numbering[L3],MATCH(Table681620[[#This Row],[L3]],Table_Numbering[L3 Description (Sub Area)],0)),"0")</f>
        <v>03</v>
      </c>
      <c r="D82" s="43" t="str">
        <f>Table681620[[#This Row],[N1]]&amp;Table681620[[#This Row],[N2]]&amp;Table681620[[#This Row],[N3]]</f>
        <v>A203</v>
      </c>
      <c r="E82" s="43" t="str">
        <f>TEXT(COUNTIF(C$7:C80,Table681620[[#This Row],[N3]]),"00")</f>
        <v>10</v>
      </c>
      <c r="F82" s="43">
        <f>COUNTIFS(J$7:J82,J82,K$7:K82,K82,L$7:L82,L82,M$7:M82,M82)</f>
        <v>1</v>
      </c>
      <c r="G82" s="43" t="str">
        <f>TEXT(COUNTIFS(A$7:A82,A82,B$7:B82,B82,E$7:E82,E82,F$7:F82,1),"00")</f>
        <v>02</v>
      </c>
      <c r="H82" s="43" t="str">
        <f t="shared" si="4"/>
        <v>00</v>
      </c>
      <c r="I82" s="44" t="str">
        <f t="shared" si="5"/>
        <v>4</v>
      </c>
      <c r="J82" s="45" t="s">
        <v>38</v>
      </c>
      <c r="K82" s="45" t="s">
        <v>392</v>
      </c>
      <c r="L82" s="45" t="s">
        <v>527</v>
      </c>
      <c r="M82" s="45" t="s">
        <v>288</v>
      </c>
      <c r="N82" s="45"/>
      <c r="O8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A2.03.10</v>
      </c>
      <c r="P82" s="47" t="s">
        <v>330</v>
      </c>
      <c r="Q82" s="59" t="s">
        <v>328</v>
      </c>
      <c r="R82" s="59" t="s">
        <v>539</v>
      </c>
      <c r="S82" s="59" t="s">
        <v>1828</v>
      </c>
      <c r="T82" s="58" t="str">
        <f>IF(Table681620[[#This Row],[LEVEL]]="5",Table681620[[#This Row],[L5]],
IF(Table681620[[#This Row],[LEVEL]]="4",Table681620[[#This Row],[L4]],
IF(Table681620[[#This Row],[LEVEL]]="3",Table681620[[#This Row],[L3]],
IF(Table681620[[#This Row],[LEVEL]]="2",Table681620[[#This Row],[L2]],
IF(Table681620[[#This Row],[LEVEL]]="1",Table681620[[#This Row],[L1]],"")))))</f>
        <v>Structural Materials Supply</v>
      </c>
      <c r="U82" s="47" t="s">
        <v>62</v>
      </c>
      <c r="V82" s="47" t="s">
        <v>44</v>
      </c>
      <c r="W82" s="70">
        <v>1</v>
      </c>
      <c r="X82" s="70"/>
      <c r="Y82" s="62">
        <f>Table681620[[#This Row],[Qty]]*Table681620[[#This Row],[Rate]]</f>
        <v>0</v>
      </c>
      <c r="Z82" s="51"/>
      <c r="AA82" s="52" t="s">
        <v>530</v>
      </c>
      <c r="AB82" s="48" t="s">
        <v>540</v>
      </c>
      <c r="AC82" s="7"/>
      <c r="AD82" s="56"/>
      <c r="AE82" s="67"/>
      <c r="AF82" s="7"/>
      <c r="AG82" s="56"/>
      <c r="AH82" s="67"/>
      <c r="AI82" s="7"/>
      <c r="AJ82" s="56"/>
      <c r="AK82" s="67"/>
    </row>
    <row r="83" spans="1:37" x14ac:dyDescent="0.3">
      <c r="A83" s="43" t="str">
        <f>INDEX(Table_Numbering[L1],MATCH(Table681620[[#This Row],[L1]],Table_Numbering[L1 Description (Cost Area)],0))</f>
        <v>A</v>
      </c>
      <c r="B83" s="43" t="str">
        <f>IFERROR(INDEX(Table_Numbering[L2],MATCH(Table681620[[#This Row],[L2]],Table_Numbering[L2 Description (Area)],0)),"0")</f>
        <v>2</v>
      </c>
      <c r="C83" s="43" t="str">
        <f>IFERROR(INDEX(Table_Numbering[L3],MATCH(Table681620[[#This Row],[L3]],Table_Numbering[L3 Description (Sub Area)],0)),"0")</f>
        <v>04</v>
      </c>
      <c r="D83" s="43" t="str">
        <f>Table681620[[#This Row],[N1]]&amp;Table681620[[#This Row],[N2]]&amp;Table681620[[#This Row],[N3]]</f>
        <v>A204</v>
      </c>
      <c r="E83" s="43" t="str">
        <f>TEXT(COUNTIF(C$7:C81,Table681620[[#This Row],[N3]]),"00")</f>
        <v>04</v>
      </c>
      <c r="F83" s="43">
        <f>COUNTIFS(J$7:J83,J83,K$7:K83,K83,L$7:L83,L83,M$7:M83,M83)</f>
        <v>0</v>
      </c>
      <c r="G83" s="43" t="str">
        <f>TEXT(COUNTIFS(A$7:A83,A83,B$7:B83,B83,E$7:E83,E83,F$7:F83,1),"00")</f>
        <v>00</v>
      </c>
      <c r="H83" s="43" t="str">
        <f t="shared" si="4"/>
        <v>00</v>
      </c>
      <c r="I83" s="44" t="str">
        <f t="shared" si="5"/>
        <v>3</v>
      </c>
      <c r="J83" s="45" t="s">
        <v>38</v>
      </c>
      <c r="K83" s="45" t="s">
        <v>392</v>
      </c>
      <c r="L83" s="45" t="s">
        <v>541</v>
      </c>
      <c r="M83" s="45"/>
      <c r="N83" s="45"/>
      <c r="O83"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A2.04</v>
      </c>
      <c r="P83" s="59"/>
      <c r="Q83" s="59"/>
      <c r="R83" s="59"/>
      <c r="S83" s="59"/>
      <c r="T83" s="68" t="str">
        <f>IF(Table681620[[#This Row],[LEVEL]]="5",Table681620[[#This Row],[L5]],
IF(Table681620[[#This Row],[LEVEL]]="4",Table681620[[#This Row],[L4]],
IF(Table681620[[#This Row],[LEVEL]]="3",Table681620[[#This Row],[L3]],
IF(Table681620[[#This Row],[LEVEL]]="2",Table681620[[#This Row],[L2]],
IF(Table681620[[#This Row],[LEVEL]]="1",Table681620[[#This Row],[L1]],"")))))</f>
        <v>COMMISSIONING</v>
      </c>
      <c r="U83" s="47"/>
      <c r="V83" s="47"/>
      <c r="W83" s="70"/>
      <c r="X83" s="70"/>
      <c r="Y83" s="50">
        <f>SUBTOTAL(9,Y84:Y88)</f>
        <v>0</v>
      </c>
      <c r="Z83" s="51"/>
      <c r="AA83" s="63"/>
      <c r="AB83" s="64"/>
      <c r="AC83" s="7"/>
      <c r="AD83" s="49"/>
      <c r="AE83" s="67"/>
      <c r="AF83" s="7"/>
      <c r="AG83" s="49"/>
      <c r="AH83" s="67"/>
      <c r="AI83" s="7"/>
      <c r="AJ83" s="49"/>
      <c r="AK83" s="67"/>
    </row>
    <row r="84" spans="1:37" x14ac:dyDescent="0.3">
      <c r="A84" s="43" t="str">
        <f>INDEX(Table_Numbering[L1],MATCH(Table681620[[#This Row],[L1]],Table_Numbering[L1 Description (Cost Area)],0))</f>
        <v>A</v>
      </c>
      <c r="B84" s="43" t="str">
        <f>IFERROR(INDEX(Table_Numbering[L2],MATCH(Table681620[[#This Row],[L2]],Table_Numbering[L2 Description (Area)],0)),"0")</f>
        <v>2</v>
      </c>
      <c r="C84" s="43" t="str">
        <f>IFERROR(INDEX(Table_Numbering[L3],MATCH(Table681620[[#This Row],[L3]],Table_Numbering[L3 Description (Sub Area)],0)),"0")</f>
        <v>04</v>
      </c>
      <c r="D84" s="43" t="str">
        <f>Table681620[[#This Row],[N1]]&amp;Table681620[[#This Row],[N2]]&amp;Table681620[[#This Row],[N3]]</f>
        <v>A204</v>
      </c>
      <c r="E84" s="43" t="str">
        <f>TEXT(COUNTIF(C$7:C82,Table681620[[#This Row],[N3]]),"00")</f>
        <v>04</v>
      </c>
      <c r="F84" s="43">
        <f>COUNTIFS(J$7:J84,J84,K$7:K84,K84,L$7:L84,L84,M$7:M84,M84)</f>
        <v>1</v>
      </c>
      <c r="G84" s="43" t="str">
        <f>TEXT(COUNTIFS(A$7:A84,A84,B$7:B84,B84,E$7:E84,E84,F$7:F84,1),"00")</f>
        <v>01</v>
      </c>
      <c r="H84" s="43" t="str">
        <f t="shared" si="4"/>
        <v>00</v>
      </c>
      <c r="I84" s="44" t="str">
        <f t="shared" si="5"/>
        <v>4</v>
      </c>
      <c r="J84" s="45" t="s">
        <v>38</v>
      </c>
      <c r="K84" s="45" t="s">
        <v>392</v>
      </c>
      <c r="L84" s="45" t="s">
        <v>541</v>
      </c>
      <c r="M84" s="45" t="s">
        <v>289</v>
      </c>
      <c r="N84" s="45"/>
      <c r="O8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A2.04.04</v>
      </c>
      <c r="P84" s="47" t="s">
        <v>331</v>
      </c>
      <c r="Q84" s="59" t="s">
        <v>332</v>
      </c>
      <c r="R84" s="59"/>
      <c r="S84" s="59" t="s">
        <v>1829</v>
      </c>
      <c r="T84" s="58" t="str">
        <f>IF(Table681620[[#This Row],[LEVEL]]="5",Table681620[[#This Row],[L5]],
IF(Table681620[[#This Row],[LEVEL]]="4",Table681620[[#This Row],[L4]],
IF(Table681620[[#This Row],[LEVEL]]="3",Table681620[[#This Row],[L3]],
IF(Table681620[[#This Row],[LEVEL]]="2",Table681620[[#This Row],[L2]],
IF(Table681620[[#This Row],[LEVEL]]="1",Table681620[[#This Row],[L1]],"")))))</f>
        <v>Pre-Commissioning Checks - All Services</v>
      </c>
      <c r="U84" s="59" t="s">
        <v>62</v>
      </c>
      <c r="V84" s="59" t="s">
        <v>44</v>
      </c>
      <c r="W84" s="49">
        <v>1</v>
      </c>
      <c r="X84" s="61"/>
      <c r="Y84" s="62">
        <f>Table681620[[#This Row],[Qty]]*Table681620[[#This Row],[Rate]]</f>
        <v>0</v>
      </c>
      <c r="Z84" s="51"/>
      <c r="AA84" s="52" t="s">
        <v>79</v>
      </c>
      <c r="AB84" s="48" t="s">
        <v>543</v>
      </c>
      <c r="AC84" s="7"/>
      <c r="AD84" s="56"/>
      <c r="AE84" s="67"/>
      <c r="AF84" s="7"/>
      <c r="AG84" s="56"/>
      <c r="AH84" s="67"/>
      <c r="AI84" s="7"/>
      <c r="AJ84" s="56"/>
      <c r="AK84" s="67"/>
    </row>
    <row r="85" spans="1:37" x14ac:dyDescent="0.3">
      <c r="A85" s="43" t="str">
        <f>INDEX(Table_Numbering[L1],MATCH(Table681620[[#This Row],[L1]],Table_Numbering[L1 Description (Cost Area)],0))</f>
        <v>A</v>
      </c>
      <c r="B85" s="43" t="str">
        <f>IFERROR(INDEX(Table_Numbering[L2],MATCH(Table681620[[#This Row],[L2]],Table_Numbering[L2 Description (Area)],0)),"0")</f>
        <v>2</v>
      </c>
      <c r="C85" s="43" t="str">
        <f>IFERROR(INDEX(Table_Numbering[L3],MATCH(Table681620[[#This Row],[L3]],Table_Numbering[L3 Description (Sub Area)],0)),"0")</f>
        <v>04</v>
      </c>
      <c r="D85" s="43" t="str">
        <f>Table681620[[#This Row],[N1]]&amp;Table681620[[#This Row],[N2]]&amp;Table681620[[#This Row],[N3]]</f>
        <v>A204</v>
      </c>
      <c r="E85" s="43" t="str">
        <f>TEXT(COUNTIF(C$7:C83,Table681620[[#This Row],[N3]]),"00")</f>
        <v>05</v>
      </c>
      <c r="F85" s="43">
        <f>COUNTIFS(J$7:J85,J85,K$7:K85,K85,L$7:L85,L85,M$7:M85,M85)</f>
        <v>1</v>
      </c>
      <c r="G85" s="43" t="str">
        <f>TEXT(COUNTIFS(A$7:A85,A85,B$7:B85,B85,E$7:E85,E85,F$7:F85,1),"00")</f>
        <v>01</v>
      </c>
      <c r="H85" s="43" t="str">
        <f t="shared" si="4"/>
        <v>00</v>
      </c>
      <c r="I85" s="44" t="str">
        <f t="shared" si="5"/>
        <v>4</v>
      </c>
      <c r="J85" s="45" t="s">
        <v>38</v>
      </c>
      <c r="K85" s="45" t="s">
        <v>392</v>
      </c>
      <c r="L85" s="45" t="s">
        <v>541</v>
      </c>
      <c r="M85" s="45" t="s">
        <v>290</v>
      </c>
      <c r="N85" s="45"/>
      <c r="O8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A2.04.05</v>
      </c>
      <c r="P85" s="47" t="s">
        <v>331</v>
      </c>
      <c r="Q85" s="59" t="s">
        <v>333</v>
      </c>
      <c r="R85" s="59" t="s">
        <v>529</v>
      </c>
      <c r="S85" s="59" t="s">
        <v>1830</v>
      </c>
      <c r="T85" s="58" t="str">
        <f>IF(Table681620[[#This Row],[LEVEL]]="5",Table681620[[#This Row],[L5]],
IF(Table681620[[#This Row],[LEVEL]]="4",Table681620[[#This Row],[L4]],
IF(Table681620[[#This Row],[LEVEL]]="3",Table681620[[#This Row],[L3]],
IF(Table681620[[#This Row],[LEVEL]]="2",Table681620[[#This Row],[L2]],
IF(Table681620[[#This Row],[LEVEL]]="1",Table681620[[#This Row],[L1]],"")))))</f>
        <v>HVAC Commissioning &amp; Balancing</v>
      </c>
      <c r="U85" s="47" t="s">
        <v>62</v>
      </c>
      <c r="V85" s="47" t="s">
        <v>44</v>
      </c>
      <c r="W85" s="70">
        <v>1</v>
      </c>
      <c r="X85" s="70"/>
      <c r="Y85" s="62">
        <f>Table681620[[#This Row],[Qty]]*Table681620[[#This Row],[Rate]]</f>
        <v>0</v>
      </c>
      <c r="Z85" s="51"/>
      <c r="AA85" s="52" t="s">
        <v>79</v>
      </c>
      <c r="AB85" s="48" t="s">
        <v>544</v>
      </c>
      <c r="AC85" s="7"/>
      <c r="AD85" s="49"/>
      <c r="AE85" s="67"/>
      <c r="AF85" s="7"/>
      <c r="AG85" s="49"/>
      <c r="AH85" s="67"/>
      <c r="AI85" s="7"/>
      <c r="AJ85" s="49"/>
      <c r="AK85" s="67"/>
    </row>
    <row r="86" spans="1:37" x14ac:dyDescent="0.3">
      <c r="A86" s="43" t="str">
        <f>INDEX(Table_Numbering[L1],MATCH(Table681620[[#This Row],[L1]],Table_Numbering[L1 Description (Cost Area)],0))</f>
        <v>A</v>
      </c>
      <c r="B86" s="43" t="str">
        <f>IFERROR(INDEX(Table_Numbering[L2],MATCH(Table681620[[#This Row],[L2]],Table_Numbering[L2 Description (Area)],0)),"0")</f>
        <v>2</v>
      </c>
      <c r="C86" s="43" t="str">
        <f>IFERROR(INDEX(Table_Numbering[L3],MATCH(Table681620[[#This Row],[L3]],Table_Numbering[L3 Description (Sub Area)],0)),"0")</f>
        <v>04</v>
      </c>
      <c r="D86" s="43" t="str">
        <f>Table681620[[#This Row],[N1]]&amp;Table681620[[#This Row],[N2]]&amp;Table681620[[#This Row],[N3]]</f>
        <v>A204</v>
      </c>
      <c r="E86" s="43" t="str">
        <f>TEXT(COUNTIF(C$7:C84,Table681620[[#This Row],[N3]]),"00")</f>
        <v>06</v>
      </c>
      <c r="F86" s="43">
        <f>COUNTIFS(J$7:J86,J86,K$7:K86,K86,L$7:L86,L86,M$7:M86,M86)</f>
        <v>1</v>
      </c>
      <c r="G86" s="43" t="str">
        <f>TEXT(COUNTIFS(A$7:A86,A86,B$7:B86,B86,E$7:E86,E86,F$7:F86,1),"00")</f>
        <v>02</v>
      </c>
      <c r="H86" s="43" t="str">
        <f t="shared" si="4"/>
        <v>00</v>
      </c>
      <c r="I86" s="44" t="str">
        <f t="shared" si="5"/>
        <v>4</v>
      </c>
      <c r="J86" s="45" t="s">
        <v>38</v>
      </c>
      <c r="K86" s="45" t="s">
        <v>392</v>
      </c>
      <c r="L86" s="45" t="s">
        <v>541</v>
      </c>
      <c r="M86" s="45" t="s">
        <v>291</v>
      </c>
      <c r="N86" s="45"/>
      <c r="O8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A2.04.06</v>
      </c>
      <c r="P86" s="47" t="s">
        <v>331</v>
      </c>
      <c r="Q86" s="59" t="s">
        <v>334</v>
      </c>
      <c r="R86" s="59" t="s">
        <v>532</v>
      </c>
      <c r="S86" s="59" t="s">
        <v>1831</v>
      </c>
      <c r="T86" s="58" t="str">
        <f>IF(Table681620[[#This Row],[LEVEL]]="5",Table681620[[#This Row],[L5]],
IF(Table681620[[#This Row],[LEVEL]]="4",Table681620[[#This Row],[L4]],
IF(Table681620[[#This Row],[LEVEL]]="3",Table681620[[#This Row],[L3]],
IF(Table681620[[#This Row],[LEVEL]]="2",Table681620[[#This Row],[L2]],
IF(Table681620[[#This Row],[LEVEL]]="1",Table681620[[#This Row],[L1]],"")))))</f>
        <v>Electrical Testing &amp; Certification</v>
      </c>
      <c r="U86" s="47" t="s">
        <v>62</v>
      </c>
      <c r="V86" s="47" t="s">
        <v>44</v>
      </c>
      <c r="W86" s="70">
        <v>1</v>
      </c>
      <c r="X86" s="70"/>
      <c r="Y86" s="62">
        <f>Table681620[[#This Row],[Qty]]*Table681620[[#This Row],[Rate]]</f>
        <v>0</v>
      </c>
      <c r="Z86" s="51"/>
      <c r="AA86" s="52" t="s">
        <v>79</v>
      </c>
      <c r="AB86" s="48" t="s">
        <v>545</v>
      </c>
      <c r="AC86" s="7"/>
      <c r="AD86" s="56"/>
      <c r="AE86" s="67"/>
      <c r="AF86" s="7"/>
      <c r="AG86" s="56"/>
      <c r="AH86" s="67"/>
      <c r="AI86" s="7"/>
      <c r="AJ86" s="56"/>
      <c r="AK86" s="67"/>
    </row>
    <row r="87" spans="1:37" x14ac:dyDescent="0.3">
      <c r="A87" s="43" t="str">
        <f>INDEX(Table_Numbering[L1],MATCH(Table681620[[#This Row],[L1]],Table_Numbering[L1 Description (Cost Area)],0))</f>
        <v>A</v>
      </c>
      <c r="B87" s="43" t="str">
        <f>IFERROR(INDEX(Table_Numbering[L2],MATCH(Table681620[[#This Row],[L2]],Table_Numbering[L2 Description (Area)],0)),"0")</f>
        <v>2</v>
      </c>
      <c r="C87" s="43" t="str">
        <f>IFERROR(INDEX(Table_Numbering[L3],MATCH(Table681620[[#This Row],[L3]],Table_Numbering[L3 Description (Sub Area)],0)),"0")</f>
        <v>04</v>
      </c>
      <c r="D87" s="43" t="str">
        <f>Table681620[[#This Row],[N1]]&amp;Table681620[[#This Row],[N2]]&amp;Table681620[[#This Row],[N3]]</f>
        <v>A204</v>
      </c>
      <c r="E87" s="43" t="str">
        <f>TEXT(COUNTIF(C$7:C85,Table681620[[#This Row],[N3]]),"00")</f>
        <v>07</v>
      </c>
      <c r="F87" s="43">
        <f>COUNTIFS(J$7:J87,J87,K$7:K87,K87,L$7:L87,L87,M$7:M87,M87)</f>
        <v>1</v>
      </c>
      <c r="G87" s="43" t="str">
        <f>TEXT(COUNTIFS(A$7:A87,A87,B$7:B87,B87,E$7:E87,E87,F$7:F87,1),"00")</f>
        <v>02</v>
      </c>
      <c r="H87" s="43" t="str">
        <f t="shared" si="4"/>
        <v>00</v>
      </c>
      <c r="I87" s="44" t="str">
        <f t="shared" si="5"/>
        <v>4</v>
      </c>
      <c r="J87" s="45" t="s">
        <v>38</v>
      </c>
      <c r="K87" s="45" t="s">
        <v>392</v>
      </c>
      <c r="L87" s="45" t="s">
        <v>541</v>
      </c>
      <c r="M87" s="45" t="s">
        <v>292</v>
      </c>
      <c r="N87" s="45"/>
      <c r="O87"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A2.04.07</v>
      </c>
      <c r="P87" s="59" t="s">
        <v>331</v>
      </c>
      <c r="Q87" s="59" t="s">
        <v>335</v>
      </c>
      <c r="R87" s="59" t="s">
        <v>534</v>
      </c>
      <c r="S87" s="59" t="s">
        <v>1832</v>
      </c>
      <c r="T87" s="66" t="str">
        <f>IF(Table681620[[#This Row],[LEVEL]]="5",Table681620[[#This Row],[L5]],
IF(Table681620[[#This Row],[LEVEL]]="4",Table681620[[#This Row],[L4]],
IF(Table681620[[#This Row],[LEVEL]]="3",Table681620[[#This Row],[L3]],
IF(Table681620[[#This Row],[LEVEL]]="2",Table681620[[#This Row],[L2]],
IF(Table681620[[#This Row],[LEVEL]]="1",Table681620[[#This Row],[L1]],"")))))</f>
        <v>Fire Services Commissioning &amp; Certification</v>
      </c>
      <c r="U87" s="47" t="s">
        <v>62</v>
      </c>
      <c r="V87" s="47" t="s">
        <v>44</v>
      </c>
      <c r="W87" s="70">
        <v>1</v>
      </c>
      <c r="X87" s="70"/>
      <c r="Y87" s="62">
        <f>Table681620[[#This Row],[Qty]]*Table681620[[#This Row],[Rate]]</f>
        <v>0</v>
      </c>
      <c r="Z87" s="51"/>
      <c r="AA87" s="63" t="s">
        <v>79</v>
      </c>
      <c r="AB87" s="64" t="s">
        <v>546</v>
      </c>
      <c r="AC87" s="7"/>
      <c r="AD87" s="49"/>
      <c r="AE87" s="67"/>
      <c r="AF87" s="7"/>
      <c r="AG87" s="49"/>
      <c r="AH87" s="67"/>
      <c r="AI87" s="7"/>
      <c r="AJ87" s="49"/>
      <c r="AK87" s="67"/>
    </row>
    <row r="88" spans="1:37" x14ac:dyDescent="0.3">
      <c r="A88" s="43" t="str">
        <f>INDEX(Table_Numbering[L1],MATCH(Table681620[[#This Row],[L1]],Table_Numbering[L1 Description (Cost Area)],0))</f>
        <v>A</v>
      </c>
      <c r="B88" s="43" t="str">
        <f>IFERROR(INDEX(Table_Numbering[L2],MATCH(Table681620[[#This Row],[L2]],Table_Numbering[L2 Description (Area)],0)),"0")</f>
        <v>2</v>
      </c>
      <c r="C88" s="43" t="str">
        <f>IFERROR(INDEX(Table_Numbering[L3],MATCH(Table681620[[#This Row],[L3]],Table_Numbering[L3 Description (Sub Area)],0)),"0")</f>
        <v>04</v>
      </c>
      <c r="D88" s="43" t="str">
        <f>Table681620[[#This Row],[N1]]&amp;Table681620[[#This Row],[N2]]&amp;Table681620[[#This Row],[N3]]</f>
        <v>A204</v>
      </c>
      <c r="E88" s="43" t="str">
        <f>TEXT(COUNTIF(C$7:C86,Table681620[[#This Row],[N3]]),"00")</f>
        <v>08</v>
      </c>
      <c r="F88" s="43">
        <f>COUNTIFS(J$7:J88,J88,K$7:K88,K88,L$7:L88,L88,M$7:M88,M88)</f>
        <v>1</v>
      </c>
      <c r="G88" s="43" t="str">
        <f>TEXT(COUNTIFS(A$7:A88,A88,B$7:B88,B88,E$7:E88,E88,F$7:F88,1),"00")</f>
        <v>03</v>
      </c>
      <c r="H88" s="43" t="str">
        <f t="shared" si="4"/>
        <v>00</v>
      </c>
      <c r="I88" s="44" t="str">
        <f t="shared" si="5"/>
        <v>4</v>
      </c>
      <c r="J88" s="45" t="s">
        <v>38</v>
      </c>
      <c r="K88" s="45" t="s">
        <v>392</v>
      </c>
      <c r="L88" s="45" t="s">
        <v>541</v>
      </c>
      <c r="M88" s="45" t="s">
        <v>120</v>
      </c>
      <c r="N88" s="45"/>
      <c r="O88" s="65"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A2.04.08</v>
      </c>
      <c r="P88" s="59" t="s">
        <v>331</v>
      </c>
      <c r="Q88" s="59" t="s">
        <v>124</v>
      </c>
      <c r="R88" s="59" t="s">
        <v>534</v>
      </c>
      <c r="S88" s="59" t="s">
        <v>1833</v>
      </c>
      <c r="T88" s="66" t="str">
        <f>IF(Table681620[[#This Row],[LEVEL]]="5",Table681620[[#This Row],[L5]],
IF(Table681620[[#This Row],[LEVEL]]="4",Table681620[[#This Row],[L4]],
IF(Table681620[[#This Row],[LEVEL]]="3",Table681620[[#This Row],[L3]],
IF(Table681620[[#This Row],[LEVEL]]="2",Table681620[[#This Row],[L2]],
IF(Table681620[[#This Row],[LEVEL]]="1",Table681620[[#This Row],[L1]],"")))))</f>
        <v>Hydraulic Testing</v>
      </c>
      <c r="U88" s="47" t="s">
        <v>62</v>
      </c>
      <c r="V88" s="47" t="s">
        <v>44</v>
      </c>
      <c r="W88" s="70">
        <v>1</v>
      </c>
      <c r="X88" s="70"/>
      <c r="Y88" s="62">
        <f>Table681620[[#This Row],[Qty]]*Table681620[[#This Row],[Rate]]</f>
        <v>0</v>
      </c>
      <c r="Z88" s="51"/>
      <c r="AA88" s="63" t="s">
        <v>79</v>
      </c>
      <c r="AB88" s="64" t="s">
        <v>547</v>
      </c>
      <c r="AC88" s="7"/>
      <c r="AD88" s="56"/>
      <c r="AE88" s="67"/>
      <c r="AF88" s="7"/>
      <c r="AG88" s="56"/>
      <c r="AH88" s="67"/>
      <c r="AI88" s="7"/>
      <c r="AJ88" s="56"/>
      <c r="AK88" s="67"/>
    </row>
    <row r="89" spans="1:37" x14ac:dyDescent="0.3">
      <c r="A89" s="43" t="str">
        <f>INDEX(Table_Numbering[L1],MATCH(Table681620[[#This Row],[L1]],Table_Numbering[L1 Description (Cost Area)],0))</f>
        <v>A</v>
      </c>
      <c r="B89" s="43" t="str">
        <f>IFERROR(INDEX(Table_Numbering[L2],MATCH(Table681620[[#This Row],[L2]],Table_Numbering[L2 Description (Area)],0)),"0")</f>
        <v>2</v>
      </c>
      <c r="C89" s="43" t="str">
        <f>IFERROR(INDEX(Table_Numbering[L3],MATCH(Table681620[[#This Row],[L3]],Table_Numbering[L3 Description (Sub Area)],0)),"0")</f>
        <v>04</v>
      </c>
      <c r="D89" s="43" t="str">
        <f>Table681620[[#This Row],[N1]]&amp;Table681620[[#This Row],[N2]]&amp;Table681620[[#This Row],[N3]]</f>
        <v>A204</v>
      </c>
      <c r="E89" s="43" t="str">
        <f>TEXT(COUNTIF(C$7:C87,Table681620[[#This Row],[N3]]),"00")</f>
        <v>09</v>
      </c>
      <c r="F89" s="43">
        <f>COUNTIFS(J$7:J89,J89,K$7:K89,K89,L$7:L89,L89,M$7:M89,M89)</f>
        <v>1</v>
      </c>
      <c r="G89" s="43" t="str">
        <f>TEXT(COUNTIFS(A$7:A89,A89,B$7:B89,B89,E$7:E89,E89,F$7:F89,1),"00")</f>
        <v>03</v>
      </c>
      <c r="H89" s="43" t="str">
        <f t="shared" si="4"/>
        <v>00</v>
      </c>
      <c r="I89" s="44" t="str">
        <f t="shared" si="5"/>
        <v>4</v>
      </c>
      <c r="J89" s="45" t="s">
        <v>38</v>
      </c>
      <c r="K89" s="45" t="s">
        <v>392</v>
      </c>
      <c r="L89" s="45" t="s">
        <v>541</v>
      </c>
      <c r="M89" s="45" t="s">
        <v>293</v>
      </c>
      <c r="N89" s="45"/>
      <c r="O8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A2.04.09</v>
      </c>
      <c r="P89" s="47" t="s">
        <v>331</v>
      </c>
      <c r="Q89" s="59" t="s">
        <v>125</v>
      </c>
      <c r="R89" s="59"/>
      <c r="S89" s="59" t="s">
        <v>1834</v>
      </c>
      <c r="T89" s="58" t="str">
        <f>IF(Table681620[[#This Row],[LEVEL]]="5",Table681620[[#This Row],[L5]],
IF(Table681620[[#This Row],[LEVEL]]="4",Table681620[[#This Row],[L4]],
IF(Table681620[[#This Row],[LEVEL]]="3",Table681620[[#This Row],[L3]],
IF(Table681620[[#This Row],[LEVEL]]="2",Table681620[[#This Row],[L2]],
IF(Table681620[[#This Row],[LEVEL]]="1",Table681620[[#This Row],[L1]],"")))))</f>
        <v>BMS Integration &amp; Commissioning</v>
      </c>
      <c r="U89" s="47" t="s">
        <v>62</v>
      </c>
      <c r="V89" s="47" t="s">
        <v>44</v>
      </c>
      <c r="W89" s="70">
        <v>1</v>
      </c>
      <c r="X89" s="70"/>
      <c r="Y89" s="62">
        <f>Table681620[[#This Row],[Qty]]*Table681620[[#This Row],[Rate]]</f>
        <v>0</v>
      </c>
      <c r="Z89" s="51"/>
      <c r="AA89" s="52" t="s">
        <v>79</v>
      </c>
      <c r="AB89" s="48" t="s">
        <v>548</v>
      </c>
      <c r="AC89" s="7"/>
      <c r="AD89" s="56"/>
      <c r="AE89" s="67"/>
      <c r="AF89" s="7"/>
      <c r="AG89" s="56"/>
      <c r="AH89" s="67"/>
      <c r="AI89" s="7"/>
      <c r="AJ89" s="56"/>
      <c r="AK89" s="67"/>
    </row>
    <row r="90" spans="1:37" x14ac:dyDescent="0.3">
      <c r="A90" s="43" t="str">
        <f>INDEX(Table_Numbering[L1],MATCH(Table681620[[#This Row],[L1]],Table_Numbering[L1 Description (Cost Area)],0))</f>
        <v>A</v>
      </c>
      <c r="B90" s="43" t="str">
        <f>IFERROR(INDEX(Table_Numbering[L2],MATCH(Table681620[[#This Row],[L2]],Table_Numbering[L2 Description (Area)],0)),"0")</f>
        <v>2</v>
      </c>
      <c r="C90" s="43" t="str">
        <f>IFERROR(INDEX(Table_Numbering[L3],MATCH(Table681620[[#This Row],[L3]],Table_Numbering[L3 Description (Sub Area)],0)),"0")</f>
        <v>04</v>
      </c>
      <c r="D90" s="43" t="str">
        <f>Table681620[[#This Row],[N1]]&amp;Table681620[[#This Row],[N2]]&amp;Table681620[[#This Row],[N3]]</f>
        <v>A204</v>
      </c>
      <c r="E90" s="43" t="str">
        <f>TEXT(COUNTIF(C$7:C88,Table681620[[#This Row],[N3]]),"00")</f>
        <v>10</v>
      </c>
      <c r="F90" s="43">
        <f>COUNTIFS(J$7:J90,J90,K$7:K90,K90,L$7:L90,L90,M$7:M90,M90)</f>
        <v>1</v>
      </c>
      <c r="G90" s="43" t="str">
        <f>TEXT(COUNTIFS(A$7:A90,A90,B$7:B90,B90,E$7:E90,E90,F$7:F90,1),"00")</f>
        <v>03</v>
      </c>
      <c r="H90" s="43" t="str">
        <f t="shared" si="4"/>
        <v>00</v>
      </c>
      <c r="I90" s="44" t="str">
        <f t="shared" si="5"/>
        <v>4</v>
      </c>
      <c r="J90" s="45" t="s">
        <v>38</v>
      </c>
      <c r="K90" s="45" t="s">
        <v>392</v>
      </c>
      <c r="L90" s="45" t="s">
        <v>541</v>
      </c>
      <c r="M90" s="45" t="s">
        <v>121</v>
      </c>
      <c r="N90" s="45"/>
      <c r="O9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A2.04.10</v>
      </c>
      <c r="P90" s="59" t="s">
        <v>331</v>
      </c>
      <c r="Q90" s="59" t="s">
        <v>336</v>
      </c>
      <c r="R90" s="59"/>
      <c r="S90" s="59" t="s">
        <v>1835</v>
      </c>
      <c r="T90" s="58" t="str">
        <f>IF(Table681620[[#This Row],[LEVEL]]="5",Table681620[[#This Row],[L5]],
IF(Table681620[[#This Row],[LEVEL]]="4",Table681620[[#This Row],[L4]],
IF(Table681620[[#This Row],[LEVEL]]="3",Table681620[[#This Row],[L3]],
IF(Table681620[[#This Row],[LEVEL]]="2",Table681620[[#This Row],[L2]],
IF(Table681620[[#This Row],[LEVEL]]="1",Table681620[[#This Row],[L1]],"")))))</f>
        <v>Integrated Systems Testing</v>
      </c>
      <c r="U90" s="47" t="s">
        <v>62</v>
      </c>
      <c r="V90" s="47" t="s">
        <v>44</v>
      </c>
      <c r="W90" s="70">
        <v>1</v>
      </c>
      <c r="X90" s="70"/>
      <c r="Y90" s="62">
        <f>Table681620[[#This Row],[Qty]]*Table681620[[#This Row],[Rate]]</f>
        <v>0</v>
      </c>
      <c r="Z90" s="51"/>
      <c r="AA90" s="52" t="s">
        <v>79</v>
      </c>
      <c r="AB90" s="48" t="s">
        <v>549</v>
      </c>
      <c r="AC90" s="7"/>
      <c r="AD90" s="60"/>
      <c r="AE90" s="67"/>
      <c r="AF90" s="7"/>
      <c r="AG90" s="60"/>
      <c r="AH90" s="67"/>
      <c r="AI90" s="7"/>
      <c r="AJ90" s="60"/>
      <c r="AK90" s="67"/>
    </row>
    <row r="91" spans="1:37" x14ac:dyDescent="0.3">
      <c r="A91" s="43" t="str">
        <f>INDEX(Table_Numbering[L1],MATCH(Table681620[[#This Row],[L1]],Table_Numbering[L1 Description (Cost Area)],0))</f>
        <v>A</v>
      </c>
      <c r="B91" s="43" t="str">
        <f>IFERROR(INDEX(Table_Numbering[L2],MATCH(Table681620[[#This Row],[L2]],Table_Numbering[L2 Description (Area)],0)),"0")</f>
        <v>2</v>
      </c>
      <c r="C91" s="43" t="str">
        <f>IFERROR(INDEX(Table_Numbering[L3],MATCH(Table681620[[#This Row],[L3]],Table_Numbering[L3 Description (Sub Area)],0)),"0")</f>
        <v>05</v>
      </c>
      <c r="D91" s="43" t="str">
        <f>Table681620[[#This Row],[N1]]&amp;Table681620[[#This Row],[N2]]&amp;Table681620[[#This Row],[N3]]</f>
        <v>A205</v>
      </c>
      <c r="E91" s="43" t="str">
        <f>TEXT(COUNTIF(C$7:C89,Table681620[[#This Row],[N3]]),"00")</f>
        <v>08</v>
      </c>
      <c r="F91" s="43">
        <f>COUNTIFS(J$7:J91,J91,K$7:K91,K91,L$7:L91,L91,M$7:M91,M91)</f>
        <v>0</v>
      </c>
      <c r="G91" s="43" t="str">
        <f>TEXT(COUNTIFS(A$7:A91,A91,B$7:B91,B91,E$7:E91,E91,F$7:F91,1),"00")</f>
        <v>03</v>
      </c>
      <c r="H91" s="43" t="str">
        <f t="shared" si="4"/>
        <v>00</v>
      </c>
      <c r="I91" s="44" t="str">
        <f t="shared" si="5"/>
        <v>3</v>
      </c>
      <c r="J91" s="45" t="s">
        <v>38</v>
      </c>
      <c r="K91" s="45" t="s">
        <v>392</v>
      </c>
      <c r="L91" s="45" t="s">
        <v>550</v>
      </c>
      <c r="M91" s="45"/>
      <c r="N91" s="45"/>
      <c r="O9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A2.05</v>
      </c>
      <c r="P91" s="59"/>
      <c r="Q91" s="59"/>
      <c r="R91" s="59"/>
      <c r="S91" s="59"/>
      <c r="T91" s="55" t="str">
        <f>IF(Table681620[[#This Row],[LEVEL]]="5",Table681620[[#This Row],[L5]],
IF(Table681620[[#This Row],[LEVEL]]="4",Table681620[[#This Row],[L4]],
IF(Table681620[[#This Row],[LEVEL]]="3",Table681620[[#This Row],[L3]],
IF(Table681620[[#This Row],[LEVEL]]="2",Table681620[[#This Row],[L2]],
IF(Table681620[[#This Row],[LEVEL]]="1",Table681620[[#This Row],[L1]],"")))))</f>
        <v>CLOSEOUT</v>
      </c>
      <c r="U91" s="47"/>
      <c r="V91" s="47"/>
      <c r="W91" s="70"/>
      <c r="X91" s="70"/>
      <c r="Y91" s="50">
        <f>SUBTOTAL(9,Y92:Y97)</f>
        <v>0</v>
      </c>
      <c r="Z91" s="51"/>
      <c r="AA91" s="52"/>
      <c r="AB91" s="64"/>
      <c r="AC91" s="7"/>
      <c r="AD91" s="56"/>
      <c r="AE91" s="67"/>
      <c r="AF91" s="7"/>
      <c r="AG91" s="56"/>
      <c r="AH91" s="67"/>
      <c r="AI91" s="7"/>
      <c r="AJ91" s="56"/>
      <c r="AK91" s="67"/>
    </row>
    <row r="92" spans="1:37" x14ac:dyDescent="0.3">
      <c r="A92" s="43" t="str">
        <f>INDEX(Table_Numbering[L1],MATCH(Table681620[[#This Row],[L1]],Table_Numbering[L1 Description (Cost Area)],0))</f>
        <v>A</v>
      </c>
      <c r="B92" s="43" t="str">
        <f>IFERROR(INDEX(Table_Numbering[L2],MATCH(Table681620[[#This Row],[L2]],Table_Numbering[L2 Description (Area)],0)),"0")</f>
        <v>2</v>
      </c>
      <c r="C92" s="43" t="str">
        <f>IFERROR(INDEX(Table_Numbering[L3],MATCH(Table681620[[#This Row],[L3]],Table_Numbering[L3 Description (Sub Area)],0)),"0")</f>
        <v>05</v>
      </c>
      <c r="D92" s="43" t="str">
        <f>Table681620[[#This Row],[N1]]&amp;Table681620[[#This Row],[N2]]&amp;Table681620[[#This Row],[N3]]</f>
        <v>A205</v>
      </c>
      <c r="E92" s="43" t="str">
        <f>TEXT(COUNTIF(C$7:C90,Table681620[[#This Row],[N3]]),"00")</f>
        <v>08</v>
      </c>
      <c r="F92" s="43">
        <f>COUNTIFS(J$7:J92,J92,K$7:K92,K92,L$7:L92,L92,M$7:M92,M92)</f>
        <v>1</v>
      </c>
      <c r="G92" s="43" t="str">
        <f>TEXT(COUNTIFS(A$7:A92,A92,B$7:B92,B92,E$7:E92,E92,F$7:F92,1),"00")</f>
        <v>04</v>
      </c>
      <c r="H92" s="43" t="str">
        <f t="shared" si="4"/>
        <v>00</v>
      </c>
      <c r="I92" s="44" t="str">
        <f t="shared" si="5"/>
        <v>4</v>
      </c>
      <c r="J92" s="45" t="s">
        <v>38</v>
      </c>
      <c r="K92" s="45" t="s">
        <v>392</v>
      </c>
      <c r="L92" s="45" t="s">
        <v>550</v>
      </c>
      <c r="M92" s="45" t="s">
        <v>294</v>
      </c>
      <c r="N92" s="45"/>
      <c r="O9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A2.05.08</v>
      </c>
      <c r="P92" s="59" t="s">
        <v>325</v>
      </c>
      <c r="Q92" s="59" t="s">
        <v>337</v>
      </c>
      <c r="R92" s="59"/>
      <c r="S92" s="59" t="s">
        <v>1836</v>
      </c>
      <c r="T92" s="58" t="str">
        <f>IF(Table681620[[#This Row],[LEVEL]]="5",Table681620[[#This Row],[L5]],
IF(Table681620[[#This Row],[LEVEL]]="4",Table681620[[#This Row],[L4]],
IF(Table681620[[#This Row],[LEVEL]]="3",Table681620[[#This Row],[L3]],
IF(Table681620[[#This Row],[LEVEL]]="2",Table681620[[#This Row],[L2]],
IF(Table681620[[#This Row],[LEVEL]]="1",Table681620[[#This Row],[L1]],"")))))</f>
        <v>As-Built Documentation</v>
      </c>
      <c r="U92" s="59" t="s">
        <v>62</v>
      </c>
      <c r="V92" s="59" t="s">
        <v>44</v>
      </c>
      <c r="W92" s="49">
        <v>1</v>
      </c>
      <c r="X92" s="49"/>
      <c r="Y92" s="62">
        <f>Table681620[[#This Row],[Qty]]*Table681620[[#This Row],[Rate]]</f>
        <v>0</v>
      </c>
      <c r="Z92" s="51"/>
      <c r="AA92" s="52" t="s">
        <v>79</v>
      </c>
      <c r="AB92" s="48" t="s">
        <v>551</v>
      </c>
      <c r="AC92" s="7"/>
      <c r="AD92" s="49"/>
      <c r="AE92" s="67"/>
      <c r="AF92" s="7"/>
      <c r="AG92" s="49"/>
      <c r="AH92" s="67"/>
      <c r="AI92" s="7"/>
      <c r="AJ92" s="49"/>
      <c r="AK92" s="67"/>
    </row>
    <row r="93" spans="1:37" x14ac:dyDescent="0.3">
      <c r="A93" s="43" t="str">
        <f>INDEX(Table_Numbering[L1],MATCH(Table681620[[#This Row],[L1]],Table_Numbering[L1 Description (Cost Area)],0))</f>
        <v>A</v>
      </c>
      <c r="B93" s="43" t="str">
        <f>IFERROR(INDEX(Table_Numbering[L2],MATCH(Table681620[[#This Row],[L2]],Table_Numbering[L2 Description (Area)],0)),"0")</f>
        <v>2</v>
      </c>
      <c r="C93" s="43" t="str">
        <f>IFERROR(INDEX(Table_Numbering[L3],MATCH(Table681620[[#This Row],[L3]],Table_Numbering[L3 Description (Sub Area)],0)),"0")</f>
        <v>05</v>
      </c>
      <c r="D93" s="43" t="str">
        <f>Table681620[[#This Row],[N1]]&amp;Table681620[[#This Row],[N2]]&amp;Table681620[[#This Row],[N3]]</f>
        <v>A205</v>
      </c>
      <c r="E93" s="43" t="str">
        <f>TEXT(COUNTIF(C$7:C91,Table681620[[#This Row],[N3]]),"00")</f>
        <v>09</v>
      </c>
      <c r="F93" s="43">
        <f>COUNTIFS(J$7:J93,J93,K$7:K93,K93,L$7:L93,L93,M$7:M93,M93)</f>
        <v>1</v>
      </c>
      <c r="G93" s="43" t="str">
        <f>TEXT(COUNTIFS(A$7:A93,A93,B$7:B93,B93,E$7:E93,E93,F$7:F93,1),"00")</f>
        <v>04</v>
      </c>
      <c r="H93" s="43" t="str">
        <f t="shared" si="4"/>
        <v>00</v>
      </c>
      <c r="I93" s="44" t="str">
        <f t="shared" si="5"/>
        <v>4</v>
      </c>
      <c r="J93" s="45" t="s">
        <v>38</v>
      </c>
      <c r="K93" s="45" t="s">
        <v>392</v>
      </c>
      <c r="L93" s="45" t="s">
        <v>550</v>
      </c>
      <c r="M93" s="45" t="s">
        <v>122</v>
      </c>
      <c r="N93" s="45"/>
      <c r="O9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A2.05.09</v>
      </c>
      <c r="P93" s="59" t="s">
        <v>327</v>
      </c>
      <c r="Q93" s="59" t="s">
        <v>338</v>
      </c>
      <c r="R93" s="59"/>
      <c r="S93" s="59" t="s">
        <v>1837</v>
      </c>
      <c r="T93" s="58" t="str">
        <f>IF(Table681620[[#This Row],[LEVEL]]="5",Table681620[[#This Row],[L5]],
IF(Table681620[[#This Row],[LEVEL]]="4",Table681620[[#This Row],[L4]],
IF(Table681620[[#This Row],[LEVEL]]="3",Table681620[[#This Row],[L3]],
IF(Table681620[[#This Row],[LEVEL]]="2",Table681620[[#This Row],[L2]],
IF(Table681620[[#This Row],[LEVEL]]="1",Table681620[[#This Row],[L1]],"")))))</f>
        <v>O&amp;M Manuals</v>
      </c>
      <c r="U93" s="47" t="s">
        <v>62</v>
      </c>
      <c r="V93" s="47" t="s">
        <v>44</v>
      </c>
      <c r="W93" s="70">
        <v>1</v>
      </c>
      <c r="X93" s="49"/>
      <c r="Y93" s="62">
        <f>Table681620[[#This Row],[Qty]]*Table681620[[#This Row],[Rate]]</f>
        <v>0</v>
      </c>
      <c r="Z93" s="51"/>
      <c r="AA93" s="52" t="s">
        <v>79</v>
      </c>
      <c r="AB93" s="48" t="s">
        <v>552</v>
      </c>
      <c r="AC93" s="7"/>
      <c r="AD93" s="56"/>
      <c r="AE93" s="67"/>
      <c r="AF93" s="7"/>
      <c r="AG93" s="56"/>
      <c r="AH93" s="67"/>
      <c r="AI93" s="7"/>
      <c r="AJ93" s="56"/>
      <c r="AK93" s="67"/>
    </row>
    <row r="94" spans="1:37" x14ac:dyDescent="0.3">
      <c r="A94" s="43" t="str">
        <f>INDEX(Table_Numbering[L1],MATCH(Table681620[[#This Row],[L1]],Table_Numbering[L1 Description (Cost Area)],0))</f>
        <v>A</v>
      </c>
      <c r="B94" s="43" t="str">
        <f>IFERROR(INDEX(Table_Numbering[L2],MATCH(Table681620[[#This Row],[L2]],Table_Numbering[L2 Description (Area)],0)),"0")</f>
        <v>2</v>
      </c>
      <c r="C94" s="43" t="str">
        <f>IFERROR(INDEX(Table_Numbering[L3],MATCH(Table681620[[#This Row],[L3]],Table_Numbering[L3 Description (Sub Area)],0)),"0")</f>
        <v>05</v>
      </c>
      <c r="D94" s="43" t="str">
        <f>Table681620[[#This Row],[N1]]&amp;Table681620[[#This Row],[N2]]&amp;Table681620[[#This Row],[N3]]</f>
        <v>A205</v>
      </c>
      <c r="E94" s="43" t="str">
        <f>TEXT(COUNTIF(C$7:C92,Table681620[[#This Row],[N3]]),"00")</f>
        <v>10</v>
      </c>
      <c r="F94" s="43">
        <f>COUNTIFS(J$7:J94,J94,K$7:K94,K94,L$7:L94,L94,M$7:M94,M94)</f>
        <v>1</v>
      </c>
      <c r="G94" s="43" t="str">
        <f>TEXT(COUNTIFS(A$7:A94,A94,B$7:B94,B94,E$7:E94,E94,F$7:F94,1),"00")</f>
        <v>04</v>
      </c>
      <c r="H94" s="43" t="str">
        <f t="shared" si="4"/>
        <v>00</v>
      </c>
      <c r="I94" s="44" t="str">
        <f t="shared" si="5"/>
        <v>4</v>
      </c>
      <c r="J94" s="45" t="s">
        <v>38</v>
      </c>
      <c r="K94" s="45" t="s">
        <v>392</v>
      </c>
      <c r="L94" s="45" t="s">
        <v>550</v>
      </c>
      <c r="M94" s="45" t="s">
        <v>123</v>
      </c>
      <c r="N94" s="45"/>
      <c r="O9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A2.05.10</v>
      </c>
      <c r="P94" s="59" t="s">
        <v>339</v>
      </c>
      <c r="Q94" s="59" t="s">
        <v>338</v>
      </c>
      <c r="R94" s="59"/>
      <c r="S94" s="59" t="s">
        <v>1838</v>
      </c>
      <c r="T94" s="58" t="str">
        <f>IF(Table681620[[#This Row],[LEVEL]]="5",Table681620[[#This Row],[L5]],
IF(Table681620[[#This Row],[LEVEL]]="4",Table681620[[#This Row],[L4]],
IF(Table681620[[#This Row],[LEVEL]]="3",Table681620[[#This Row],[L3]],
IF(Table681620[[#This Row],[LEVEL]]="2",Table681620[[#This Row],[L2]],
IF(Table681620[[#This Row],[LEVEL]]="1",Table681620[[#This Row],[L1]],"")))))</f>
        <v>Training Delivery</v>
      </c>
      <c r="U94" s="47" t="s">
        <v>62</v>
      </c>
      <c r="V94" s="47" t="s">
        <v>44</v>
      </c>
      <c r="W94" s="70">
        <v>1</v>
      </c>
      <c r="X94" s="49"/>
      <c r="Y94" s="62">
        <f>Table681620[[#This Row],[Qty]]*Table681620[[#This Row],[Rate]]</f>
        <v>0</v>
      </c>
      <c r="Z94" s="51"/>
      <c r="AA94" s="63" t="s">
        <v>553</v>
      </c>
      <c r="AB94" s="48" t="s">
        <v>554</v>
      </c>
      <c r="AC94" s="7"/>
      <c r="AD94" s="60"/>
      <c r="AE94" s="67"/>
      <c r="AF94" s="7"/>
      <c r="AG94" s="60"/>
      <c r="AH94" s="67"/>
      <c r="AI94" s="7"/>
      <c r="AJ94" s="60"/>
      <c r="AK94" s="67"/>
    </row>
    <row r="95" spans="1:37" x14ac:dyDescent="0.3">
      <c r="A95" s="43" t="str">
        <f>INDEX(Table_Numbering[L1],MATCH(Table681620[[#This Row],[L1]],Table_Numbering[L1 Description (Cost Area)],0))</f>
        <v>A</v>
      </c>
      <c r="B95" s="43" t="str">
        <f>IFERROR(INDEX(Table_Numbering[L2],MATCH(Table681620[[#This Row],[L2]],Table_Numbering[L2 Description (Area)],0)),"0")</f>
        <v>2</v>
      </c>
      <c r="C95" s="43" t="str">
        <f>IFERROR(INDEX(Table_Numbering[L3],MATCH(Table681620[[#This Row],[L3]],Table_Numbering[L3 Description (Sub Area)],0)),"0")</f>
        <v>05</v>
      </c>
      <c r="D95" s="43" t="str">
        <f>Table681620[[#This Row],[N1]]&amp;Table681620[[#This Row],[N2]]&amp;Table681620[[#This Row],[N3]]</f>
        <v>A205</v>
      </c>
      <c r="E95" s="43" t="str">
        <f>TEXT(COUNTIF(C$7:C93,Table681620[[#This Row],[N3]]),"00")</f>
        <v>11</v>
      </c>
      <c r="F95" s="43">
        <f>COUNTIFS(J$7:J95,J95,K$7:K95,K95,L$7:L95,L95,M$7:M95,M95)</f>
        <v>1</v>
      </c>
      <c r="G95" s="43" t="str">
        <f>TEXT(COUNTIFS(A$7:A95,A95,B$7:B95,B95,E$7:E95,E95,F$7:F95,1),"00")</f>
        <v>01</v>
      </c>
      <c r="H95" s="43" t="str">
        <f t="shared" si="4"/>
        <v>00</v>
      </c>
      <c r="I95" s="44" t="str">
        <f t="shared" si="5"/>
        <v>4</v>
      </c>
      <c r="J95" s="45" t="s">
        <v>38</v>
      </c>
      <c r="K95" s="45" t="s">
        <v>392</v>
      </c>
      <c r="L95" s="45" t="s">
        <v>550</v>
      </c>
      <c r="M95" s="45" t="s">
        <v>295</v>
      </c>
      <c r="N95" s="45"/>
      <c r="O9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A2.05.11</v>
      </c>
      <c r="P95" s="59" t="s">
        <v>340</v>
      </c>
      <c r="Q95" s="59" t="s">
        <v>341</v>
      </c>
      <c r="R95" s="59"/>
      <c r="S95" s="59" t="s">
        <v>1839</v>
      </c>
      <c r="T95" s="58" t="str">
        <f>IF(Table681620[[#This Row],[LEVEL]]="5",Table681620[[#This Row],[L5]],
IF(Table681620[[#This Row],[LEVEL]]="4",Table681620[[#This Row],[L4]],
IF(Table681620[[#This Row],[LEVEL]]="3",Table681620[[#This Row],[L3]],
IF(Table681620[[#This Row],[LEVEL]]="2",Table681620[[#This Row],[L2]],
IF(Table681620[[#This Row],[LEVEL]]="1",Table681620[[#This Row],[L1]],"")))))</f>
        <v>Practical Completion Requirements</v>
      </c>
      <c r="U95" s="47" t="s">
        <v>62</v>
      </c>
      <c r="V95" s="47" t="s">
        <v>44</v>
      </c>
      <c r="W95" s="70">
        <v>1</v>
      </c>
      <c r="X95" s="49"/>
      <c r="Y95" s="62">
        <f>Table681620[[#This Row],[Qty]]*Table681620[[#This Row],[Rate]]</f>
        <v>0</v>
      </c>
      <c r="Z95" s="51"/>
      <c r="AA95" s="52" t="s">
        <v>79</v>
      </c>
      <c r="AB95" s="48" t="s">
        <v>555</v>
      </c>
      <c r="AC95" s="7"/>
      <c r="AD95" s="56"/>
      <c r="AE95" s="67"/>
      <c r="AF95" s="7"/>
      <c r="AG95" s="56"/>
      <c r="AH95" s="67"/>
      <c r="AI95" s="7"/>
      <c r="AJ95" s="56"/>
      <c r="AK95" s="67"/>
    </row>
    <row r="96" spans="1:37" x14ac:dyDescent="0.3">
      <c r="A96" s="43" t="str">
        <f>INDEX(Table_Numbering[L1],MATCH(Table681620[[#This Row],[L1]],Table_Numbering[L1 Description (Cost Area)],0))</f>
        <v>A</v>
      </c>
      <c r="B96" s="43" t="str">
        <f>IFERROR(INDEX(Table_Numbering[L2],MATCH(Table681620[[#This Row],[L2]],Table_Numbering[L2 Description (Area)],0)),"0")</f>
        <v>2</v>
      </c>
      <c r="C96" s="43" t="str">
        <f>IFERROR(INDEX(Table_Numbering[L3],MATCH(Table681620[[#This Row],[L3]],Table_Numbering[L3 Description (Sub Area)],0)),"0")</f>
        <v>05</v>
      </c>
      <c r="D96" s="43" t="str">
        <f>Table681620[[#This Row],[N1]]&amp;Table681620[[#This Row],[N2]]&amp;Table681620[[#This Row],[N3]]</f>
        <v>A205</v>
      </c>
      <c r="E96" s="43" t="str">
        <f>TEXT(COUNTIF(C$7:C94,Table681620[[#This Row],[N3]]),"00")</f>
        <v>12</v>
      </c>
      <c r="F96" s="43">
        <f>COUNTIFS(J$7:J96,J96,K$7:K96,K96,L$7:L96,L96,M$7:M96,M96)</f>
        <v>1</v>
      </c>
      <c r="G96" s="43" t="str">
        <f>TEXT(COUNTIFS(A$7:A96,A96,B$7:B96,B96,E$7:E96,E96,F$7:F96,1),"00")</f>
        <v>01</v>
      </c>
      <c r="H96" s="43" t="str">
        <f t="shared" si="4"/>
        <v>00</v>
      </c>
      <c r="I96" s="44" t="str">
        <f t="shared" si="5"/>
        <v>4</v>
      </c>
      <c r="J96" s="45" t="s">
        <v>38</v>
      </c>
      <c r="K96" s="45" t="s">
        <v>392</v>
      </c>
      <c r="L96" s="45" t="s">
        <v>550</v>
      </c>
      <c r="M96" s="45" t="s">
        <v>296</v>
      </c>
      <c r="N96" s="45"/>
      <c r="O9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A2.05.12</v>
      </c>
      <c r="P96" s="59" t="s">
        <v>342</v>
      </c>
      <c r="Q96" s="59" t="s">
        <v>343</v>
      </c>
      <c r="R96" s="59"/>
      <c r="S96" s="59" t="s">
        <v>1840</v>
      </c>
      <c r="T96" s="58" t="str">
        <f>IF(Table681620[[#This Row],[LEVEL]]="5",Table681620[[#This Row],[L5]],
IF(Table681620[[#This Row],[LEVEL]]="4",Table681620[[#This Row],[L4]],
IF(Table681620[[#This Row],[LEVEL]]="3",Table681620[[#This Row],[L3]],
IF(Table681620[[#This Row],[LEVEL]]="2",Table681620[[#This Row],[L2]],
IF(Table681620[[#This Row],[LEVEL]]="1",Table681620[[#This Row],[L1]],"")))))</f>
        <v>Defects Liability Period Support</v>
      </c>
      <c r="U96" s="47" t="s">
        <v>62</v>
      </c>
      <c r="V96" s="47" t="s">
        <v>44</v>
      </c>
      <c r="W96" s="70">
        <v>1</v>
      </c>
      <c r="X96" s="49"/>
      <c r="Y96" s="62">
        <f>Table681620[[#This Row],[Qty]]*Table681620[[#This Row],[Rate]]</f>
        <v>0</v>
      </c>
      <c r="Z96" s="51"/>
      <c r="AA96" s="52" t="s">
        <v>525</v>
      </c>
      <c r="AB96" s="48" t="s">
        <v>526</v>
      </c>
      <c r="AC96" s="7"/>
      <c r="AD96" s="49"/>
      <c r="AE96" s="67"/>
      <c r="AF96" s="7"/>
      <c r="AG96" s="49"/>
      <c r="AH96" s="67"/>
      <c r="AI96" s="7"/>
      <c r="AJ96" s="49"/>
      <c r="AK96" s="67"/>
    </row>
    <row r="97" spans="1:37" x14ac:dyDescent="0.3">
      <c r="A97" s="43" t="str">
        <f>INDEX(Table_Numbering[L1],MATCH(Table681620[[#This Row],[L1]],Table_Numbering[L1 Description (Cost Area)],0))</f>
        <v>A</v>
      </c>
      <c r="B97" s="43" t="str">
        <f>IFERROR(INDEX(Table_Numbering[L2],MATCH(Table681620[[#This Row],[L2]],Table_Numbering[L2 Description (Area)],0)),"0")</f>
        <v>2</v>
      </c>
      <c r="C97" s="43" t="str">
        <f>IFERROR(INDEX(Table_Numbering[L3],MATCH(Table681620[[#This Row],[L3]],Table_Numbering[L3 Description (Sub Area)],0)),"0")</f>
        <v>05</v>
      </c>
      <c r="D97" s="43" t="str">
        <f>Table681620[[#This Row],[N1]]&amp;Table681620[[#This Row],[N2]]&amp;Table681620[[#This Row],[N3]]</f>
        <v>A205</v>
      </c>
      <c r="E97" s="43" t="str">
        <f>TEXT(COUNTIF(C$7:C95,Table681620[[#This Row],[N3]]),"00")</f>
        <v>13</v>
      </c>
      <c r="F97" s="43">
        <f>COUNTIFS(J$7:J97,J97,K$7:K97,K97,L$7:L97,L97,M$7:M97,M97)</f>
        <v>1</v>
      </c>
      <c r="G97" s="43" t="str">
        <f>TEXT(COUNTIFS(A$7:A97,A97,B$7:B97,B97,E$7:E97,E97,F$7:F97,1),"00")</f>
        <v>01</v>
      </c>
      <c r="H97" s="43" t="str">
        <f t="shared" si="4"/>
        <v>00</v>
      </c>
      <c r="I97" s="44" t="str">
        <f t="shared" si="5"/>
        <v>4</v>
      </c>
      <c r="J97" s="45" t="s">
        <v>38</v>
      </c>
      <c r="K97" s="45" t="s">
        <v>392</v>
      </c>
      <c r="L97" s="45" t="s">
        <v>550</v>
      </c>
      <c r="M97" s="45" t="s">
        <v>297</v>
      </c>
      <c r="N97" s="45"/>
      <c r="O9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A2.05.13</v>
      </c>
      <c r="P97" s="59" t="s">
        <v>427</v>
      </c>
      <c r="Q97" s="59" t="s">
        <v>119</v>
      </c>
      <c r="R97" s="59"/>
      <c r="S97" s="59" t="s">
        <v>1841</v>
      </c>
      <c r="T97" s="58" t="str">
        <f>IF(Table681620[[#This Row],[LEVEL]]="5",Table681620[[#This Row],[L5]],
IF(Table681620[[#This Row],[LEVEL]]="4",Table681620[[#This Row],[L4]],
IF(Table681620[[#This Row],[LEVEL]]="3",Table681620[[#This Row],[L3]],
IF(Table681620[[#This Row],[LEVEL]]="2",Table681620[[#This Row],[L2]],
IF(Table681620[[#This Row],[LEVEL]]="1",Table681620[[#This Row],[L1]],"")))))</f>
        <v>Demobilisation &amp; Site Restoration</v>
      </c>
      <c r="U97" s="47" t="s">
        <v>62</v>
      </c>
      <c r="V97" s="47" t="s">
        <v>44</v>
      </c>
      <c r="W97" s="70">
        <v>1</v>
      </c>
      <c r="X97" s="49"/>
      <c r="Y97" s="62">
        <f>Table681620[[#This Row],[Qty]]*Table681620[[#This Row],[Rate]]</f>
        <v>0</v>
      </c>
      <c r="Z97" s="51"/>
      <c r="AA97" s="52" t="s">
        <v>79</v>
      </c>
      <c r="AB97" s="48" t="s">
        <v>556</v>
      </c>
      <c r="AC97" s="7"/>
      <c r="AD97" s="56"/>
      <c r="AE97" s="67"/>
      <c r="AF97" s="7"/>
      <c r="AG97" s="56"/>
      <c r="AH97" s="67"/>
      <c r="AI97" s="7"/>
      <c r="AJ97" s="56"/>
      <c r="AK97" s="67"/>
    </row>
    <row r="98" spans="1:37" x14ac:dyDescent="0.3">
      <c r="A98" s="43" t="str">
        <f>INDEX(Table_Numbering[L1],MATCH(Table681620[[#This Row],[L1]],Table_Numbering[L1 Description (Cost Area)],0))</f>
        <v>A</v>
      </c>
      <c r="B98" s="43" t="str">
        <f>IFERROR(INDEX(Table_Numbering[L2],MATCH(Table681620[[#This Row],[L2]],Table_Numbering[L2 Description (Area)],0)),"0")</f>
        <v>2</v>
      </c>
      <c r="C98" s="43" t="str">
        <f>IFERROR(INDEX(Table_Numbering[L3],MATCH(Table681620[[#This Row],[L3]],Table_Numbering[L3 Description (Sub Area)],0)),"0")</f>
        <v>06</v>
      </c>
      <c r="D98" s="43" t="str">
        <f>Table681620[[#This Row],[N1]]&amp;Table681620[[#This Row],[N2]]&amp;Table681620[[#This Row],[N3]]</f>
        <v>A206</v>
      </c>
      <c r="E98" s="43" t="str">
        <f>TEXT(COUNTIF(C$7:C96,Table681620[[#This Row],[N3]]),"00")</f>
        <v>00</v>
      </c>
      <c r="F98" s="43">
        <f>COUNTIFS(J$7:J98,J98,K$7:K98,K98,L$7:L98,L98,M$7:M98,M98)</f>
        <v>0</v>
      </c>
      <c r="G98" s="43" t="str">
        <f>TEXT(COUNTIFS(A$7:A98,A98,B$7:B98,B98,E$7:E98,E98,F$7:F98,1),"00")</f>
        <v>00</v>
      </c>
      <c r="H98" s="43" t="str">
        <f t="shared" si="4"/>
        <v>00</v>
      </c>
      <c r="I98" s="44" t="str">
        <f t="shared" si="5"/>
        <v>3</v>
      </c>
      <c r="J98" s="45" t="s">
        <v>38</v>
      </c>
      <c r="K98" s="45" t="s">
        <v>392</v>
      </c>
      <c r="L98" s="45" t="s">
        <v>1653</v>
      </c>
      <c r="M98" s="45"/>
      <c r="N98" s="45"/>
      <c r="O9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A2.06</v>
      </c>
      <c r="P98" s="59"/>
      <c r="Q98" s="59"/>
      <c r="R98" s="59"/>
      <c r="S98" s="59"/>
      <c r="T98" s="55" t="str">
        <f>IF(Table681620[[#This Row],[LEVEL]]="5",Table681620[[#This Row],[L5]],
IF(Table681620[[#This Row],[LEVEL]]="4",Table681620[[#This Row],[L4]],
IF(Table681620[[#This Row],[LEVEL]]="3",Table681620[[#This Row],[L3]],
IF(Table681620[[#This Row],[LEVEL]]="2",Table681620[[#This Row],[L2]],
IF(Table681620[[#This Row],[LEVEL]]="1",Table681620[[#This Row],[L1]],"")))))</f>
        <v>EARTHWORKS</v>
      </c>
      <c r="U98" s="47"/>
      <c r="V98" s="47"/>
      <c r="W98" s="70"/>
      <c r="X98" s="49"/>
      <c r="Y98" s="50">
        <f>SUBTOTAL(9,Y99:Y102)</f>
        <v>0</v>
      </c>
      <c r="Z98" s="51"/>
      <c r="AA98" s="52"/>
      <c r="AB98" s="48"/>
      <c r="AC98" s="7"/>
      <c r="AD98" s="60"/>
      <c r="AE98" s="67"/>
      <c r="AF98" s="7"/>
      <c r="AG98" s="60"/>
      <c r="AH98" s="67"/>
      <c r="AI98" s="7"/>
      <c r="AJ98" s="60"/>
      <c r="AK98" s="67"/>
    </row>
    <row r="99" spans="1:37" x14ac:dyDescent="0.3">
      <c r="A99" s="43" t="str">
        <f>INDEX(Table_Numbering[L1],MATCH(Table681620[[#This Row],[L1]],Table_Numbering[L1 Description (Cost Area)],0))</f>
        <v>A</v>
      </c>
      <c r="B99" s="43" t="str">
        <f>IFERROR(INDEX(Table_Numbering[L2],MATCH(Table681620[[#This Row],[L2]],Table_Numbering[L2 Description (Area)],0)),"0")</f>
        <v>2</v>
      </c>
      <c r="C99" s="43" t="str">
        <f>IFERROR(INDEX(Table_Numbering[L3],MATCH(Table681620[[#This Row],[L3]],Table_Numbering[L3 Description (Sub Area)],0)),"0")</f>
        <v>06</v>
      </c>
      <c r="D99" s="43" t="str">
        <f>Table681620[[#This Row],[N1]]&amp;Table681620[[#This Row],[N2]]&amp;Table681620[[#This Row],[N3]]</f>
        <v>A206</v>
      </c>
      <c r="E99" s="43" t="str">
        <f>TEXT(COUNTIF(C$7:C97,Table681620[[#This Row],[N3]]),"00")</f>
        <v>00</v>
      </c>
      <c r="F99" s="43">
        <f>COUNTIFS(J$7:J99,J99,K$7:K99,K99,L$7:L99,L99,M$7:M99,M99)</f>
        <v>1</v>
      </c>
      <c r="G99" s="43" t="str">
        <f>TEXT(COUNTIFS(A$7:A99,A99,B$7:B99,B99,E$7:E99,E99,F$7:F99,1),"00")</f>
        <v>01</v>
      </c>
      <c r="H99" s="43" t="str">
        <f t="shared" si="4"/>
        <v>00</v>
      </c>
      <c r="I99" s="44" t="str">
        <f t="shared" si="5"/>
        <v>4</v>
      </c>
      <c r="J99" s="45" t="s">
        <v>38</v>
      </c>
      <c r="K99" s="45" t="s">
        <v>392</v>
      </c>
      <c r="L99" s="45" t="s">
        <v>1653</v>
      </c>
      <c r="M99" s="45" t="s">
        <v>1301</v>
      </c>
      <c r="N99" s="45"/>
      <c r="O9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A2.06.00</v>
      </c>
      <c r="P99" s="59" t="s">
        <v>1299</v>
      </c>
      <c r="Q99" s="59" t="s">
        <v>78</v>
      </c>
      <c r="R99" s="59" t="s">
        <v>1300</v>
      </c>
      <c r="S99" s="59" t="s">
        <v>1588</v>
      </c>
      <c r="T99" s="58" t="str">
        <f>IF(Table681620[[#This Row],[LEVEL]]="5",Table681620[[#This Row],[L5]],
IF(Table681620[[#This Row],[LEVEL]]="4",Table681620[[#This Row],[L4]],
IF(Table681620[[#This Row],[LEVEL]]="3",Table681620[[#This Row],[L3]],
IF(Table681620[[#This Row],[LEVEL]]="2",Table681620[[#This Row],[L2]],
IF(Table681620[[#This Row],[LEVEL]]="1",Table681620[[#This Row],[L1]],"")))))</f>
        <v>Site Clearing &amp; Stripping</v>
      </c>
      <c r="U99" s="59" t="s">
        <v>246</v>
      </c>
      <c r="V99" s="59" t="s">
        <v>44</v>
      </c>
      <c r="W99" s="49"/>
      <c r="X99" s="49"/>
      <c r="Y99" s="62">
        <f>Table681620[[#This Row],[Qty]]*Table681620[[#This Row],[Rate]]</f>
        <v>0</v>
      </c>
      <c r="Z99" s="51"/>
      <c r="AA99" s="52" t="s">
        <v>1302</v>
      </c>
      <c r="AB99" s="48" t="s">
        <v>1303</v>
      </c>
      <c r="AC99" s="7"/>
      <c r="AD99" s="49"/>
      <c r="AE99" s="67"/>
      <c r="AF99" s="7"/>
      <c r="AG99" s="49"/>
      <c r="AH99" s="67"/>
      <c r="AI99" s="7"/>
      <c r="AJ99" s="49"/>
      <c r="AK99" s="67"/>
    </row>
    <row r="100" spans="1:37" x14ac:dyDescent="0.3">
      <c r="A100" s="43" t="str">
        <f>INDEX(Table_Numbering[L1],MATCH(Table681620[[#This Row],[L1]],Table_Numbering[L1 Description (Cost Area)],0))</f>
        <v>A</v>
      </c>
      <c r="B100" s="43" t="str">
        <f>IFERROR(INDEX(Table_Numbering[L2],MATCH(Table681620[[#This Row],[L2]],Table_Numbering[L2 Description (Area)],0)),"0")</f>
        <v>2</v>
      </c>
      <c r="C100" s="43" t="str">
        <f>IFERROR(INDEX(Table_Numbering[L3],MATCH(Table681620[[#This Row],[L3]],Table_Numbering[L3 Description (Sub Area)],0)),"0")</f>
        <v>06</v>
      </c>
      <c r="D100" s="43" t="str">
        <f>Table681620[[#This Row],[N1]]&amp;Table681620[[#This Row],[N2]]&amp;Table681620[[#This Row],[N3]]</f>
        <v>A206</v>
      </c>
      <c r="E100" s="43" t="str">
        <f>TEXT(COUNTIF(C$7:C98,Table681620[[#This Row],[N3]]),"00")</f>
        <v>01</v>
      </c>
      <c r="F100" s="43">
        <f>COUNTIFS(J$7:J100,J100,K$7:K100,K100,L$7:L100,L100,M$7:M100,M100)</f>
        <v>1</v>
      </c>
      <c r="G100" s="43" t="str">
        <f>TEXT(COUNTIFS(A$7:A100,A100,B$7:B100,B100,E$7:E100,E100,F$7:F100,1),"00")</f>
        <v>01</v>
      </c>
      <c r="H100" s="43" t="str">
        <f t="shared" si="4"/>
        <v>00</v>
      </c>
      <c r="I100" s="44" t="str">
        <f t="shared" si="5"/>
        <v>4</v>
      </c>
      <c r="J100" s="45" t="s">
        <v>38</v>
      </c>
      <c r="K100" s="45" t="s">
        <v>392</v>
      </c>
      <c r="L100" s="45" t="s">
        <v>1653</v>
      </c>
      <c r="M100" s="45" t="s">
        <v>1305</v>
      </c>
      <c r="N100" s="45"/>
      <c r="O10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A2.06.01</v>
      </c>
      <c r="P100" s="59" t="s">
        <v>478</v>
      </c>
      <c r="Q100" s="59" t="s">
        <v>78</v>
      </c>
      <c r="R100" s="59" t="s">
        <v>1304</v>
      </c>
      <c r="S100" s="59" t="s">
        <v>1589</v>
      </c>
      <c r="T100" s="58" t="str">
        <f>IF(Table681620[[#This Row],[LEVEL]]="5",Table681620[[#This Row],[L5]],
IF(Table681620[[#This Row],[LEVEL]]="4",Table681620[[#This Row],[L4]],
IF(Table681620[[#This Row],[LEVEL]]="3",Table681620[[#This Row],[L3]],
IF(Table681620[[#This Row],[LEVEL]]="2",Table681620[[#This Row],[L2]],
IF(Table681620[[#This Row],[LEVEL]]="1",Table681620[[#This Row],[L1]],"")))))</f>
        <v>Bulk Earthworks - Cut &amp; Fill</v>
      </c>
      <c r="U100" s="47" t="s">
        <v>239</v>
      </c>
      <c r="V100" s="47" t="s">
        <v>44</v>
      </c>
      <c r="W100" s="70"/>
      <c r="X100" s="49"/>
      <c r="Y100" s="62">
        <f>Table681620[[#This Row],[Qty]]*Table681620[[#This Row],[Rate]]</f>
        <v>0</v>
      </c>
      <c r="Z100" s="51"/>
      <c r="AA100" s="52" t="s">
        <v>1306</v>
      </c>
      <c r="AB100" s="48" t="s">
        <v>1307</v>
      </c>
      <c r="AC100" s="7"/>
      <c r="AD100" s="56"/>
      <c r="AE100" s="67"/>
      <c r="AF100" s="7"/>
      <c r="AG100" s="56"/>
      <c r="AH100" s="67"/>
      <c r="AI100" s="7"/>
      <c r="AJ100" s="56"/>
      <c r="AK100" s="67"/>
    </row>
    <row r="101" spans="1:37" x14ac:dyDescent="0.3">
      <c r="A101" s="43" t="str">
        <f>INDEX(Table_Numbering[L1],MATCH(Table681620[[#This Row],[L1]],Table_Numbering[L1 Description (Cost Area)],0))</f>
        <v>A</v>
      </c>
      <c r="B101" s="43" t="str">
        <f>IFERROR(INDEX(Table_Numbering[L2],MATCH(Table681620[[#This Row],[L2]],Table_Numbering[L2 Description (Area)],0)),"0")</f>
        <v>2</v>
      </c>
      <c r="C101" s="43" t="str">
        <f>IFERROR(INDEX(Table_Numbering[L3],MATCH(Table681620[[#This Row],[L3]],Table_Numbering[L3 Description (Sub Area)],0)),"0")</f>
        <v>06</v>
      </c>
      <c r="D101" s="43" t="str">
        <f>Table681620[[#This Row],[N1]]&amp;Table681620[[#This Row],[N2]]&amp;Table681620[[#This Row],[N3]]</f>
        <v>A206</v>
      </c>
      <c r="E101" s="43" t="str">
        <f>TEXT(COUNTIF(C$7:C99,Table681620[[#This Row],[N3]]),"00")</f>
        <v>02</v>
      </c>
      <c r="F101" s="43">
        <f>COUNTIFS(J$7:J101,J101,K$7:K101,K101,L$7:L101,L101,M$7:M101,M101)</f>
        <v>1</v>
      </c>
      <c r="G101" s="43" t="str">
        <f>TEXT(COUNTIFS(A$7:A101,A101,B$7:B101,B101,E$7:E101,E101,F$7:F101,1),"00")</f>
        <v>01</v>
      </c>
      <c r="H101" s="43" t="str">
        <f t="shared" si="4"/>
        <v>00</v>
      </c>
      <c r="I101" s="44" t="str">
        <f t="shared" si="5"/>
        <v>4</v>
      </c>
      <c r="J101" s="45" t="s">
        <v>38</v>
      </c>
      <c r="K101" s="45" t="s">
        <v>392</v>
      </c>
      <c r="L101" s="45" t="s">
        <v>1653</v>
      </c>
      <c r="M101" s="45" t="s">
        <v>1308</v>
      </c>
      <c r="N101" s="45"/>
      <c r="O10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A2.06.02</v>
      </c>
      <c r="P101" s="59" t="s">
        <v>478</v>
      </c>
      <c r="Q101" s="59" t="s">
        <v>78</v>
      </c>
      <c r="R101" s="59" t="s">
        <v>1300</v>
      </c>
      <c r="S101" s="59" t="s">
        <v>1590</v>
      </c>
      <c r="T101" s="58" t="str">
        <f>IF(Table681620[[#This Row],[LEVEL]]="5",Table681620[[#This Row],[L5]],
IF(Table681620[[#This Row],[LEVEL]]="4",Table681620[[#This Row],[L4]],
IF(Table681620[[#This Row],[LEVEL]]="3",Table681620[[#This Row],[L3]],
IF(Table681620[[#This Row],[LEVEL]]="2",Table681620[[#This Row],[L2]],
IF(Table681620[[#This Row],[LEVEL]]="1",Table681620[[#This Row],[L1]],"")))))</f>
        <v>Subgrade Compaction &amp; Proof Rolling</v>
      </c>
      <c r="U101" s="47" t="s">
        <v>246</v>
      </c>
      <c r="V101" s="47" t="s">
        <v>44</v>
      </c>
      <c r="W101" s="70"/>
      <c r="X101" s="49"/>
      <c r="Y101" s="62">
        <f>Table681620[[#This Row],[Qty]]*Table681620[[#This Row],[Rate]]</f>
        <v>0</v>
      </c>
      <c r="Z101" s="51"/>
      <c r="AA101" s="63" t="s">
        <v>1309</v>
      </c>
      <c r="AB101" s="48" t="s">
        <v>1310</v>
      </c>
      <c r="AC101" s="7"/>
      <c r="AD101" s="60"/>
      <c r="AE101" s="67"/>
      <c r="AF101" s="7"/>
      <c r="AG101" s="60"/>
      <c r="AH101" s="67"/>
      <c r="AI101" s="7"/>
      <c r="AJ101" s="60"/>
      <c r="AK101" s="67"/>
    </row>
    <row r="102" spans="1:37" x14ac:dyDescent="0.3">
      <c r="A102" s="43" t="str">
        <f>INDEX(Table_Numbering[L1],MATCH(Table681620[[#This Row],[L1]],Table_Numbering[L1 Description (Cost Area)],0))</f>
        <v>A</v>
      </c>
      <c r="B102" s="43" t="str">
        <f>IFERROR(INDEX(Table_Numbering[L2],MATCH(Table681620[[#This Row],[L2]],Table_Numbering[L2 Description (Area)],0)),"0")</f>
        <v>2</v>
      </c>
      <c r="C102" s="43" t="str">
        <f>IFERROR(INDEX(Table_Numbering[L3],MATCH(Table681620[[#This Row],[L3]],Table_Numbering[L3 Description (Sub Area)],0)),"0")</f>
        <v>06</v>
      </c>
      <c r="D102" s="43" t="str">
        <f>Table681620[[#This Row],[N1]]&amp;Table681620[[#This Row],[N2]]&amp;Table681620[[#This Row],[N3]]</f>
        <v>A206</v>
      </c>
      <c r="E102" s="43" t="str">
        <f>TEXT(COUNTIF(C$7:C100,Table681620[[#This Row],[N3]]),"00")</f>
        <v>03</v>
      </c>
      <c r="F102" s="43">
        <f>COUNTIFS(J$7:J102,J102,K$7:K102,K102,L$7:L102,L102,M$7:M102,M102)</f>
        <v>1</v>
      </c>
      <c r="G102" s="43" t="str">
        <f>TEXT(COUNTIFS(A$7:A102,A102,B$7:B102,B102,E$7:E102,E102,F$7:F102,1),"00")</f>
        <v>01</v>
      </c>
      <c r="H102" s="43" t="str">
        <f t="shared" si="4"/>
        <v>00</v>
      </c>
      <c r="I102" s="44" t="str">
        <f t="shared" si="5"/>
        <v>4</v>
      </c>
      <c r="J102" s="45" t="s">
        <v>38</v>
      </c>
      <c r="K102" s="45" t="s">
        <v>392</v>
      </c>
      <c r="L102" s="45" t="s">
        <v>1653</v>
      </c>
      <c r="M102" s="45" t="s">
        <v>1311</v>
      </c>
      <c r="N102" s="45"/>
      <c r="O10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A2.06.03</v>
      </c>
      <c r="P102" s="59" t="s">
        <v>478</v>
      </c>
      <c r="Q102" s="59" t="s">
        <v>78</v>
      </c>
      <c r="R102" s="59" t="s">
        <v>1300</v>
      </c>
      <c r="S102" s="59" t="s">
        <v>1591</v>
      </c>
      <c r="T102" s="58" t="str">
        <f>IF(Table681620[[#This Row],[LEVEL]]="5",Table681620[[#This Row],[L5]],
IF(Table681620[[#This Row],[LEVEL]]="4",Table681620[[#This Row],[L4]],
IF(Table681620[[#This Row],[LEVEL]]="3",Table681620[[#This Row],[L3]],
IF(Table681620[[#This Row],[LEVEL]]="2",Table681620[[#This Row],[L2]],
IF(Table681620[[#This Row],[LEVEL]]="1",Table681620[[#This Row],[L1]],"")))))</f>
        <v>Import of Approved Fill Material</v>
      </c>
      <c r="U102" s="47" t="s">
        <v>239</v>
      </c>
      <c r="V102" s="47" t="s">
        <v>44</v>
      </c>
      <c r="W102" s="70"/>
      <c r="X102" s="49"/>
      <c r="Y102" s="62">
        <f>Table681620[[#This Row],[Qty]]*Table681620[[#This Row],[Rate]]</f>
        <v>0</v>
      </c>
      <c r="Z102" s="51"/>
      <c r="AA102" s="63" t="s">
        <v>1312</v>
      </c>
      <c r="AB102" s="48" t="s">
        <v>1313</v>
      </c>
      <c r="AC102" s="7"/>
      <c r="AD102" s="56"/>
      <c r="AE102" s="67"/>
      <c r="AF102" s="7"/>
      <c r="AG102" s="56"/>
      <c r="AH102" s="67"/>
      <c r="AI102" s="7"/>
      <c r="AJ102" s="56"/>
      <c r="AK102" s="67"/>
    </row>
    <row r="103" spans="1:37" x14ac:dyDescent="0.3">
      <c r="A103" s="43" t="str">
        <f>INDEX(Table_Numbering[L1],MATCH(Table681620[[#This Row],[L1]],Table_Numbering[L1 Description (Cost Area)],0))</f>
        <v>A</v>
      </c>
      <c r="B103" s="43" t="str">
        <f>IFERROR(INDEX(Table_Numbering[L2],MATCH(Table681620[[#This Row],[L2]],Table_Numbering[L2 Description (Area)],0)),"0")</f>
        <v>2</v>
      </c>
      <c r="C103" s="43" t="str">
        <f>IFERROR(INDEX(Table_Numbering[L3],MATCH(Table681620[[#This Row],[L3]],Table_Numbering[L3 Description (Sub Area)],0)),"0")</f>
        <v>07</v>
      </c>
      <c r="D103" s="43" t="str">
        <f>Table681620[[#This Row],[N1]]&amp;Table681620[[#This Row],[N2]]&amp;Table681620[[#This Row],[N3]]</f>
        <v>A207</v>
      </c>
      <c r="E103" s="43" t="str">
        <f>TEXT(COUNTIF(C$7:C101,Table681620[[#This Row],[N3]]),"00")</f>
        <v>00</v>
      </c>
      <c r="F103" s="43">
        <f>COUNTIFS(J$7:J103,J103,K$7:K103,K103,L$7:L103,L103,M$7:M103,M103)</f>
        <v>0</v>
      </c>
      <c r="G103" s="43" t="str">
        <f>TEXT(COUNTIFS(A$7:A103,A103,B$7:B103,B103,E$7:E103,E103,F$7:F103,1),"00")</f>
        <v>01</v>
      </c>
      <c r="H103" s="43" t="str">
        <f t="shared" si="4"/>
        <v>00</v>
      </c>
      <c r="I103" s="44" t="str">
        <f t="shared" si="5"/>
        <v>3</v>
      </c>
      <c r="J103" s="45" t="s">
        <v>38</v>
      </c>
      <c r="K103" s="45" t="s">
        <v>392</v>
      </c>
      <c r="L103" s="45" t="s">
        <v>1652</v>
      </c>
      <c r="M103" s="45"/>
      <c r="N103" s="45"/>
      <c r="O10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A2.07</v>
      </c>
      <c r="P103" s="59"/>
      <c r="Q103" s="59"/>
      <c r="R103" s="59"/>
      <c r="S103" s="59"/>
      <c r="T103" s="55" t="str">
        <f>IF(Table681620[[#This Row],[LEVEL]]="5",Table681620[[#This Row],[L5]],
IF(Table681620[[#This Row],[LEVEL]]="4",Table681620[[#This Row],[L4]],
IF(Table681620[[#This Row],[LEVEL]]="3",Table681620[[#This Row],[L3]],
IF(Table681620[[#This Row],[LEVEL]]="2",Table681620[[#This Row],[L2]],
IF(Table681620[[#This Row],[LEVEL]]="1",Table681620[[#This Row],[L1]],"")))))</f>
        <v>STORMWATER</v>
      </c>
      <c r="U103" s="47"/>
      <c r="V103" s="47"/>
      <c r="W103" s="70"/>
      <c r="X103" s="71"/>
      <c r="Y103" s="50">
        <f>SUBTOTAL(9,Y104:Y107)</f>
        <v>0</v>
      </c>
      <c r="Z103" s="51"/>
      <c r="AA103" s="63"/>
      <c r="AB103" s="48"/>
      <c r="AC103" s="7"/>
      <c r="AD103" s="49"/>
      <c r="AE103" s="67"/>
      <c r="AF103" s="7"/>
      <c r="AG103" s="49"/>
      <c r="AH103" s="67"/>
      <c r="AI103" s="7"/>
      <c r="AJ103" s="49"/>
      <c r="AK103" s="67"/>
    </row>
    <row r="104" spans="1:37" x14ac:dyDescent="0.3">
      <c r="A104" s="43" t="str">
        <f>INDEX(Table_Numbering[L1],MATCH(Table681620[[#This Row],[L1]],Table_Numbering[L1 Description (Cost Area)],0))</f>
        <v>A</v>
      </c>
      <c r="B104" s="43" t="str">
        <f>IFERROR(INDEX(Table_Numbering[L2],MATCH(Table681620[[#This Row],[L2]],Table_Numbering[L2 Description (Area)],0)),"0")</f>
        <v>2</v>
      </c>
      <c r="C104" s="43" t="str">
        <f>IFERROR(INDEX(Table_Numbering[L3],MATCH(Table681620[[#This Row],[L3]],Table_Numbering[L3 Description (Sub Area)],0)),"0")</f>
        <v>07</v>
      </c>
      <c r="D104" s="43" t="str">
        <f>Table681620[[#This Row],[N1]]&amp;Table681620[[#This Row],[N2]]&amp;Table681620[[#This Row],[N3]]</f>
        <v>A207</v>
      </c>
      <c r="E104" s="43" t="str">
        <f>TEXT(COUNTIF(C$7:C102,Table681620[[#This Row],[N3]]),"00")</f>
        <v>00</v>
      </c>
      <c r="F104" s="43">
        <f>COUNTIFS(J$7:J104,J104,K$7:K104,K104,L$7:L104,L104,M$7:M104,M104)</f>
        <v>1</v>
      </c>
      <c r="G104" s="43" t="str">
        <f>TEXT(COUNTIFS(A$7:A104,A104,B$7:B104,B104,E$7:E104,E104,F$7:F104,1),"00")</f>
        <v>02</v>
      </c>
      <c r="H104" s="43" t="str">
        <f t="shared" si="4"/>
        <v>00</v>
      </c>
      <c r="I104" s="44" t="str">
        <f t="shared" si="5"/>
        <v>4</v>
      </c>
      <c r="J104" s="45" t="s">
        <v>38</v>
      </c>
      <c r="K104" s="45" t="s">
        <v>392</v>
      </c>
      <c r="L104" s="45" t="s">
        <v>1652</v>
      </c>
      <c r="M104" s="45" t="s">
        <v>1316</v>
      </c>
      <c r="N104" s="45"/>
      <c r="O10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A2.07.00</v>
      </c>
      <c r="P104" s="59" t="s">
        <v>1314</v>
      </c>
      <c r="Q104" s="59" t="s">
        <v>78</v>
      </c>
      <c r="R104" s="59" t="s">
        <v>1315</v>
      </c>
      <c r="S104" s="59" t="s">
        <v>1592</v>
      </c>
      <c r="T104" s="58" t="str">
        <f>IF(Table681620[[#This Row],[LEVEL]]="5",Table681620[[#This Row],[L5]],
IF(Table681620[[#This Row],[LEVEL]]="4",Table681620[[#This Row],[L4]],
IF(Table681620[[#This Row],[LEVEL]]="3",Table681620[[#This Row],[L3]],
IF(Table681620[[#This Row],[LEVEL]]="2",Table681620[[#This Row],[L2]],
IF(Table681620[[#This Row],[LEVEL]]="1",Table681620[[#This Row],[L1]],"")))))</f>
        <v>Stormwater Pipes &amp; Fittings</v>
      </c>
      <c r="U104" s="47" t="s">
        <v>1105</v>
      </c>
      <c r="V104" s="47" t="s">
        <v>44</v>
      </c>
      <c r="W104" s="70"/>
      <c r="X104" s="71"/>
      <c r="Y104" s="62">
        <f>Table681620[[#This Row],[Qty]]*Table681620[[#This Row],[Rate]]</f>
        <v>0</v>
      </c>
      <c r="Z104" s="51"/>
      <c r="AA104" s="63" t="s">
        <v>516</v>
      </c>
      <c r="AB104" s="48" t="s">
        <v>1317</v>
      </c>
      <c r="AC104" s="7"/>
      <c r="AD104" s="56"/>
      <c r="AE104" s="67"/>
      <c r="AF104" s="7"/>
      <c r="AG104" s="56"/>
      <c r="AH104" s="67"/>
      <c r="AI104" s="7"/>
      <c r="AJ104" s="56"/>
      <c r="AK104" s="67"/>
    </row>
    <row r="105" spans="1:37" x14ac:dyDescent="0.3">
      <c r="A105" s="43" t="str">
        <f>INDEX(Table_Numbering[L1],MATCH(Table681620[[#This Row],[L1]],Table_Numbering[L1 Description (Cost Area)],0))</f>
        <v>A</v>
      </c>
      <c r="B105" s="43" t="str">
        <f>IFERROR(INDEX(Table_Numbering[L2],MATCH(Table681620[[#This Row],[L2]],Table_Numbering[L2 Description (Area)],0)),"0")</f>
        <v>2</v>
      </c>
      <c r="C105" s="43" t="str">
        <f>IFERROR(INDEX(Table_Numbering[L3],MATCH(Table681620[[#This Row],[L3]],Table_Numbering[L3 Description (Sub Area)],0)),"0")</f>
        <v>07</v>
      </c>
      <c r="D105" s="43" t="str">
        <f>Table681620[[#This Row],[N1]]&amp;Table681620[[#This Row],[N2]]&amp;Table681620[[#This Row],[N3]]</f>
        <v>A207</v>
      </c>
      <c r="E105" s="43" t="str">
        <f>TEXT(COUNTIF(C$7:C103,Table681620[[#This Row],[N3]]),"00")</f>
        <v>01</v>
      </c>
      <c r="F105" s="43">
        <f>COUNTIFS(J$7:J105,J105,K$7:K105,K105,L$7:L105,L105,M$7:M105,M105)</f>
        <v>1</v>
      </c>
      <c r="G105" s="43" t="str">
        <f>TEXT(COUNTIFS(A$7:A105,A105,B$7:B105,B105,E$7:E105,E105,F$7:F105,1),"00")</f>
        <v>02</v>
      </c>
      <c r="H105" s="43" t="str">
        <f t="shared" si="4"/>
        <v>00</v>
      </c>
      <c r="I105" s="44" t="str">
        <f t="shared" si="5"/>
        <v>4</v>
      </c>
      <c r="J105" s="45" t="s">
        <v>38</v>
      </c>
      <c r="K105" s="45" t="s">
        <v>392</v>
      </c>
      <c r="L105" s="45" t="s">
        <v>1652</v>
      </c>
      <c r="M105" s="45" t="s">
        <v>1318</v>
      </c>
      <c r="N105" s="45"/>
      <c r="O10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A2.07.01</v>
      </c>
      <c r="P105" s="59" t="s">
        <v>1314</v>
      </c>
      <c r="Q105" s="59" t="s">
        <v>78</v>
      </c>
      <c r="R105" s="59" t="s">
        <v>1315</v>
      </c>
      <c r="S105" s="59" t="s">
        <v>1593</v>
      </c>
      <c r="T105" s="58" t="str">
        <f>IF(Table681620[[#This Row],[LEVEL]]="5",Table681620[[#This Row],[L5]],
IF(Table681620[[#This Row],[LEVEL]]="4",Table681620[[#This Row],[L4]],
IF(Table681620[[#This Row],[LEVEL]]="3",Table681620[[#This Row],[L3]],
IF(Table681620[[#This Row],[LEVEL]]="2",Table681620[[#This Row],[L2]],
IF(Table681620[[#This Row],[LEVEL]]="1",Table681620[[#This Row],[L1]],"")))))</f>
        <v>Stormwater Pits &amp; Grates</v>
      </c>
      <c r="U105" s="47" t="s">
        <v>574</v>
      </c>
      <c r="V105" s="47" t="s">
        <v>44</v>
      </c>
      <c r="W105" s="70"/>
      <c r="X105" s="71"/>
      <c r="Y105" s="62">
        <f>Table681620[[#This Row],[Qty]]*Table681620[[#This Row],[Rate]]</f>
        <v>0</v>
      </c>
      <c r="Z105" s="51"/>
      <c r="AA105" s="52" t="s">
        <v>1319</v>
      </c>
      <c r="AB105" s="48" t="s">
        <v>1320</v>
      </c>
      <c r="AC105" s="7"/>
      <c r="AD105" s="60"/>
      <c r="AE105" s="67"/>
      <c r="AF105" s="7"/>
      <c r="AG105" s="60"/>
      <c r="AH105" s="67"/>
      <c r="AI105" s="7"/>
      <c r="AJ105" s="60"/>
      <c r="AK105" s="67"/>
    </row>
    <row r="106" spans="1:37" x14ac:dyDescent="0.3">
      <c r="A106" s="43" t="str">
        <f>INDEX(Table_Numbering[L1],MATCH(Table681620[[#This Row],[L1]],Table_Numbering[L1 Description (Cost Area)],0))</f>
        <v>A</v>
      </c>
      <c r="B106" s="43" t="str">
        <f>IFERROR(INDEX(Table_Numbering[L2],MATCH(Table681620[[#This Row],[L2]],Table_Numbering[L2 Description (Area)],0)),"0")</f>
        <v>2</v>
      </c>
      <c r="C106" s="43" t="str">
        <f>IFERROR(INDEX(Table_Numbering[L3],MATCH(Table681620[[#This Row],[L3]],Table_Numbering[L3 Description (Sub Area)],0)),"0")</f>
        <v>07</v>
      </c>
      <c r="D106" s="43" t="str">
        <f>Table681620[[#This Row],[N1]]&amp;Table681620[[#This Row],[N2]]&amp;Table681620[[#This Row],[N3]]</f>
        <v>A207</v>
      </c>
      <c r="E106" s="43" t="str">
        <f>TEXT(COUNTIF(C$7:C104,Table681620[[#This Row],[N3]]),"00")</f>
        <v>02</v>
      </c>
      <c r="F106" s="43">
        <f>COUNTIFS(J$7:J106,J106,K$7:K106,K106,L$7:L106,L106,M$7:M106,M106)</f>
        <v>1</v>
      </c>
      <c r="G106" s="43" t="str">
        <f>TEXT(COUNTIFS(A$7:A106,A106,B$7:B106,B106,E$7:E106,E106,F$7:F106,1),"00")</f>
        <v>02</v>
      </c>
      <c r="H106" s="43" t="str">
        <f t="shared" si="4"/>
        <v>00</v>
      </c>
      <c r="I106" s="44" t="str">
        <f t="shared" si="5"/>
        <v>4</v>
      </c>
      <c r="J106" s="45" t="s">
        <v>38</v>
      </c>
      <c r="K106" s="45" t="s">
        <v>392</v>
      </c>
      <c r="L106" s="45" t="s">
        <v>1652</v>
      </c>
      <c r="M106" s="45" t="s">
        <v>1322</v>
      </c>
      <c r="N106" s="45"/>
      <c r="O10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A2.07.02</v>
      </c>
      <c r="P106" s="59" t="s">
        <v>477</v>
      </c>
      <c r="Q106" s="59" t="s">
        <v>78</v>
      </c>
      <c r="R106" s="59" t="s">
        <v>1321</v>
      </c>
      <c r="S106" s="59" t="s">
        <v>1594</v>
      </c>
      <c r="T106" s="58" t="str">
        <f>IF(Table681620[[#This Row],[LEVEL]]="5",Table681620[[#This Row],[L5]],
IF(Table681620[[#This Row],[LEVEL]]="4",Table681620[[#This Row],[L4]],
IF(Table681620[[#This Row],[LEVEL]]="3",Table681620[[#This Row],[L3]],
IF(Table681620[[#This Row],[LEVEL]]="2",Table681620[[#This Row],[L2]],
IF(Table681620[[#This Row],[LEVEL]]="1",Table681620[[#This Row],[L1]],"")))))</f>
        <v>Headwalls &amp; Outlet Structures</v>
      </c>
      <c r="U106" s="47" t="s">
        <v>574</v>
      </c>
      <c r="V106" s="47" t="s">
        <v>44</v>
      </c>
      <c r="W106" s="70"/>
      <c r="X106" s="71"/>
      <c r="Y106" s="62">
        <f>Table681620[[#This Row],[Qty]]*Table681620[[#This Row],[Rate]]</f>
        <v>0</v>
      </c>
      <c r="Z106" s="51"/>
      <c r="AA106" s="63" t="s">
        <v>1323</v>
      </c>
      <c r="AB106" s="48" t="s">
        <v>1324</v>
      </c>
      <c r="AC106" s="7"/>
      <c r="AD106" s="56"/>
      <c r="AE106" s="67"/>
      <c r="AF106" s="7"/>
      <c r="AG106" s="56"/>
      <c r="AH106" s="67"/>
      <c r="AI106" s="7"/>
      <c r="AJ106" s="56"/>
      <c r="AK106" s="67"/>
    </row>
    <row r="107" spans="1:37" x14ac:dyDescent="0.3">
      <c r="A107" s="43" t="str">
        <f>INDEX(Table_Numbering[L1],MATCH(Table681620[[#This Row],[L1]],Table_Numbering[L1 Description (Cost Area)],0))</f>
        <v>A</v>
      </c>
      <c r="B107" s="43" t="str">
        <f>IFERROR(INDEX(Table_Numbering[L2],MATCH(Table681620[[#This Row],[L2]],Table_Numbering[L2 Description (Area)],0)),"0")</f>
        <v>2</v>
      </c>
      <c r="C107" s="43" t="str">
        <f>IFERROR(INDEX(Table_Numbering[L3],MATCH(Table681620[[#This Row],[L3]],Table_Numbering[L3 Description (Sub Area)],0)),"0")</f>
        <v>07</v>
      </c>
      <c r="D107" s="43" t="str">
        <f>Table681620[[#This Row],[N1]]&amp;Table681620[[#This Row],[N2]]&amp;Table681620[[#This Row],[N3]]</f>
        <v>A207</v>
      </c>
      <c r="E107" s="43" t="str">
        <f>TEXT(COUNTIF(C$7:C105,Table681620[[#This Row],[N3]]),"00")</f>
        <v>03</v>
      </c>
      <c r="F107" s="43">
        <f>COUNTIFS(J$7:J107,J107,K$7:K107,K107,L$7:L107,L107,M$7:M107,M107)</f>
        <v>1</v>
      </c>
      <c r="G107" s="43" t="str">
        <f>TEXT(COUNTIFS(A$7:A107,A107,B$7:B107,B107,E$7:E107,E107,F$7:F107,1),"00")</f>
        <v>02</v>
      </c>
      <c r="H107" s="43" t="str">
        <f t="shared" si="4"/>
        <v>00</v>
      </c>
      <c r="I107" s="44" t="str">
        <f t="shared" si="5"/>
        <v>4</v>
      </c>
      <c r="J107" s="45" t="s">
        <v>38</v>
      </c>
      <c r="K107" s="45" t="s">
        <v>392</v>
      </c>
      <c r="L107" s="45" t="s">
        <v>1652</v>
      </c>
      <c r="M107" s="45" t="s">
        <v>1326</v>
      </c>
      <c r="N107" s="45"/>
      <c r="O10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A2.07.03</v>
      </c>
      <c r="P107" s="59" t="s">
        <v>1325</v>
      </c>
      <c r="Q107" s="59" t="s">
        <v>335</v>
      </c>
      <c r="R107" s="59" t="s">
        <v>534</v>
      </c>
      <c r="S107" s="59" t="s">
        <v>1843</v>
      </c>
      <c r="T107" s="58" t="str">
        <f>IF(Table681620[[#This Row],[LEVEL]]="5",Table681620[[#This Row],[L5]],
IF(Table681620[[#This Row],[LEVEL]]="4",Table681620[[#This Row],[L4]],
IF(Table681620[[#This Row],[LEVEL]]="3",Table681620[[#This Row],[L3]],
IF(Table681620[[#This Row],[LEVEL]]="2",Table681620[[#This Row],[L2]],
IF(Table681620[[#This Row],[LEVEL]]="1",Table681620[[#This Row],[L1]],"")))))</f>
        <v>Stormwater Testing &amp; CCTV</v>
      </c>
      <c r="U107" s="47" t="s">
        <v>62</v>
      </c>
      <c r="V107" s="47" t="s">
        <v>44</v>
      </c>
      <c r="W107" s="70">
        <v>1</v>
      </c>
      <c r="X107" s="71"/>
      <c r="Y107" s="62">
        <f>Table681620[[#This Row],[Qty]]*Table681620[[#This Row],[Rate]]</f>
        <v>0</v>
      </c>
      <c r="Z107" s="51"/>
      <c r="AA107" s="63" t="s">
        <v>1327</v>
      </c>
      <c r="AB107" s="48" t="s">
        <v>1328</v>
      </c>
      <c r="AC107" s="7"/>
      <c r="AD107" s="49"/>
      <c r="AE107" s="67"/>
      <c r="AF107" s="7"/>
      <c r="AG107" s="49"/>
      <c r="AH107" s="67"/>
      <c r="AI107" s="7"/>
      <c r="AJ107" s="49"/>
      <c r="AK107" s="67"/>
    </row>
    <row r="108" spans="1:37" x14ac:dyDescent="0.3">
      <c r="A108" s="43" t="str">
        <f>INDEX(Table_Numbering[L1],MATCH(Table681620[[#This Row],[L1]],Table_Numbering[L1 Description (Cost Area)],0))</f>
        <v>A</v>
      </c>
      <c r="B108" s="43" t="str">
        <f>IFERROR(INDEX(Table_Numbering[L2],MATCH(Table681620[[#This Row],[L2]],Table_Numbering[L2 Description (Area)],0)),"0")</f>
        <v>2</v>
      </c>
      <c r="C108" s="43" t="str">
        <f>IFERROR(INDEX(Table_Numbering[L3],MATCH(Table681620[[#This Row],[L3]],Table_Numbering[L3 Description (Sub Area)],0)),"0")</f>
        <v>08</v>
      </c>
      <c r="D108" s="43" t="str">
        <f>Table681620[[#This Row],[N1]]&amp;Table681620[[#This Row],[N2]]&amp;Table681620[[#This Row],[N3]]</f>
        <v>A208</v>
      </c>
      <c r="E108" s="43" t="str">
        <f>TEXT(COUNTIF(C$7:C106,Table681620[[#This Row],[N3]]),"00")</f>
        <v>00</v>
      </c>
      <c r="F108" s="43">
        <f>COUNTIFS(J$7:J108,J108,K$7:K108,K108,L$7:L108,L108,M$7:M108,M108)</f>
        <v>0</v>
      </c>
      <c r="G108" s="43" t="str">
        <f>TEXT(COUNTIFS(A$7:A108,A108,B$7:B108,B108,E$7:E108,E108,F$7:F108,1),"00")</f>
        <v>02</v>
      </c>
      <c r="H108" s="43" t="str">
        <f t="shared" si="4"/>
        <v>00</v>
      </c>
      <c r="I108" s="44" t="str">
        <f t="shared" si="5"/>
        <v>3</v>
      </c>
      <c r="J108" s="45" t="s">
        <v>38</v>
      </c>
      <c r="K108" s="45" t="s">
        <v>392</v>
      </c>
      <c r="L108" s="45" t="s">
        <v>1654</v>
      </c>
      <c r="M108" s="45"/>
      <c r="N108" s="45"/>
      <c r="O10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A2.08</v>
      </c>
      <c r="P108" s="59"/>
      <c r="Q108" s="59"/>
      <c r="R108" s="59"/>
      <c r="S108" s="59"/>
      <c r="T108" s="55" t="str">
        <f>IF(Table681620[[#This Row],[LEVEL]]="5",Table681620[[#This Row],[L5]],
IF(Table681620[[#This Row],[LEVEL]]="4",Table681620[[#This Row],[L4]],
IF(Table681620[[#This Row],[LEVEL]]="3",Table681620[[#This Row],[L3]],
IF(Table681620[[#This Row],[LEVEL]]="2",Table681620[[#This Row],[L2]],
IF(Table681620[[#This Row],[LEVEL]]="1",Table681620[[#This Row],[L1]],"")))))</f>
        <v>TRENCHING</v>
      </c>
      <c r="U108" s="47"/>
      <c r="V108" s="47"/>
      <c r="W108" s="70"/>
      <c r="X108" s="71"/>
      <c r="Y108" s="50">
        <f>SUBTOTAL(9,Y109:Y112)</f>
        <v>0</v>
      </c>
      <c r="Z108" s="51"/>
      <c r="AA108" s="63"/>
      <c r="AB108" s="48"/>
      <c r="AC108" s="7"/>
      <c r="AD108" s="56"/>
      <c r="AE108" s="67"/>
      <c r="AF108" s="7"/>
      <c r="AG108" s="56"/>
      <c r="AH108" s="67"/>
      <c r="AI108" s="7"/>
      <c r="AJ108" s="56"/>
      <c r="AK108" s="67"/>
    </row>
    <row r="109" spans="1:37" x14ac:dyDescent="0.3">
      <c r="A109" s="43" t="str">
        <f>INDEX(Table_Numbering[L1],MATCH(Table681620[[#This Row],[L1]],Table_Numbering[L1 Description (Cost Area)],0))</f>
        <v>A</v>
      </c>
      <c r="B109" s="43" t="str">
        <f>IFERROR(INDEX(Table_Numbering[L2],MATCH(Table681620[[#This Row],[L2]],Table_Numbering[L2 Description (Area)],0)),"0")</f>
        <v>2</v>
      </c>
      <c r="C109" s="43" t="str">
        <f>IFERROR(INDEX(Table_Numbering[L3],MATCH(Table681620[[#This Row],[L3]],Table_Numbering[L3 Description (Sub Area)],0)),"0")</f>
        <v>08</v>
      </c>
      <c r="D109" s="43" t="str">
        <f>Table681620[[#This Row],[N1]]&amp;Table681620[[#This Row],[N2]]&amp;Table681620[[#This Row],[N3]]</f>
        <v>A208</v>
      </c>
      <c r="E109" s="43" t="str">
        <f>TEXT(COUNTIF(C$7:C107,Table681620[[#This Row],[N3]]),"00")</f>
        <v>00</v>
      </c>
      <c r="F109" s="43">
        <f>COUNTIFS(J$7:J109,J109,K$7:K109,K109,L$7:L109,L109,M$7:M109,M109)</f>
        <v>1</v>
      </c>
      <c r="G109" s="43" t="str">
        <f>TEXT(COUNTIFS(A$7:A109,A109,B$7:B109,B109,E$7:E109,E109,F$7:F109,1),"00")</f>
        <v>03</v>
      </c>
      <c r="H109" s="43" t="str">
        <f t="shared" si="4"/>
        <v>00</v>
      </c>
      <c r="I109" s="44" t="str">
        <f t="shared" si="5"/>
        <v>4</v>
      </c>
      <c r="J109" s="45" t="s">
        <v>38</v>
      </c>
      <c r="K109" s="45" t="s">
        <v>392</v>
      </c>
      <c r="L109" s="45" t="s">
        <v>1654</v>
      </c>
      <c r="M109" s="45" t="s">
        <v>1330</v>
      </c>
      <c r="N109" s="45"/>
      <c r="O10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A2.08.00</v>
      </c>
      <c r="P109" s="59" t="s">
        <v>1329</v>
      </c>
      <c r="Q109" s="59" t="s">
        <v>78</v>
      </c>
      <c r="R109" s="59" t="s">
        <v>532</v>
      </c>
      <c r="S109" s="59" t="s">
        <v>1595</v>
      </c>
      <c r="T109" s="58" t="str">
        <f>IF(Table681620[[#This Row],[LEVEL]]="5",Table681620[[#This Row],[L5]],
IF(Table681620[[#This Row],[LEVEL]]="4",Table681620[[#This Row],[L4]],
IF(Table681620[[#This Row],[LEVEL]]="3",Table681620[[#This Row],[L3]],
IF(Table681620[[#This Row],[LEVEL]]="2",Table681620[[#This Row],[L2]],
IF(Table681620[[#This Row],[LEVEL]]="1",Table681620[[#This Row],[L1]],"")))))</f>
        <v>Electrical Service Trenching &amp; Conduits</v>
      </c>
      <c r="U109" s="47" t="s">
        <v>1105</v>
      </c>
      <c r="V109" s="47" t="s">
        <v>44</v>
      </c>
      <c r="W109" s="70"/>
      <c r="X109" s="71"/>
      <c r="Y109" s="62">
        <f>Table681620[[#This Row],[Qty]]*Table681620[[#This Row],[Rate]]</f>
        <v>0</v>
      </c>
      <c r="Z109" s="51"/>
      <c r="AA109" s="63" t="s">
        <v>1331</v>
      </c>
      <c r="AB109" s="48" t="s">
        <v>1332</v>
      </c>
      <c r="AC109" s="7"/>
      <c r="AD109" s="60"/>
      <c r="AE109" s="67"/>
      <c r="AF109" s="7"/>
      <c r="AG109" s="60"/>
      <c r="AH109" s="67"/>
      <c r="AI109" s="7"/>
      <c r="AJ109" s="60"/>
      <c r="AK109" s="67"/>
    </row>
    <row r="110" spans="1:37" x14ac:dyDescent="0.3">
      <c r="A110" s="43" t="str">
        <f>INDEX(Table_Numbering[L1],MATCH(Table681620[[#This Row],[L1]],Table_Numbering[L1 Description (Cost Area)],0))</f>
        <v>A</v>
      </c>
      <c r="B110" s="43" t="str">
        <f>IFERROR(INDEX(Table_Numbering[L2],MATCH(Table681620[[#This Row],[L2]],Table_Numbering[L2 Description (Area)],0)),"0")</f>
        <v>2</v>
      </c>
      <c r="C110" s="43" t="str">
        <f>IFERROR(INDEX(Table_Numbering[L3],MATCH(Table681620[[#This Row],[L3]],Table_Numbering[L3 Description (Sub Area)],0)),"0")</f>
        <v>08</v>
      </c>
      <c r="D110" s="43" t="str">
        <f>Table681620[[#This Row],[N1]]&amp;Table681620[[#This Row],[N2]]&amp;Table681620[[#This Row],[N3]]</f>
        <v>A208</v>
      </c>
      <c r="E110" s="43" t="str">
        <f>TEXT(COUNTIF(C$7:C108,Table681620[[#This Row],[N3]]),"00")</f>
        <v>01</v>
      </c>
      <c r="F110" s="43">
        <f>COUNTIFS(J$7:J110,J110,K$7:K110,K110,L$7:L110,L110,M$7:M110,M110)</f>
        <v>1</v>
      </c>
      <c r="G110" s="43" t="str">
        <f>TEXT(COUNTIFS(A$7:A110,A110,B$7:B110,B110,E$7:E110,E110,F$7:F110,1),"00")</f>
        <v>03</v>
      </c>
      <c r="H110" s="43" t="str">
        <f t="shared" si="4"/>
        <v>00</v>
      </c>
      <c r="I110" s="44" t="str">
        <f t="shared" si="5"/>
        <v>4</v>
      </c>
      <c r="J110" s="45" t="s">
        <v>38</v>
      </c>
      <c r="K110" s="45" t="s">
        <v>392</v>
      </c>
      <c r="L110" s="45" t="s">
        <v>1654</v>
      </c>
      <c r="M110" s="45" t="s">
        <v>1333</v>
      </c>
      <c r="N110" s="45"/>
      <c r="O11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A2.08.01</v>
      </c>
      <c r="P110" s="59" t="s">
        <v>1329</v>
      </c>
      <c r="Q110" s="59" t="s">
        <v>78</v>
      </c>
      <c r="R110" s="59" t="s">
        <v>532</v>
      </c>
      <c r="S110" s="59" t="s">
        <v>1596</v>
      </c>
      <c r="T110" s="58" t="str">
        <f>IF(Table681620[[#This Row],[LEVEL]]="5",Table681620[[#This Row],[L5]],
IF(Table681620[[#This Row],[LEVEL]]="4",Table681620[[#This Row],[L4]],
IF(Table681620[[#This Row],[LEVEL]]="3",Table681620[[#This Row],[L3]],
IF(Table681620[[#This Row],[LEVEL]]="2",Table681620[[#This Row],[L2]],
IF(Table681620[[#This Row],[LEVEL]]="1",Table681620[[#This Row],[L1]],"")))))</f>
        <v>Communications Service Trenching</v>
      </c>
      <c r="U110" s="47" t="s">
        <v>1105</v>
      </c>
      <c r="V110" s="47" t="s">
        <v>44</v>
      </c>
      <c r="W110" s="70"/>
      <c r="X110" s="71"/>
      <c r="Y110" s="62">
        <f>Table681620[[#This Row],[Qty]]*Table681620[[#This Row],[Rate]]</f>
        <v>0</v>
      </c>
      <c r="Z110" s="51"/>
      <c r="AA110" s="63" t="s">
        <v>1331</v>
      </c>
      <c r="AB110" s="48" t="s">
        <v>1334</v>
      </c>
      <c r="AC110" s="7"/>
      <c r="AD110" s="56"/>
      <c r="AE110" s="67"/>
      <c r="AF110" s="7"/>
      <c r="AG110" s="56"/>
      <c r="AH110" s="67"/>
      <c r="AI110" s="7"/>
      <c r="AJ110" s="56"/>
      <c r="AK110" s="67"/>
    </row>
    <row r="111" spans="1:37" x14ac:dyDescent="0.3">
      <c r="A111" s="43" t="str">
        <f>INDEX(Table_Numbering[L1],MATCH(Table681620[[#This Row],[L1]],Table_Numbering[L1 Description (Cost Area)],0))</f>
        <v>A</v>
      </c>
      <c r="B111" s="43" t="str">
        <f>IFERROR(INDEX(Table_Numbering[L2],MATCH(Table681620[[#This Row],[L2]],Table_Numbering[L2 Description (Area)],0)),"0")</f>
        <v>2</v>
      </c>
      <c r="C111" s="43" t="str">
        <f>IFERROR(INDEX(Table_Numbering[L3],MATCH(Table681620[[#This Row],[L3]],Table_Numbering[L3 Description (Sub Area)],0)),"0")</f>
        <v>08</v>
      </c>
      <c r="D111" s="43" t="str">
        <f>Table681620[[#This Row],[N1]]&amp;Table681620[[#This Row],[N2]]&amp;Table681620[[#This Row],[N3]]</f>
        <v>A208</v>
      </c>
      <c r="E111" s="43" t="str">
        <f>TEXT(COUNTIF(C$7:C109,Table681620[[#This Row],[N3]]),"00")</f>
        <v>02</v>
      </c>
      <c r="F111" s="43">
        <f>COUNTIFS(J$7:J111,J111,K$7:K111,K111,L$7:L111,L111,M$7:M111,M111)</f>
        <v>1</v>
      </c>
      <c r="G111" s="43" t="str">
        <f>TEXT(COUNTIFS(A$7:A111,A111,B$7:B111,B111,E$7:E111,E111,F$7:F111,1),"00")</f>
        <v>03</v>
      </c>
      <c r="H111" s="43" t="str">
        <f t="shared" si="4"/>
        <v>00</v>
      </c>
      <c r="I111" s="44" t="str">
        <f t="shared" si="5"/>
        <v>4</v>
      </c>
      <c r="J111" s="45" t="s">
        <v>38</v>
      </c>
      <c r="K111" s="45" t="s">
        <v>392</v>
      </c>
      <c r="L111" s="45" t="s">
        <v>1654</v>
      </c>
      <c r="M111" s="45" t="s">
        <v>1336</v>
      </c>
      <c r="N111" s="45"/>
      <c r="O11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A2.08.02</v>
      </c>
      <c r="P111" s="59" t="s">
        <v>1335</v>
      </c>
      <c r="Q111" s="59" t="s">
        <v>78</v>
      </c>
      <c r="R111" s="59" t="s">
        <v>534</v>
      </c>
      <c r="S111" s="59" t="s">
        <v>1597</v>
      </c>
      <c r="T111" s="58" t="str">
        <f>IF(Table681620[[#This Row],[LEVEL]]="5",Table681620[[#This Row],[L5]],
IF(Table681620[[#This Row],[LEVEL]]="4",Table681620[[#This Row],[L4]],
IF(Table681620[[#This Row],[LEVEL]]="3",Table681620[[#This Row],[L3]],
IF(Table681620[[#This Row],[LEVEL]]="2",Table681620[[#This Row],[L2]],
IF(Table681620[[#This Row],[LEVEL]]="1",Table681620[[#This Row],[L1]],"")))))</f>
        <v>Hydraulic Service Trenching</v>
      </c>
      <c r="U111" s="47" t="s">
        <v>1105</v>
      </c>
      <c r="V111" s="47" t="s">
        <v>44</v>
      </c>
      <c r="W111" s="70"/>
      <c r="X111" s="71"/>
      <c r="Y111" s="62">
        <f>Table681620[[#This Row],[Qty]]*Table681620[[#This Row],[Rate]]</f>
        <v>0</v>
      </c>
      <c r="Z111" s="51"/>
      <c r="AA111" s="63" t="s">
        <v>1331</v>
      </c>
      <c r="AB111" s="48" t="s">
        <v>1337</v>
      </c>
      <c r="AC111" s="7"/>
      <c r="AD111" s="49"/>
      <c r="AE111" s="67"/>
      <c r="AF111" s="7"/>
      <c r="AG111" s="49"/>
      <c r="AH111" s="67"/>
      <c r="AI111" s="7"/>
      <c r="AJ111" s="49"/>
      <c r="AK111" s="67"/>
    </row>
    <row r="112" spans="1:37" x14ac:dyDescent="0.3">
      <c r="A112" s="43" t="str">
        <f>INDEX(Table_Numbering[L1],MATCH(Table681620[[#This Row],[L1]],Table_Numbering[L1 Description (Cost Area)],0))</f>
        <v>A</v>
      </c>
      <c r="B112" s="43" t="str">
        <f>IFERROR(INDEX(Table_Numbering[L2],MATCH(Table681620[[#This Row],[L2]],Table_Numbering[L2 Description (Area)],0)),"0")</f>
        <v>2</v>
      </c>
      <c r="C112" s="43" t="str">
        <f>IFERROR(INDEX(Table_Numbering[L3],MATCH(Table681620[[#This Row],[L3]],Table_Numbering[L3 Description (Sub Area)],0)),"0")</f>
        <v>08</v>
      </c>
      <c r="D112" s="43" t="str">
        <f>Table681620[[#This Row],[N1]]&amp;Table681620[[#This Row],[N2]]&amp;Table681620[[#This Row],[N3]]</f>
        <v>A208</v>
      </c>
      <c r="E112" s="43" t="str">
        <f>TEXT(COUNTIF(C$7:C110,Table681620[[#This Row],[N3]]),"00")</f>
        <v>03</v>
      </c>
      <c r="F112" s="43">
        <f>COUNTIFS(J$7:J112,J112,K$7:K112,K112,L$7:L112,L112,M$7:M112,M112)</f>
        <v>1</v>
      </c>
      <c r="G112" s="43" t="str">
        <f>TEXT(COUNTIFS(A$7:A112,A112,B$7:B112,B112,E$7:E112,E112,F$7:F112,1),"00")</f>
        <v>03</v>
      </c>
      <c r="H112" s="43" t="str">
        <f t="shared" si="4"/>
        <v>00</v>
      </c>
      <c r="I112" s="44" t="str">
        <f t="shared" si="5"/>
        <v>4</v>
      </c>
      <c r="J112" s="45" t="s">
        <v>38</v>
      </c>
      <c r="K112" s="45" t="s">
        <v>392</v>
      </c>
      <c r="L112" s="45" t="s">
        <v>1654</v>
      </c>
      <c r="M112" s="45" t="s">
        <v>1338</v>
      </c>
      <c r="N112" s="45"/>
      <c r="O11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A2.08.03</v>
      </c>
      <c r="P112" s="59" t="s">
        <v>475</v>
      </c>
      <c r="Q112" s="59" t="s">
        <v>78</v>
      </c>
      <c r="R112" s="59" t="s">
        <v>532</v>
      </c>
      <c r="S112" s="59" t="s">
        <v>1598</v>
      </c>
      <c r="T112" s="58" t="str">
        <f>IF(Table681620[[#This Row],[LEVEL]]="5",Table681620[[#This Row],[L5]],
IF(Table681620[[#This Row],[LEVEL]]="4",Table681620[[#This Row],[L4]],
IF(Table681620[[#This Row],[LEVEL]]="3",Table681620[[#This Row],[L3]],
IF(Table681620[[#This Row],[LEVEL]]="2",Table681620[[#This Row],[L2]],
IF(Table681620[[#This Row],[LEVEL]]="1",Table681620[[#This Row],[L1]],"")))))</f>
        <v>Service Pits &amp; Duct Banks</v>
      </c>
      <c r="U112" s="47" t="s">
        <v>574</v>
      </c>
      <c r="V112" s="47" t="s">
        <v>44</v>
      </c>
      <c r="W112" s="70"/>
      <c r="X112" s="71"/>
      <c r="Y112" s="62">
        <f>Table681620[[#This Row],[Qty]]*Table681620[[#This Row],[Rate]]</f>
        <v>0</v>
      </c>
      <c r="Z112" s="51"/>
      <c r="AA112" s="63" t="s">
        <v>1319</v>
      </c>
      <c r="AB112" s="48" t="s">
        <v>1339</v>
      </c>
      <c r="AC112" s="7"/>
      <c r="AD112" s="56"/>
      <c r="AE112" s="67"/>
      <c r="AF112" s="7"/>
      <c r="AG112" s="56"/>
      <c r="AH112" s="67"/>
      <c r="AI112" s="7"/>
      <c r="AJ112" s="56"/>
      <c r="AK112" s="67"/>
    </row>
    <row r="113" spans="1:37" x14ac:dyDescent="0.3">
      <c r="A113" s="43" t="str">
        <f>INDEX(Table_Numbering[L1],MATCH(Table681620[[#This Row],[L1]],Table_Numbering[L1 Description (Cost Area)],0))</f>
        <v>A</v>
      </c>
      <c r="B113" s="43" t="str">
        <f>IFERROR(INDEX(Table_Numbering[L2],MATCH(Table681620[[#This Row],[L2]],Table_Numbering[L2 Description (Area)],0)),"0")</f>
        <v>2</v>
      </c>
      <c r="C113" s="43" t="str">
        <f>IFERROR(INDEX(Table_Numbering[L3],MATCH(Table681620[[#This Row],[L3]],Table_Numbering[L3 Description (Sub Area)],0)),"0")</f>
        <v>09</v>
      </c>
      <c r="D113" s="43" t="str">
        <f>Table681620[[#This Row],[N1]]&amp;Table681620[[#This Row],[N2]]&amp;Table681620[[#This Row],[N3]]</f>
        <v>A209</v>
      </c>
      <c r="E113" s="43" t="str">
        <f>TEXT(COUNTIF(C$7:C111,Table681620[[#This Row],[N3]]),"00")</f>
        <v>00</v>
      </c>
      <c r="F113" s="43">
        <f>COUNTIFS(J$7:J113,J113,K$7:K113,K113,L$7:L113,L113,M$7:M113,M113)</f>
        <v>0</v>
      </c>
      <c r="G113" s="43" t="str">
        <f>TEXT(COUNTIFS(A$7:A113,A113,B$7:B113,B113,E$7:E113,E113,F$7:F113,1),"00")</f>
        <v>03</v>
      </c>
      <c r="H113" s="43" t="str">
        <f t="shared" si="4"/>
        <v>00</v>
      </c>
      <c r="I113" s="44" t="str">
        <f t="shared" si="5"/>
        <v>3</v>
      </c>
      <c r="J113" s="45" t="s">
        <v>38</v>
      </c>
      <c r="K113" s="45" t="s">
        <v>392</v>
      </c>
      <c r="L113" s="45" t="s">
        <v>1655</v>
      </c>
      <c r="M113" s="45"/>
      <c r="N113" s="45"/>
      <c r="O11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A2.09</v>
      </c>
      <c r="P113" s="59"/>
      <c r="Q113" s="59"/>
      <c r="R113" s="59"/>
      <c r="S113" s="59"/>
      <c r="T113" s="55" t="str">
        <f>IF(Table681620[[#This Row],[LEVEL]]="5",Table681620[[#This Row],[L5]],
IF(Table681620[[#This Row],[LEVEL]]="4",Table681620[[#This Row],[L4]],
IF(Table681620[[#This Row],[LEVEL]]="3",Table681620[[#This Row],[L3]],
IF(Table681620[[#This Row],[LEVEL]]="2",Table681620[[#This Row],[L2]],
IF(Table681620[[#This Row],[LEVEL]]="1",Table681620[[#This Row],[L1]],"")))))</f>
        <v>ROADS</v>
      </c>
      <c r="U113" s="47"/>
      <c r="V113" s="47"/>
      <c r="W113" s="70"/>
      <c r="X113" s="71"/>
      <c r="Y113" s="50">
        <f>SUBTOTAL(9,Y114:Y117)</f>
        <v>0</v>
      </c>
      <c r="Z113" s="51"/>
      <c r="AA113" s="63"/>
      <c r="AB113" s="48"/>
      <c r="AC113" s="7"/>
      <c r="AD113" s="60"/>
      <c r="AE113" s="67"/>
      <c r="AF113" s="7"/>
      <c r="AG113" s="60"/>
      <c r="AH113" s="67"/>
      <c r="AI113" s="7"/>
      <c r="AJ113" s="60"/>
      <c r="AK113" s="67"/>
    </row>
    <row r="114" spans="1:37" x14ac:dyDescent="0.3">
      <c r="A114" s="43" t="str">
        <f>INDEX(Table_Numbering[L1],MATCH(Table681620[[#This Row],[L1]],Table_Numbering[L1 Description (Cost Area)],0))</f>
        <v>A</v>
      </c>
      <c r="B114" s="43" t="str">
        <f>IFERROR(INDEX(Table_Numbering[L2],MATCH(Table681620[[#This Row],[L2]],Table_Numbering[L2 Description (Area)],0)),"0")</f>
        <v>2</v>
      </c>
      <c r="C114" s="43" t="str">
        <f>IFERROR(INDEX(Table_Numbering[L3],MATCH(Table681620[[#This Row],[L3]],Table_Numbering[L3 Description (Sub Area)],0)),"0")</f>
        <v>09</v>
      </c>
      <c r="D114" s="43" t="str">
        <f>Table681620[[#This Row],[N1]]&amp;Table681620[[#This Row],[N2]]&amp;Table681620[[#This Row],[N3]]</f>
        <v>A209</v>
      </c>
      <c r="E114" s="43" t="str">
        <f>TEXT(COUNTIF(C$7:C112,Table681620[[#This Row],[N3]]),"00")</f>
        <v>00</v>
      </c>
      <c r="F114" s="43">
        <f>COUNTIFS(J$7:J114,J114,K$7:K114,K114,L$7:L114,L114,M$7:M114,M114)</f>
        <v>1</v>
      </c>
      <c r="G114" s="43" t="str">
        <f>TEXT(COUNTIFS(A$7:A114,A114,B$7:B114,B114,E$7:E114,E114,F$7:F114,1),"00")</f>
        <v>04</v>
      </c>
      <c r="H114" s="43" t="str">
        <f t="shared" si="4"/>
        <v>00</v>
      </c>
      <c r="I114" s="44" t="str">
        <f t="shared" si="5"/>
        <v>4</v>
      </c>
      <c r="J114" s="45" t="s">
        <v>38</v>
      </c>
      <c r="K114" s="45" t="s">
        <v>392</v>
      </c>
      <c r="L114" s="45" t="s">
        <v>1655</v>
      </c>
      <c r="M114" s="45" t="s">
        <v>1340</v>
      </c>
      <c r="N114" s="45"/>
      <c r="O11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A2.09.00</v>
      </c>
      <c r="P114" s="59" t="s">
        <v>480</v>
      </c>
      <c r="Q114" s="59" t="s">
        <v>78</v>
      </c>
      <c r="R114" s="59" t="s">
        <v>1300</v>
      </c>
      <c r="S114" s="59" t="s">
        <v>1599</v>
      </c>
      <c r="T114" s="58" t="str">
        <f>IF(Table681620[[#This Row],[LEVEL]]="5",Table681620[[#This Row],[L5]],
IF(Table681620[[#This Row],[LEVEL]]="4",Table681620[[#This Row],[L4]],
IF(Table681620[[#This Row],[LEVEL]]="3",Table681620[[#This Row],[L3]],
IF(Table681620[[#This Row],[LEVEL]]="2",Table681620[[#This Row],[L2]],
IF(Table681620[[#This Row],[LEVEL]]="1",Table681620[[#This Row],[L1]],"")))))</f>
        <v>Road Subbase Preparation</v>
      </c>
      <c r="U114" s="47" t="s">
        <v>246</v>
      </c>
      <c r="V114" s="72" t="s">
        <v>44</v>
      </c>
      <c r="W114" s="59"/>
      <c r="X114" s="48"/>
      <c r="Y114" s="62">
        <f>Table681620[[#This Row],[Qty]]*Table681620[[#This Row],[Rate]]</f>
        <v>0</v>
      </c>
      <c r="Z114" s="51"/>
      <c r="AA114" s="52" t="s">
        <v>1341</v>
      </c>
      <c r="AB114" s="48" t="s">
        <v>1342</v>
      </c>
      <c r="AC114" s="7"/>
      <c r="AD114" s="59"/>
      <c r="AE114" s="67"/>
      <c r="AF114" s="7"/>
      <c r="AG114" s="59"/>
      <c r="AH114" s="67"/>
      <c r="AI114" s="7"/>
      <c r="AJ114" s="59"/>
      <c r="AK114" s="67"/>
    </row>
    <row r="115" spans="1:37" x14ac:dyDescent="0.3">
      <c r="A115" s="43" t="str">
        <f>INDEX(Table_Numbering[L1],MATCH(Table681620[[#This Row],[L1]],Table_Numbering[L1 Description (Cost Area)],0))</f>
        <v>A</v>
      </c>
      <c r="B115" s="43" t="str">
        <f>IFERROR(INDEX(Table_Numbering[L2],MATCH(Table681620[[#This Row],[L2]],Table_Numbering[L2 Description (Area)],0)),"0")</f>
        <v>2</v>
      </c>
      <c r="C115" s="43" t="str">
        <f>IFERROR(INDEX(Table_Numbering[L3],MATCH(Table681620[[#This Row],[L3]],Table_Numbering[L3 Description (Sub Area)],0)),"0")</f>
        <v>09</v>
      </c>
      <c r="D115" s="43" t="str">
        <f>Table681620[[#This Row],[N1]]&amp;Table681620[[#This Row],[N2]]&amp;Table681620[[#This Row],[N3]]</f>
        <v>A209</v>
      </c>
      <c r="E115" s="43" t="str">
        <f>TEXT(COUNTIF(C$7:C113,Table681620[[#This Row],[N3]]),"00")</f>
        <v>01</v>
      </c>
      <c r="F115" s="43">
        <f>COUNTIFS(J$7:J115,J115,K$7:K115,K115,L$7:L115,L115,M$7:M115,M115)</f>
        <v>1</v>
      </c>
      <c r="G115" s="43" t="str">
        <f>TEXT(COUNTIFS(A$7:A115,A115,B$7:B115,B115,E$7:E115,E115,F$7:F115,1),"00")</f>
        <v>04</v>
      </c>
      <c r="H115" s="43" t="str">
        <f t="shared" si="4"/>
        <v>00</v>
      </c>
      <c r="I115" s="44" t="str">
        <f t="shared" si="5"/>
        <v>4</v>
      </c>
      <c r="J115" s="45" t="s">
        <v>38</v>
      </c>
      <c r="K115" s="45" t="s">
        <v>392</v>
      </c>
      <c r="L115" s="45" t="s">
        <v>1655</v>
      </c>
      <c r="M115" s="45" t="s">
        <v>1343</v>
      </c>
      <c r="N115" s="45"/>
      <c r="O11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A2.09.01</v>
      </c>
      <c r="P115" s="59" t="s">
        <v>480</v>
      </c>
      <c r="Q115" s="59" t="s">
        <v>78</v>
      </c>
      <c r="R115" s="59" t="s">
        <v>1300</v>
      </c>
      <c r="S115" s="59" t="s">
        <v>1600</v>
      </c>
      <c r="T115" s="58" t="str">
        <f>IF(Table681620[[#This Row],[LEVEL]]="5",Table681620[[#This Row],[L5]],
IF(Table681620[[#This Row],[LEVEL]]="4",Table681620[[#This Row],[L4]],
IF(Table681620[[#This Row],[LEVEL]]="3",Table681620[[#This Row],[L3]],
IF(Table681620[[#This Row],[LEVEL]]="2",Table681620[[#This Row],[L2]],
IF(Table681620[[#This Row],[LEVEL]]="1",Table681620[[#This Row],[L1]],"")))))</f>
        <v>Road Base Course</v>
      </c>
      <c r="U115" s="47" t="s">
        <v>246</v>
      </c>
      <c r="V115" s="47" t="s">
        <v>44</v>
      </c>
      <c r="W115" s="70"/>
      <c r="X115" s="71"/>
      <c r="Y115" s="62">
        <f>Table681620[[#This Row],[Qty]]*Table681620[[#This Row],[Rate]]</f>
        <v>0</v>
      </c>
      <c r="Z115" s="51"/>
      <c r="AA115" s="63" t="s">
        <v>1344</v>
      </c>
      <c r="AB115" s="48" t="s">
        <v>1345</v>
      </c>
      <c r="AC115" s="7"/>
      <c r="AD115" s="59"/>
      <c r="AE115" s="73"/>
      <c r="AF115" s="7"/>
      <c r="AG115" s="59"/>
      <c r="AH115" s="73"/>
      <c r="AI115" s="7"/>
      <c r="AJ115" s="59"/>
      <c r="AK115" s="73"/>
    </row>
    <row r="116" spans="1:37" x14ac:dyDescent="0.3">
      <c r="A116" s="43" t="str">
        <f>INDEX(Table_Numbering[L1],MATCH(Table681620[[#This Row],[L1]],Table_Numbering[L1 Description (Cost Area)],0))</f>
        <v>A</v>
      </c>
      <c r="B116" s="43" t="str">
        <f>IFERROR(INDEX(Table_Numbering[L2],MATCH(Table681620[[#This Row],[L2]],Table_Numbering[L2 Description (Area)],0)),"0")</f>
        <v>2</v>
      </c>
      <c r="C116" s="43" t="str">
        <f>IFERROR(INDEX(Table_Numbering[L3],MATCH(Table681620[[#This Row],[L3]],Table_Numbering[L3 Description (Sub Area)],0)),"0")</f>
        <v>09</v>
      </c>
      <c r="D116" s="43" t="str">
        <f>Table681620[[#This Row],[N1]]&amp;Table681620[[#This Row],[N2]]&amp;Table681620[[#This Row],[N3]]</f>
        <v>A209</v>
      </c>
      <c r="E116" s="43" t="str">
        <f>TEXT(COUNTIF(C$7:C114,Table681620[[#This Row],[N3]]),"00")</f>
        <v>02</v>
      </c>
      <c r="F116" s="43">
        <f>COUNTIFS(J$7:J116,J116,K$7:K116,K116,L$7:L116,L116,M$7:M116,M116)</f>
        <v>1</v>
      </c>
      <c r="G116" s="43" t="str">
        <f>TEXT(COUNTIFS(A$7:A116,A116,B$7:B116,B116,E$7:E116,E116,F$7:F116,1),"00")</f>
        <v>04</v>
      </c>
      <c r="H116" s="43" t="str">
        <f t="shared" si="4"/>
        <v>00</v>
      </c>
      <c r="I116" s="44" t="str">
        <f t="shared" si="5"/>
        <v>4</v>
      </c>
      <c r="J116" s="45" t="s">
        <v>38</v>
      </c>
      <c r="K116" s="45" t="s">
        <v>392</v>
      </c>
      <c r="L116" s="45" t="s">
        <v>1655</v>
      </c>
      <c r="M116" s="45" t="s">
        <v>1346</v>
      </c>
      <c r="N116" s="45"/>
      <c r="O11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A2.09.02</v>
      </c>
      <c r="P116" s="59" t="s">
        <v>480</v>
      </c>
      <c r="Q116" s="59" t="s">
        <v>78</v>
      </c>
      <c r="R116" s="59" t="s">
        <v>1300</v>
      </c>
      <c r="S116" s="59" t="s">
        <v>1601</v>
      </c>
      <c r="T116" s="58" t="str">
        <f>IF(Table681620[[#This Row],[LEVEL]]="5",Table681620[[#This Row],[L5]],
IF(Table681620[[#This Row],[LEVEL]]="4",Table681620[[#This Row],[L4]],
IF(Table681620[[#This Row],[LEVEL]]="3",Table681620[[#This Row],[L3]],
IF(Table681620[[#This Row],[LEVEL]]="2",Table681620[[#This Row],[L2]],
IF(Table681620[[#This Row],[LEVEL]]="1",Table681620[[#This Row],[L1]],"")))))</f>
        <v>Asphalt Wearing Course</v>
      </c>
      <c r="U116" s="47" t="s">
        <v>246</v>
      </c>
      <c r="V116" s="47" t="s">
        <v>44</v>
      </c>
      <c r="W116" s="70"/>
      <c r="X116" s="71"/>
      <c r="Y116" s="62">
        <f>Table681620[[#This Row],[Qty]]*Table681620[[#This Row],[Rate]]</f>
        <v>0</v>
      </c>
      <c r="Z116" s="51"/>
      <c r="AA116" s="63" t="s">
        <v>1347</v>
      </c>
      <c r="AB116" s="48" t="s">
        <v>1348</v>
      </c>
      <c r="AC116" s="7"/>
      <c r="AD116" s="59"/>
      <c r="AE116" s="67"/>
      <c r="AF116" s="7"/>
      <c r="AG116" s="59"/>
      <c r="AH116" s="67"/>
      <c r="AI116" s="7"/>
      <c r="AJ116" s="59"/>
      <c r="AK116" s="67"/>
    </row>
    <row r="117" spans="1:37" x14ac:dyDescent="0.3">
      <c r="A117" s="43" t="str">
        <f>INDEX(Table_Numbering[L1],MATCH(Table681620[[#This Row],[L1]],Table_Numbering[L1 Description (Cost Area)],0))</f>
        <v>A</v>
      </c>
      <c r="B117" s="43" t="str">
        <f>IFERROR(INDEX(Table_Numbering[L2],MATCH(Table681620[[#This Row],[L2]],Table_Numbering[L2 Description (Area)],0)),"0")</f>
        <v>2</v>
      </c>
      <c r="C117" s="43" t="str">
        <f>IFERROR(INDEX(Table_Numbering[L3],MATCH(Table681620[[#This Row],[L3]],Table_Numbering[L3 Description (Sub Area)],0)),"0")</f>
        <v>09</v>
      </c>
      <c r="D117" s="43" t="str">
        <f>Table681620[[#This Row],[N1]]&amp;Table681620[[#This Row],[N2]]&amp;Table681620[[#This Row],[N3]]</f>
        <v>A209</v>
      </c>
      <c r="E117" s="43" t="str">
        <f>TEXT(COUNTIF(C$7:C115,Table681620[[#This Row],[N3]]),"00")</f>
        <v>03</v>
      </c>
      <c r="F117" s="43">
        <f>COUNTIFS(J$7:J117,J117,K$7:K117,K117,L$7:L117,L117,M$7:M117,M117)</f>
        <v>1</v>
      </c>
      <c r="G117" s="43" t="str">
        <f>TEXT(COUNTIFS(A$7:A117,A117,B$7:B117,B117,E$7:E117,E117,F$7:F117,1),"00")</f>
        <v>04</v>
      </c>
      <c r="H117" s="43" t="str">
        <f t="shared" si="4"/>
        <v>00</v>
      </c>
      <c r="I117" s="44" t="str">
        <f t="shared" si="5"/>
        <v>4</v>
      </c>
      <c r="J117" s="45" t="s">
        <v>38</v>
      </c>
      <c r="K117" s="45" t="s">
        <v>392</v>
      </c>
      <c r="L117" s="45" t="s">
        <v>1655</v>
      </c>
      <c r="M117" s="45" t="s">
        <v>1349</v>
      </c>
      <c r="N117" s="45"/>
      <c r="O11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A2.09.03</v>
      </c>
      <c r="P117" s="59" t="s">
        <v>480</v>
      </c>
      <c r="Q117" s="59" t="s">
        <v>78</v>
      </c>
      <c r="R117" s="59" t="s">
        <v>1300</v>
      </c>
      <c r="S117" s="59" t="s">
        <v>1602</v>
      </c>
      <c r="T117" s="58" t="str">
        <f>IF(Table681620[[#This Row],[LEVEL]]="5",Table681620[[#This Row],[L5]],
IF(Table681620[[#This Row],[LEVEL]]="4",Table681620[[#This Row],[L4]],
IF(Table681620[[#This Row],[LEVEL]]="3",Table681620[[#This Row],[L3]],
IF(Table681620[[#This Row],[LEVEL]]="2",Table681620[[#This Row],[L2]],
IF(Table681620[[#This Row],[LEVEL]]="1",Table681620[[#This Row],[L1]],"")))))</f>
        <v>Road Line Marking &amp; Signage</v>
      </c>
      <c r="U117" s="47" t="s">
        <v>62</v>
      </c>
      <c r="V117" s="47" t="s">
        <v>44</v>
      </c>
      <c r="W117" s="70">
        <v>1</v>
      </c>
      <c r="X117" s="71"/>
      <c r="Y117" s="62">
        <f>Table681620[[#This Row],[Qty]]*Table681620[[#This Row],[Rate]]</f>
        <v>0</v>
      </c>
      <c r="Z117" s="51"/>
      <c r="AA117" s="63" t="s">
        <v>1327</v>
      </c>
      <c r="AB117" s="48" t="s">
        <v>1350</v>
      </c>
      <c r="AC117" s="7"/>
      <c r="AD117" s="60"/>
      <c r="AE117" s="73"/>
      <c r="AF117" s="7"/>
      <c r="AG117" s="60"/>
      <c r="AH117" s="73"/>
      <c r="AI117" s="7"/>
      <c r="AJ117" s="60"/>
      <c r="AK117" s="73"/>
    </row>
    <row r="118" spans="1:37" x14ac:dyDescent="0.3">
      <c r="A118" s="43" t="str">
        <f>INDEX(Table_Numbering[L1],MATCH(Table681620[[#This Row],[L1]],Table_Numbering[L1 Description (Cost Area)],0))</f>
        <v>A</v>
      </c>
      <c r="B118" s="43" t="str">
        <f>IFERROR(INDEX(Table_Numbering[L2],MATCH(Table681620[[#This Row],[L2]],Table_Numbering[L2 Description (Area)],0)),"0")</f>
        <v>3</v>
      </c>
      <c r="C118" s="43" t="str">
        <f>IFERROR(INDEX(Table_Numbering[L3],MATCH(Table681620[[#This Row],[L3]],Table_Numbering[L3 Description (Sub Area)],0)),"0")</f>
        <v>0</v>
      </c>
      <c r="D118" s="43" t="str">
        <f>Table681620[[#This Row],[N1]]&amp;Table681620[[#This Row],[N2]]&amp;Table681620[[#This Row],[N3]]</f>
        <v>A30</v>
      </c>
      <c r="E118" s="43" t="str">
        <f>TEXT(COUNTIF(C$7:C116,Table681620[[#This Row],[N3]]),"00")</f>
        <v>04</v>
      </c>
      <c r="F118" s="43">
        <f>COUNTIFS(J$7:J118,J118,K$7:K118,K118,L$7:L118,L118,M$7:M118,M118)</f>
        <v>0</v>
      </c>
      <c r="G118" s="43" t="str">
        <f>TEXT(COUNTIFS(A$7:A118,A118,B$7:B118,B118,E$7:E118,E118,F$7:F118,1),"00")</f>
        <v>00</v>
      </c>
      <c r="H118" s="43" t="str">
        <f t="shared" si="4"/>
        <v>00</v>
      </c>
      <c r="I118" s="44" t="str">
        <f t="shared" si="5"/>
        <v>2</v>
      </c>
      <c r="J118" s="45" t="s">
        <v>38</v>
      </c>
      <c r="K118" s="45" t="s">
        <v>391</v>
      </c>
      <c r="L118" s="45"/>
      <c r="M118" s="45"/>
      <c r="N118" s="45"/>
      <c r="O11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v>
      </c>
      <c r="P118" s="59"/>
      <c r="Q118" s="59"/>
      <c r="R118" s="59"/>
      <c r="S118" s="59"/>
      <c r="T118" s="46" t="str">
        <f>IF(Table681620[[#This Row],[LEVEL]]="5",Table681620[[#This Row],[L5]],
IF(Table681620[[#This Row],[LEVEL]]="4",Table681620[[#This Row],[L4]],
IF(Table681620[[#This Row],[LEVEL]]="3",Table681620[[#This Row],[L3]],
IF(Table681620[[#This Row],[LEVEL]]="2",Table681620[[#This Row],[L2]],
IF(Table681620[[#This Row],[LEVEL]]="1",Table681620[[#This Row],[L1]],"")))))</f>
        <v>NEW OFFICE BUILDING</v>
      </c>
      <c r="U118" s="47"/>
      <c r="V118" s="47"/>
      <c r="W118" s="70"/>
      <c r="X118" s="71"/>
      <c r="Y118" s="50">
        <f>SUBTOTAL(9,Y119:Y222)</f>
        <v>0</v>
      </c>
      <c r="Z118" s="51"/>
      <c r="AA118" s="63"/>
      <c r="AB118" s="48"/>
      <c r="AC118" s="7"/>
      <c r="AD118" s="60"/>
      <c r="AE118" s="74"/>
      <c r="AF118" s="7"/>
      <c r="AG118" s="60"/>
      <c r="AH118" s="74"/>
      <c r="AI118" s="7"/>
      <c r="AJ118" s="60"/>
      <c r="AK118" s="74"/>
    </row>
    <row r="119" spans="1:37" x14ac:dyDescent="0.3">
      <c r="A119" s="43" t="str">
        <f>INDEX(Table_Numbering[L1],MATCH(Table681620[[#This Row],[L1]],Table_Numbering[L1 Description (Cost Area)],0))</f>
        <v>A</v>
      </c>
      <c r="B119" s="43" t="str">
        <f>IFERROR(INDEX(Table_Numbering[L2],MATCH(Table681620[[#This Row],[L2]],Table_Numbering[L2 Description (Area)],0)),"0")</f>
        <v>3</v>
      </c>
      <c r="C119" s="43" t="str">
        <f>IFERROR(INDEX(Table_Numbering[L3],MATCH(Table681620[[#This Row],[L3]],Table_Numbering[L3 Description (Sub Area)],0)),"0")</f>
        <v>01</v>
      </c>
      <c r="D119" s="43" t="str">
        <f>Table681620[[#This Row],[N1]]&amp;Table681620[[#This Row],[N2]]&amp;Table681620[[#This Row],[N3]]</f>
        <v>A301</v>
      </c>
      <c r="E119" s="43" t="str">
        <f>TEXT(COUNTIF(C$7:C117,Table681620[[#This Row],[N3]]),"00")</f>
        <v>36</v>
      </c>
      <c r="F119" s="43">
        <f>COUNTIFS(J$7:J119,J119,K$7:K119,K119,L$7:L119,L119,M$7:M119,M119)</f>
        <v>0</v>
      </c>
      <c r="G119" s="43" t="str">
        <f>TEXT(COUNTIFS(A$7:A119,A119,B$7:B119,B119,E$7:E119,E119,F$7:F119,1),"00")</f>
        <v>00</v>
      </c>
      <c r="H119" s="43" t="str">
        <f t="shared" si="4"/>
        <v>00</v>
      </c>
      <c r="I119" s="44" t="str">
        <f t="shared" si="5"/>
        <v>3</v>
      </c>
      <c r="J119" s="45" t="s">
        <v>38</v>
      </c>
      <c r="K119" s="45" t="s">
        <v>391</v>
      </c>
      <c r="L119" s="45" t="s">
        <v>557</v>
      </c>
      <c r="M119" s="45"/>
      <c r="N119" s="45"/>
      <c r="O11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A3.01</v>
      </c>
      <c r="P119" s="59"/>
      <c r="Q119" s="59"/>
      <c r="R119" s="59"/>
      <c r="S119" s="59"/>
      <c r="T119" s="55" t="str">
        <f>IF(Table681620[[#This Row],[LEVEL]]="5",Table681620[[#This Row],[L5]],
IF(Table681620[[#This Row],[LEVEL]]="4",Table681620[[#This Row],[L4]],
IF(Table681620[[#This Row],[LEVEL]]="3",Table681620[[#This Row],[L3]],
IF(Table681620[[#This Row],[LEVEL]]="2",Table681620[[#This Row],[L2]],
IF(Table681620[[#This Row],[LEVEL]]="1",Table681620[[#This Row],[L1]],"")))))</f>
        <v>DEMOLITION</v>
      </c>
      <c r="U119" s="47"/>
      <c r="V119" s="47"/>
      <c r="W119" s="70"/>
      <c r="X119" s="71"/>
      <c r="Y119" s="50">
        <f>SUBTOTAL(9,Y120:Y126)</f>
        <v>0</v>
      </c>
      <c r="Z119" s="51"/>
      <c r="AA119" s="63"/>
      <c r="AB119" s="48"/>
      <c r="AC119" s="7"/>
      <c r="AD119" s="60"/>
      <c r="AE119" s="73"/>
      <c r="AF119" s="7"/>
      <c r="AG119" s="60"/>
      <c r="AH119" s="73"/>
      <c r="AI119" s="7"/>
      <c r="AJ119" s="60"/>
      <c r="AK119" s="73"/>
    </row>
    <row r="120" spans="1:37" x14ac:dyDescent="0.3">
      <c r="A120" s="43" t="str">
        <f>INDEX(Table_Numbering[L1],MATCH(Table681620[[#This Row],[L1]],Table_Numbering[L1 Description (Cost Area)],0))</f>
        <v>A</v>
      </c>
      <c r="B120" s="43" t="str">
        <f>IFERROR(INDEX(Table_Numbering[L2],MATCH(Table681620[[#This Row],[L2]],Table_Numbering[L2 Description (Area)],0)),"0")</f>
        <v>3</v>
      </c>
      <c r="C120" s="43" t="str">
        <f>IFERROR(INDEX(Table_Numbering[L3],MATCH(Table681620[[#This Row],[L3]],Table_Numbering[L3 Description (Sub Area)],0)),"0")</f>
        <v>01</v>
      </c>
      <c r="D120" s="43" t="str">
        <f>Table681620[[#This Row],[N1]]&amp;Table681620[[#This Row],[N2]]&amp;Table681620[[#This Row],[N3]]</f>
        <v>A301</v>
      </c>
      <c r="E120" s="43" t="str">
        <f>TEXT(COUNTIF(C$7:C118,Table681620[[#This Row],[N3]]),"00")</f>
        <v>36</v>
      </c>
      <c r="F120" s="43">
        <f>COUNTIFS(J$7:J120,J120,K$7:K120,K120,L$7:L120,L120,M$7:M120,M120)</f>
        <v>1</v>
      </c>
      <c r="G120" s="43" t="str">
        <f>TEXT(COUNTIFS(A$7:A120,A120,B$7:B120,B120,E$7:E120,E120,F$7:F120,1),"00")</f>
        <v>01</v>
      </c>
      <c r="H120" s="43" t="str">
        <f t="shared" si="4"/>
        <v>00</v>
      </c>
      <c r="I120" s="44" t="str">
        <f t="shared" si="5"/>
        <v>4</v>
      </c>
      <c r="J120" s="45" t="s">
        <v>38</v>
      </c>
      <c r="K120" s="45" t="s">
        <v>391</v>
      </c>
      <c r="L120" s="45" t="s">
        <v>557</v>
      </c>
      <c r="M120" s="45" t="s">
        <v>298</v>
      </c>
      <c r="N120" s="45"/>
      <c r="O12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A3.01.36</v>
      </c>
      <c r="P120" s="59" t="s">
        <v>344</v>
      </c>
      <c r="Q120" s="59" t="s">
        <v>345</v>
      </c>
      <c r="R120" s="59" t="s">
        <v>559</v>
      </c>
      <c r="S120" s="59" t="s">
        <v>2051</v>
      </c>
      <c r="T120" s="58" t="str">
        <f>IF(Table681620[[#This Row],[LEVEL]]="5",Table681620[[#This Row],[L5]],
IF(Table681620[[#This Row],[LEVEL]]="4",Table681620[[#This Row],[L4]],
IF(Table681620[[#This Row],[LEVEL]]="3",Table681620[[#This Row],[L3]],
IF(Table681620[[#This Row],[LEVEL]]="2",Table681620[[#This Row],[L2]],
IF(Table681620[[#This Row],[LEVEL]]="1",Table681620[[#This Row],[L1]],"")))))</f>
        <v>Strip Out Existing Finishes</v>
      </c>
      <c r="U120" s="47" t="s">
        <v>246</v>
      </c>
      <c r="V120" s="47" t="s">
        <v>44</v>
      </c>
      <c r="W120" s="70"/>
      <c r="X120" s="71"/>
      <c r="Y120" s="62">
        <f>Table681620[[#This Row],[Qty]]*Table681620[[#This Row],[Rate]]</f>
        <v>0</v>
      </c>
      <c r="Z120" s="51"/>
      <c r="AA120" s="63" t="s">
        <v>560</v>
      </c>
      <c r="AB120" s="48" t="s">
        <v>561</v>
      </c>
      <c r="AC120" s="7"/>
      <c r="AD120" s="60"/>
      <c r="AE120" s="74"/>
      <c r="AF120" s="7"/>
      <c r="AG120" s="60"/>
      <c r="AH120" s="74"/>
      <c r="AI120" s="7"/>
      <c r="AJ120" s="60"/>
      <c r="AK120" s="74"/>
    </row>
    <row r="121" spans="1:37" x14ac:dyDescent="0.3">
      <c r="A121" s="43" t="str">
        <f>INDEX(Table_Numbering[L1],MATCH(Table681620[[#This Row],[L1]],Table_Numbering[L1 Description (Cost Area)],0))</f>
        <v>A</v>
      </c>
      <c r="B121" s="43" t="str">
        <f>IFERROR(INDEX(Table_Numbering[L2],MATCH(Table681620[[#This Row],[L2]],Table_Numbering[L2 Description (Area)],0)),"0")</f>
        <v>3</v>
      </c>
      <c r="C121" s="43" t="str">
        <f>IFERROR(INDEX(Table_Numbering[L3],MATCH(Table681620[[#This Row],[L3]],Table_Numbering[L3 Description (Sub Area)],0)),"0")</f>
        <v>01</v>
      </c>
      <c r="D121" s="43" t="str">
        <f>Table681620[[#This Row],[N1]]&amp;Table681620[[#This Row],[N2]]&amp;Table681620[[#This Row],[N3]]</f>
        <v>A301</v>
      </c>
      <c r="E121" s="43" t="str">
        <f>TEXT(COUNTIF(C$7:C119,Table681620[[#This Row],[N3]]),"00")</f>
        <v>37</v>
      </c>
      <c r="F121" s="43">
        <f>COUNTIFS(J$7:J121,J121,K$7:K121,K121,L$7:L121,L121,M$7:M121,M121)</f>
        <v>1</v>
      </c>
      <c r="G121" s="43" t="str">
        <f>TEXT(COUNTIFS(A$7:A121,A121,B$7:B121,B121,E$7:E121,E121,F$7:F121,1),"00")</f>
        <v>01</v>
      </c>
      <c r="H121" s="43" t="str">
        <f t="shared" si="4"/>
        <v>00</v>
      </c>
      <c r="I121" s="44" t="str">
        <f t="shared" si="5"/>
        <v>4</v>
      </c>
      <c r="J121" s="45" t="s">
        <v>38</v>
      </c>
      <c r="K121" s="45" t="s">
        <v>391</v>
      </c>
      <c r="L121" s="45" t="s">
        <v>557</v>
      </c>
      <c r="M121" s="45" t="s">
        <v>299</v>
      </c>
      <c r="N121" s="45"/>
      <c r="O12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A3.01.37</v>
      </c>
      <c r="P121" s="59" t="s">
        <v>346</v>
      </c>
      <c r="Q121" s="59" t="s">
        <v>347</v>
      </c>
      <c r="R121" s="59" t="s">
        <v>559</v>
      </c>
      <c r="S121" s="59" t="s">
        <v>1845</v>
      </c>
      <c r="T121" s="58" t="str">
        <f>IF(Table681620[[#This Row],[LEVEL]]="5",Table681620[[#This Row],[L5]],
IF(Table681620[[#This Row],[LEVEL]]="4",Table681620[[#This Row],[L4]],
IF(Table681620[[#This Row],[LEVEL]]="3",Table681620[[#This Row],[L3]],
IF(Table681620[[#This Row],[LEVEL]]="2",Table681620[[#This Row],[L2]],
IF(Table681620[[#This Row],[LEVEL]]="1",Table681620[[#This Row],[L1]],"")))))</f>
        <v>Asbestos Survey</v>
      </c>
      <c r="U121" s="47" t="s">
        <v>62</v>
      </c>
      <c r="V121" s="47" t="s">
        <v>44</v>
      </c>
      <c r="W121" s="70">
        <v>1</v>
      </c>
      <c r="X121" s="71"/>
      <c r="Y121" s="62">
        <f>Table681620[[#This Row],[Qty]]*Table681620[[#This Row],[Rate]]</f>
        <v>0</v>
      </c>
      <c r="Z121" s="51"/>
      <c r="AA121" s="63" t="s">
        <v>79</v>
      </c>
      <c r="AB121" s="48" t="s">
        <v>562</v>
      </c>
      <c r="AC121" s="7"/>
      <c r="AD121" s="60"/>
      <c r="AE121" s="73"/>
      <c r="AF121" s="7"/>
      <c r="AG121" s="60"/>
      <c r="AH121" s="73"/>
      <c r="AI121" s="7"/>
      <c r="AJ121" s="60"/>
      <c r="AK121" s="73"/>
    </row>
    <row r="122" spans="1:37" x14ac:dyDescent="0.3">
      <c r="A122" s="43" t="str">
        <f>INDEX(Table_Numbering[L1],MATCH(Table681620[[#This Row],[L1]],Table_Numbering[L1 Description (Cost Area)],0))</f>
        <v>A</v>
      </c>
      <c r="B122" s="43" t="str">
        <f>IFERROR(INDEX(Table_Numbering[L2],MATCH(Table681620[[#This Row],[L2]],Table_Numbering[L2 Description (Area)],0)),"0")</f>
        <v>3</v>
      </c>
      <c r="C122" s="43" t="str">
        <f>IFERROR(INDEX(Table_Numbering[L3],MATCH(Table681620[[#This Row],[L3]],Table_Numbering[L3 Description (Sub Area)],0)),"0")</f>
        <v>01</v>
      </c>
      <c r="D122" s="43" t="str">
        <f>Table681620[[#This Row],[N1]]&amp;Table681620[[#This Row],[N2]]&amp;Table681620[[#This Row],[N3]]</f>
        <v>A301</v>
      </c>
      <c r="E122" s="43" t="str">
        <f>TEXT(COUNTIF(C$7:C120,Table681620[[#This Row],[N3]]),"00")</f>
        <v>38</v>
      </c>
      <c r="F122" s="43">
        <f>COUNTIFS(J$7:J122,J122,K$7:K122,K122,L$7:L122,L122,M$7:M122,M122)</f>
        <v>1</v>
      </c>
      <c r="G122" s="43" t="str">
        <f>TEXT(COUNTIFS(A$7:A122,A122,B$7:B122,B122,E$7:E122,E122,F$7:F122,1),"00")</f>
        <v>01</v>
      </c>
      <c r="H122" s="43" t="str">
        <f t="shared" si="4"/>
        <v>00</v>
      </c>
      <c r="I122" s="44" t="str">
        <f t="shared" si="5"/>
        <v>4</v>
      </c>
      <c r="J122" s="45" t="s">
        <v>38</v>
      </c>
      <c r="K122" s="45" t="s">
        <v>391</v>
      </c>
      <c r="L122" s="45" t="s">
        <v>557</v>
      </c>
      <c r="M122" s="45" t="s">
        <v>300</v>
      </c>
      <c r="N122" s="45"/>
      <c r="O12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A3.01.38</v>
      </c>
      <c r="P122" s="59" t="s">
        <v>346</v>
      </c>
      <c r="Q122" s="59" t="s">
        <v>347</v>
      </c>
      <c r="R122" s="59" t="s">
        <v>559</v>
      </c>
      <c r="S122" s="59" t="s">
        <v>1846</v>
      </c>
      <c r="T122" s="58" t="str">
        <f>IF(Table681620[[#This Row],[LEVEL]]="5",Table681620[[#This Row],[L5]],
IF(Table681620[[#This Row],[LEVEL]]="4",Table681620[[#This Row],[L4]],
IF(Table681620[[#This Row],[LEVEL]]="3",Table681620[[#This Row],[L3]],
IF(Table681620[[#This Row],[LEVEL]]="2",Table681620[[#This Row],[L2]],
IF(Table681620[[#This Row],[LEVEL]]="1",Table681620[[#This Row],[L1]],"")))))</f>
        <v>Asbestos Removal (Licensed)</v>
      </c>
      <c r="U122" s="47" t="s">
        <v>246</v>
      </c>
      <c r="V122" s="47" t="s">
        <v>44</v>
      </c>
      <c r="W122" s="70"/>
      <c r="X122" s="71"/>
      <c r="Y122" s="62">
        <f>Table681620[[#This Row],[Qty]]*Table681620[[#This Row],[Rate]]</f>
        <v>0</v>
      </c>
      <c r="Z122" s="51"/>
      <c r="AA122" s="63" t="s">
        <v>563</v>
      </c>
      <c r="AB122" s="48" t="s">
        <v>564</v>
      </c>
      <c r="AC122" s="7"/>
      <c r="AD122" s="60"/>
      <c r="AE122" s="74"/>
      <c r="AF122" s="7"/>
      <c r="AG122" s="60"/>
      <c r="AH122" s="74"/>
      <c r="AI122" s="7"/>
      <c r="AJ122" s="60"/>
      <c r="AK122" s="74"/>
    </row>
    <row r="123" spans="1:37" x14ac:dyDescent="0.3">
      <c r="A123" s="43" t="str">
        <f>INDEX(Table_Numbering[L1],MATCH(Table681620[[#This Row],[L1]],Table_Numbering[L1 Description (Cost Area)],0))</f>
        <v>A</v>
      </c>
      <c r="B123" s="43" t="str">
        <f>IFERROR(INDEX(Table_Numbering[L2],MATCH(Table681620[[#This Row],[L2]],Table_Numbering[L2 Description (Area)],0)),"0")</f>
        <v>3</v>
      </c>
      <c r="C123" s="43" t="str">
        <f>IFERROR(INDEX(Table_Numbering[L3],MATCH(Table681620[[#This Row],[L3]],Table_Numbering[L3 Description (Sub Area)],0)),"0")</f>
        <v>01</v>
      </c>
      <c r="D123" s="43" t="str">
        <f>Table681620[[#This Row],[N1]]&amp;Table681620[[#This Row],[N2]]&amp;Table681620[[#This Row],[N3]]</f>
        <v>A301</v>
      </c>
      <c r="E123" s="43" t="str">
        <f>TEXT(COUNTIF(C$7:C121,Table681620[[#This Row],[N3]]),"00")</f>
        <v>39</v>
      </c>
      <c r="F123" s="43">
        <f>COUNTIFS(J$7:J123,J123,K$7:K123,K123,L$7:L123,L123,M$7:M123,M123)</f>
        <v>1</v>
      </c>
      <c r="G123" s="43" t="str">
        <f>TEXT(COUNTIFS(A$7:A123,A123,B$7:B123,B123,E$7:E123,E123,F$7:F123,1),"00")</f>
        <v>01</v>
      </c>
      <c r="H123" s="43" t="str">
        <f t="shared" si="4"/>
        <v>00</v>
      </c>
      <c r="I123" s="44" t="str">
        <f t="shared" si="5"/>
        <v>4</v>
      </c>
      <c r="J123" s="45" t="s">
        <v>38</v>
      </c>
      <c r="K123" s="45" t="s">
        <v>391</v>
      </c>
      <c r="L123" s="45" t="s">
        <v>557</v>
      </c>
      <c r="M123" s="45" t="s">
        <v>301</v>
      </c>
      <c r="N123" s="45"/>
      <c r="O12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A3.01.39</v>
      </c>
      <c r="P123" s="59" t="s">
        <v>344</v>
      </c>
      <c r="Q123" s="59" t="s">
        <v>345</v>
      </c>
      <c r="R123" s="59" t="s">
        <v>559</v>
      </c>
      <c r="S123" s="59" t="s">
        <v>1847</v>
      </c>
      <c r="T123" s="58" t="str">
        <f>IF(Table681620[[#This Row],[LEVEL]]="5",Table681620[[#This Row],[L5]],
IF(Table681620[[#This Row],[LEVEL]]="4",Table681620[[#This Row],[L4]],
IF(Table681620[[#This Row],[LEVEL]]="3",Table681620[[#This Row],[L3]],
IF(Table681620[[#This Row],[LEVEL]]="2",Table681620[[#This Row],[L2]],
IF(Table681620[[#This Row],[LEVEL]]="1",Table681620[[#This Row],[L1]],"")))))</f>
        <v>Ceiling &amp; Wall Demolition</v>
      </c>
      <c r="U123" s="47" t="s">
        <v>246</v>
      </c>
      <c r="V123" s="47" t="s">
        <v>44</v>
      </c>
      <c r="W123" s="70"/>
      <c r="X123" s="71"/>
      <c r="Y123" s="62">
        <f>Table681620[[#This Row],[Qty]]*Table681620[[#This Row],[Rate]]</f>
        <v>0</v>
      </c>
      <c r="Z123" s="51"/>
      <c r="AA123" s="63" t="s">
        <v>560</v>
      </c>
      <c r="AB123" s="48" t="s">
        <v>561</v>
      </c>
      <c r="AC123" s="7"/>
      <c r="AD123" s="59"/>
      <c r="AE123" s="67"/>
      <c r="AF123" s="7"/>
      <c r="AG123" s="59"/>
      <c r="AH123" s="67"/>
      <c r="AI123" s="7"/>
      <c r="AJ123" s="59"/>
      <c r="AK123" s="67"/>
    </row>
    <row r="124" spans="1:37" x14ac:dyDescent="0.3">
      <c r="A124" s="43" t="str">
        <f>INDEX(Table_Numbering[L1],MATCH(Table681620[[#This Row],[L1]],Table_Numbering[L1 Description (Cost Area)],0))</f>
        <v>A</v>
      </c>
      <c r="B124" s="43" t="str">
        <f>IFERROR(INDEX(Table_Numbering[L2],MATCH(Table681620[[#This Row],[L2]],Table_Numbering[L2 Description (Area)],0)),"0")</f>
        <v>3</v>
      </c>
      <c r="C124" s="43" t="str">
        <f>IFERROR(INDEX(Table_Numbering[L3],MATCH(Table681620[[#This Row],[L3]],Table_Numbering[L3 Description (Sub Area)],0)),"0")</f>
        <v>01</v>
      </c>
      <c r="D124" s="43" t="str">
        <f>Table681620[[#This Row],[N1]]&amp;Table681620[[#This Row],[N2]]&amp;Table681620[[#This Row],[N3]]</f>
        <v>A301</v>
      </c>
      <c r="E124" s="43" t="str">
        <f>TEXT(COUNTIF(C$7:C122,Table681620[[#This Row],[N3]]),"00")</f>
        <v>40</v>
      </c>
      <c r="F124" s="43">
        <f>COUNTIFS(J$7:J124,J124,K$7:K124,K124,L$7:L124,L124,M$7:M124,M124)</f>
        <v>1</v>
      </c>
      <c r="G124" s="43" t="str">
        <f>TEXT(COUNTIFS(A$7:A124,A124,B$7:B124,B124,E$7:E124,E124,F$7:F124,1),"00")</f>
        <v>01</v>
      </c>
      <c r="H124" s="43" t="str">
        <f t="shared" si="4"/>
        <v>00</v>
      </c>
      <c r="I124" s="44" t="str">
        <f t="shared" si="5"/>
        <v>4</v>
      </c>
      <c r="J124" s="45" t="s">
        <v>38</v>
      </c>
      <c r="K124" s="45" t="s">
        <v>391</v>
      </c>
      <c r="L124" s="45" t="s">
        <v>557</v>
      </c>
      <c r="M124" s="45" t="s">
        <v>302</v>
      </c>
      <c r="N124" s="45"/>
      <c r="O12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A3.01.40</v>
      </c>
      <c r="P124" s="59" t="s">
        <v>344</v>
      </c>
      <c r="Q124" s="59" t="s">
        <v>345</v>
      </c>
      <c r="R124" s="59" t="s">
        <v>559</v>
      </c>
      <c r="S124" s="59" t="s">
        <v>1848</v>
      </c>
      <c r="T124" s="58" t="str">
        <f>IF(Table681620[[#This Row],[LEVEL]]="5",Table681620[[#This Row],[L5]],
IF(Table681620[[#This Row],[LEVEL]]="4",Table681620[[#This Row],[L4]],
IF(Table681620[[#This Row],[LEVEL]]="3",Table681620[[#This Row],[L3]],
IF(Table681620[[#This Row],[LEVEL]]="2",Table681620[[#This Row],[L2]],
IF(Table681620[[#This Row],[LEVEL]]="1",Table681620[[#This Row],[L1]],"")))))</f>
        <v>Floor Covering Removal</v>
      </c>
      <c r="U124" s="47" t="s">
        <v>246</v>
      </c>
      <c r="V124" s="47" t="s">
        <v>44</v>
      </c>
      <c r="W124" s="70"/>
      <c r="X124" s="71"/>
      <c r="Y124" s="62">
        <f>Table681620[[#This Row],[Qty]]*Table681620[[#This Row],[Rate]]</f>
        <v>0</v>
      </c>
      <c r="Z124" s="51"/>
      <c r="AA124" s="52" t="s">
        <v>563</v>
      </c>
      <c r="AB124" s="48" t="s">
        <v>561</v>
      </c>
      <c r="AC124" s="7"/>
      <c r="AD124" s="59"/>
      <c r="AE124" s="67"/>
      <c r="AF124" s="7"/>
      <c r="AG124" s="59"/>
      <c r="AH124" s="67"/>
      <c r="AI124" s="7"/>
      <c r="AJ124" s="59"/>
      <c r="AK124" s="67"/>
    </row>
    <row r="125" spans="1:37" x14ac:dyDescent="0.3">
      <c r="A125" s="43" t="str">
        <f>INDEX(Table_Numbering[L1],MATCH(Table681620[[#This Row],[L1]],Table_Numbering[L1 Description (Cost Area)],0))</f>
        <v>A</v>
      </c>
      <c r="B125" s="43" t="str">
        <f>IFERROR(INDEX(Table_Numbering[L2],MATCH(Table681620[[#This Row],[L2]],Table_Numbering[L2 Description (Area)],0)),"0")</f>
        <v>3</v>
      </c>
      <c r="C125" s="43" t="str">
        <f>IFERROR(INDEX(Table_Numbering[L3],MATCH(Table681620[[#This Row],[L3]],Table_Numbering[L3 Description (Sub Area)],0)),"0")</f>
        <v>01</v>
      </c>
      <c r="D125" s="43" t="str">
        <f>Table681620[[#This Row],[N1]]&amp;Table681620[[#This Row],[N2]]&amp;Table681620[[#This Row],[N3]]</f>
        <v>A301</v>
      </c>
      <c r="E125" s="43" t="str">
        <f>TEXT(COUNTIF(C$7:C123,Table681620[[#This Row],[N3]]),"00")</f>
        <v>41</v>
      </c>
      <c r="F125" s="43">
        <f>COUNTIFS(J$7:J125,J125,K$7:K125,K125,L$7:L125,L125,M$7:M125,M125)</f>
        <v>1</v>
      </c>
      <c r="G125" s="43" t="str">
        <f>TEXT(COUNTIFS(A$7:A125,A125,B$7:B125,B125,E$7:E125,E125,F$7:F125,1),"00")</f>
        <v>01</v>
      </c>
      <c r="H125" s="43" t="str">
        <f t="shared" si="4"/>
        <v>00</v>
      </c>
      <c r="I125" s="44" t="str">
        <f t="shared" si="5"/>
        <v>4</v>
      </c>
      <c r="J125" s="45" t="s">
        <v>38</v>
      </c>
      <c r="K125" s="45" t="s">
        <v>391</v>
      </c>
      <c r="L125" s="45" t="s">
        <v>557</v>
      </c>
      <c r="M125" s="45" t="s">
        <v>303</v>
      </c>
      <c r="N125" s="45"/>
      <c r="O12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A3.01.41</v>
      </c>
      <c r="P125" s="59" t="s">
        <v>344</v>
      </c>
      <c r="Q125" s="59" t="s">
        <v>345</v>
      </c>
      <c r="R125" s="59" t="s">
        <v>559</v>
      </c>
      <c r="S125" s="59" t="s">
        <v>1849</v>
      </c>
      <c r="T125" s="58" t="str">
        <f>IF(Table681620[[#This Row],[LEVEL]]="5",Table681620[[#This Row],[L5]],
IF(Table681620[[#This Row],[LEVEL]]="4",Table681620[[#This Row],[L4]],
IF(Table681620[[#This Row],[LEVEL]]="3",Table681620[[#This Row],[L3]],
IF(Table681620[[#This Row],[LEVEL]]="2",Table681620[[#This Row],[L2]],
IF(Table681620[[#This Row],[LEVEL]]="1",Table681620[[#This Row],[L1]],"")))))</f>
        <v>Services Strip Out (Mech/Elec/Hyd)</v>
      </c>
      <c r="U125" s="47" t="s">
        <v>62</v>
      </c>
      <c r="V125" s="47" t="s">
        <v>44</v>
      </c>
      <c r="W125" s="70">
        <v>1</v>
      </c>
      <c r="X125" s="71"/>
      <c r="Y125" s="62">
        <f>Table681620[[#This Row],[Qty]]*Table681620[[#This Row],[Rate]]</f>
        <v>0</v>
      </c>
      <c r="Z125" s="51"/>
      <c r="AA125" s="63" t="s">
        <v>565</v>
      </c>
      <c r="AB125" s="48" t="s">
        <v>566</v>
      </c>
      <c r="AC125" s="7"/>
      <c r="AD125" s="59"/>
      <c r="AE125" s="67"/>
      <c r="AF125" s="7"/>
      <c r="AG125" s="59"/>
      <c r="AH125" s="67"/>
      <c r="AI125" s="7"/>
      <c r="AJ125" s="59"/>
      <c r="AK125" s="67"/>
    </row>
    <row r="126" spans="1:37" x14ac:dyDescent="0.3">
      <c r="A126" s="43" t="str">
        <f>INDEX(Table_Numbering[L1],MATCH(Table681620[[#This Row],[L1]],Table_Numbering[L1 Description (Cost Area)],0))</f>
        <v>A</v>
      </c>
      <c r="B126" s="43" t="str">
        <f>IFERROR(INDEX(Table_Numbering[L2],MATCH(Table681620[[#This Row],[L2]],Table_Numbering[L2 Description (Area)],0)),"0")</f>
        <v>3</v>
      </c>
      <c r="C126" s="43" t="str">
        <f>IFERROR(INDEX(Table_Numbering[L3],MATCH(Table681620[[#This Row],[L3]],Table_Numbering[L3 Description (Sub Area)],0)),"0")</f>
        <v>01</v>
      </c>
      <c r="D126" s="43" t="str">
        <f>Table681620[[#This Row],[N1]]&amp;Table681620[[#This Row],[N2]]&amp;Table681620[[#This Row],[N3]]</f>
        <v>A301</v>
      </c>
      <c r="E126" s="43" t="str">
        <f>TEXT(COUNTIF(C$7:C124,Table681620[[#This Row],[N3]]),"00")</f>
        <v>42</v>
      </c>
      <c r="F126" s="43">
        <f>COUNTIFS(J$7:J126,J126,K$7:K126,K126,L$7:L126,L126,M$7:M126,M126)</f>
        <v>1</v>
      </c>
      <c r="G126" s="43" t="str">
        <f>TEXT(COUNTIFS(A$7:A126,A126,B$7:B126,B126,E$7:E126,E126,F$7:F126,1),"00")</f>
        <v>01</v>
      </c>
      <c r="H126" s="43" t="str">
        <f t="shared" si="4"/>
        <v>00</v>
      </c>
      <c r="I126" s="44" t="str">
        <f t="shared" si="5"/>
        <v>4</v>
      </c>
      <c r="J126" s="45" t="s">
        <v>38</v>
      </c>
      <c r="K126" s="45" t="s">
        <v>391</v>
      </c>
      <c r="L126" s="45" t="s">
        <v>557</v>
      </c>
      <c r="M126" s="45" t="s">
        <v>304</v>
      </c>
      <c r="N126" s="45"/>
      <c r="O12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A3.01.42</v>
      </c>
      <c r="P126" s="59" t="s">
        <v>344</v>
      </c>
      <c r="Q126" s="59" t="s">
        <v>345</v>
      </c>
      <c r="R126" s="59"/>
      <c r="S126" s="59" t="s">
        <v>1850</v>
      </c>
      <c r="T126" s="58" t="str">
        <f>IF(Table681620[[#This Row],[LEVEL]]="5",Table681620[[#This Row],[L5]],
IF(Table681620[[#This Row],[LEVEL]]="4",Table681620[[#This Row],[L4]],
IF(Table681620[[#This Row],[LEVEL]]="3",Table681620[[#This Row],[L3]],
IF(Table681620[[#This Row],[LEVEL]]="2",Table681620[[#This Row],[L2]],
IF(Table681620[[#This Row],[LEVEL]]="1",Table681620[[#This Row],[L1]],"")))))</f>
        <v>Waste Removal &amp; Disposal</v>
      </c>
      <c r="U126" s="47" t="s">
        <v>62</v>
      </c>
      <c r="V126" s="47" t="s">
        <v>44</v>
      </c>
      <c r="W126" s="70">
        <v>1</v>
      </c>
      <c r="X126" s="71"/>
      <c r="Y126" s="62">
        <f>Table681620[[#This Row],[Qty]]*Table681620[[#This Row],[Rate]]</f>
        <v>0</v>
      </c>
      <c r="Z126" s="51"/>
      <c r="AA126" s="63" t="s">
        <v>79</v>
      </c>
      <c r="AB126" s="48" t="s">
        <v>567</v>
      </c>
      <c r="AC126" s="7"/>
      <c r="AD126" s="72"/>
      <c r="AE126" s="67"/>
      <c r="AF126" s="7"/>
      <c r="AG126" s="72"/>
      <c r="AH126" s="67"/>
      <c r="AI126" s="7"/>
      <c r="AJ126" s="72"/>
      <c r="AK126" s="67"/>
    </row>
    <row r="127" spans="1:37" x14ac:dyDescent="0.3">
      <c r="A127" s="43" t="str">
        <f>INDEX(Table_Numbering[L1],MATCH(Table681620[[#This Row],[L1]],Table_Numbering[L1 Description (Cost Area)],0))</f>
        <v>A</v>
      </c>
      <c r="B127" s="43" t="str">
        <f>IFERROR(INDEX(Table_Numbering[L2],MATCH(Table681620[[#This Row],[L2]],Table_Numbering[L2 Description (Area)],0)),"0")</f>
        <v>3</v>
      </c>
      <c r="C127" s="43" t="str">
        <f>IFERROR(INDEX(Table_Numbering[L3],MATCH(Table681620[[#This Row],[L3]],Table_Numbering[L3 Description (Sub Area)],0)),"0")</f>
        <v>02</v>
      </c>
      <c r="D127" s="43" t="str">
        <f>Table681620[[#This Row],[N1]]&amp;Table681620[[#This Row],[N2]]&amp;Table681620[[#This Row],[N3]]</f>
        <v>A302</v>
      </c>
      <c r="E127" s="43" t="str">
        <f>TEXT(COUNTIF(C$7:C125,Table681620[[#This Row],[N3]]),"00")</f>
        <v>12</v>
      </c>
      <c r="F127" s="43">
        <f>COUNTIFS(J$7:J127,J127,K$7:K127,K127,L$7:L127,L127,M$7:M127,M127)</f>
        <v>0</v>
      </c>
      <c r="G127" s="43" t="str">
        <f>TEXT(COUNTIFS(A$7:A127,A127,B$7:B127,B127,E$7:E127,E127,F$7:F127,1),"00")</f>
        <v>00</v>
      </c>
      <c r="H127" s="43" t="str">
        <f t="shared" si="4"/>
        <v>00</v>
      </c>
      <c r="I127" s="44" t="str">
        <f t="shared" si="5"/>
        <v>3</v>
      </c>
      <c r="J127" s="45" t="s">
        <v>38</v>
      </c>
      <c r="K127" s="45" t="s">
        <v>391</v>
      </c>
      <c r="L127" s="45" t="s">
        <v>568</v>
      </c>
      <c r="M127" s="45"/>
      <c r="N127" s="45"/>
      <c r="O12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A3.02</v>
      </c>
      <c r="P127" s="59"/>
      <c r="Q127" s="59"/>
      <c r="R127" s="59"/>
      <c r="S127" s="59"/>
      <c r="T127" s="55" t="str">
        <f>IF(Table681620[[#This Row],[LEVEL]]="5",Table681620[[#This Row],[L5]],
IF(Table681620[[#This Row],[LEVEL]]="4",Table681620[[#This Row],[L4]],
IF(Table681620[[#This Row],[LEVEL]]="3",Table681620[[#This Row],[L3]],
IF(Table681620[[#This Row],[LEVEL]]="2",Table681620[[#This Row],[L2]],
IF(Table681620[[#This Row],[LEVEL]]="1",Table681620[[#This Row],[L1]],"")))))</f>
        <v>STRUCTURE</v>
      </c>
      <c r="U127" s="47"/>
      <c r="V127" s="47"/>
      <c r="W127" s="70"/>
      <c r="X127" s="71"/>
      <c r="Y127" s="50">
        <f>SUBTOTAL(9,Y128:Y135)</f>
        <v>0</v>
      </c>
      <c r="Z127" s="51"/>
      <c r="AA127" s="63"/>
      <c r="AB127" s="48"/>
      <c r="AC127" s="7"/>
      <c r="AD127" s="72"/>
      <c r="AE127" s="67"/>
      <c r="AF127" s="7"/>
      <c r="AG127" s="72"/>
      <c r="AH127" s="67"/>
      <c r="AI127" s="7"/>
      <c r="AJ127" s="72"/>
      <c r="AK127" s="67"/>
    </row>
    <row r="128" spans="1:37" x14ac:dyDescent="0.3">
      <c r="A128" s="43" t="str">
        <f>INDEX(Table_Numbering[L1],MATCH(Table681620[[#This Row],[L1]],Table_Numbering[L1 Description (Cost Area)],0))</f>
        <v>A</v>
      </c>
      <c r="B128" s="43" t="str">
        <f>IFERROR(INDEX(Table_Numbering[L2],MATCH(Table681620[[#This Row],[L2]],Table_Numbering[L2 Description (Area)],0)),"0")</f>
        <v>3</v>
      </c>
      <c r="C128" s="43" t="str">
        <f>IFERROR(INDEX(Table_Numbering[L3],MATCH(Table681620[[#This Row],[L3]],Table_Numbering[L3 Description (Sub Area)],0)),"0")</f>
        <v>02</v>
      </c>
      <c r="D128" s="43" t="str">
        <f>Table681620[[#This Row],[N1]]&amp;Table681620[[#This Row],[N2]]&amp;Table681620[[#This Row],[N3]]</f>
        <v>A302</v>
      </c>
      <c r="E128" s="43" t="str">
        <f>TEXT(COUNTIF(C$7:C126,Table681620[[#This Row],[N3]]),"00")</f>
        <v>12</v>
      </c>
      <c r="F128" s="43">
        <f>COUNTIFS(J$7:J128,J128,K$7:K128,K128,L$7:L128,L128,M$7:M128,M128)</f>
        <v>1</v>
      </c>
      <c r="G128" s="43" t="str">
        <f>TEXT(COUNTIFS(A$7:A128,A128,B$7:B128,B128,E$7:E128,E128,F$7:F128,1),"00")</f>
        <v>01</v>
      </c>
      <c r="H128" s="43" t="str">
        <f t="shared" si="4"/>
        <v>00</v>
      </c>
      <c r="I128" s="44" t="str">
        <f t="shared" si="5"/>
        <v>4</v>
      </c>
      <c r="J128" s="45" t="s">
        <v>38</v>
      </c>
      <c r="K128" s="45" t="s">
        <v>391</v>
      </c>
      <c r="L128" s="45" t="s">
        <v>568</v>
      </c>
      <c r="M128" s="45" t="s">
        <v>305</v>
      </c>
      <c r="N128" s="45"/>
      <c r="O12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A3.02.12</v>
      </c>
      <c r="P128" s="59" t="s">
        <v>330</v>
      </c>
      <c r="Q128" s="59" t="s">
        <v>78</v>
      </c>
      <c r="R128" s="59" t="s">
        <v>570</v>
      </c>
      <c r="S128" s="59" t="s">
        <v>1851</v>
      </c>
      <c r="T128" s="58" t="str">
        <f>IF(Table681620[[#This Row],[LEVEL]]="5",Table681620[[#This Row],[L5]],
IF(Table681620[[#This Row],[LEVEL]]="4",Table681620[[#This Row],[L4]],
IF(Table681620[[#This Row],[LEVEL]]="3",Table681620[[#This Row],[L3]],
IF(Table681620[[#This Row],[LEVEL]]="2",Table681620[[#This Row],[L2]],
IF(Table681620[[#This Row],[LEVEL]]="1",Table681620[[#This Row],[L1]],"")))))</f>
        <v>Structural Assessment Report</v>
      </c>
      <c r="U128" s="47" t="s">
        <v>62</v>
      </c>
      <c r="V128" s="59" t="s">
        <v>44</v>
      </c>
      <c r="W128" s="72">
        <v>1</v>
      </c>
      <c r="X128" s="48"/>
      <c r="Y128" s="62">
        <f>Table681620[[#This Row],[Qty]]*Table681620[[#This Row],[Rate]]</f>
        <v>0</v>
      </c>
      <c r="Z128" s="51"/>
      <c r="AA128" s="52" t="s">
        <v>79</v>
      </c>
      <c r="AB128" s="48" t="s">
        <v>571</v>
      </c>
      <c r="AC128" s="7"/>
      <c r="AD128" s="72"/>
      <c r="AE128" s="67"/>
      <c r="AF128" s="7"/>
      <c r="AG128" s="72"/>
      <c r="AH128" s="67"/>
      <c r="AI128" s="7"/>
      <c r="AJ128" s="72"/>
      <c r="AK128" s="67"/>
    </row>
    <row r="129" spans="1:37" x14ac:dyDescent="0.3">
      <c r="A129" s="43" t="str">
        <f>INDEX(Table_Numbering[L1],MATCH(Table681620[[#This Row],[L1]],Table_Numbering[L1 Description (Cost Area)],0))</f>
        <v>A</v>
      </c>
      <c r="B129" s="43" t="str">
        <f>IFERROR(INDEX(Table_Numbering[L2],MATCH(Table681620[[#This Row],[L2]],Table_Numbering[L2 Description (Area)],0)),"0")</f>
        <v>3</v>
      </c>
      <c r="C129" s="43" t="str">
        <f>IFERROR(INDEX(Table_Numbering[L3],MATCH(Table681620[[#This Row],[L3]],Table_Numbering[L3 Description (Sub Area)],0)),"0")</f>
        <v>02</v>
      </c>
      <c r="D129" s="43" t="str">
        <f>Table681620[[#This Row],[N1]]&amp;Table681620[[#This Row],[N2]]&amp;Table681620[[#This Row],[N3]]</f>
        <v>A302</v>
      </c>
      <c r="E129" s="43" t="str">
        <f>TEXT(COUNTIF(C$7:C127,Table681620[[#This Row],[N3]]),"00")</f>
        <v>13</v>
      </c>
      <c r="F129" s="43">
        <f>COUNTIFS(J$7:J129,J129,K$7:K129,K129,L$7:L129,L129,M$7:M129,M129)</f>
        <v>1</v>
      </c>
      <c r="G129" s="43" t="str">
        <f>TEXT(COUNTIFS(A$7:A129,A129,B$7:B129,B129,E$7:E129,E129,F$7:F129,1),"00")</f>
        <v>01</v>
      </c>
      <c r="H129" s="43" t="str">
        <f t="shared" si="4"/>
        <v>00</v>
      </c>
      <c r="I129" s="44" t="str">
        <f t="shared" si="5"/>
        <v>4</v>
      </c>
      <c r="J129" s="45" t="s">
        <v>38</v>
      </c>
      <c r="K129" s="45" t="s">
        <v>391</v>
      </c>
      <c r="L129" s="45" t="s">
        <v>568</v>
      </c>
      <c r="M129" s="45" t="s">
        <v>573</v>
      </c>
      <c r="N129" s="45"/>
      <c r="O12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A3.02.13</v>
      </c>
      <c r="P129" s="59" t="s">
        <v>330</v>
      </c>
      <c r="Q129" s="59" t="s">
        <v>78</v>
      </c>
      <c r="R129" s="59" t="s">
        <v>572</v>
      </c>
      <c r="S129" s="59" t="s">
        <v>1852</v>
      </c>
      <c r="T129" s="58" t="str">
        <f>IF(Table681620[[#This Row],[LEVEL]]="5",Table681620[[#This Row],[L5]],
IF(Table681620[[#This Row],[LEVEL]]="4",Table681620[[#This Row],[L4]],
IF(Table681620[[#This Row],[LEVEL]]="3",Table681620[[#This Row],[L3]],
IF(Table681620[[#This Row],[LEVEL]]="2",Table681620[[#This Row],[L2]],
IF(Table681620[[#This Row],[LEVEL]]="1",Table681620[[#This Row],[L1]],"")))))</f>
        <v>Bored Piers (BP1: 450Ø, 3.0m deep)</v>
      </c>
      <c r="U129" s="47" t="s">
        <v>574</v>
      </c>
      <c r="V129" s="47" t="s">
        <v>44</v>
      </c>
      <c r="W129" s="70"/>
      <c r="X129" s="48"/>
      <c r="Y129" s="62">
        <f>Table681620[[#This Row],[Qty]]*Table681620[[#This Row],[Rate]]</f>
        <v>0</v>
      </c>
      <c r="Z129" s="51"/>
      <c r="AA129" s="63" t="s">
        <v>576</v>
      </c>
      <c r="AB129" s="48" t="s">
        <v>577</v>
      </c>
      <c r="AC129" s="7"/>
      <c r="AD129" s="72"/>
      <c r="AE129" s="67"/>
      <c r="AF129" s="7"/>
      <c r="AG129" s="72"/>
      <c r="AH129" s="67"/>
      <c r="AI129" s="7"/>
      <c r="AJ129" s="72"/>
      <c r="AK129" s="67"/>
    </row>
    <row r="130" spans="1:37" x14ac:dyDescent="0.3">
      <c r="A130" s="43" t="str">
        <f>INDEX(Table_Numbering[L1],MATCH(Table681620[[#This Row],[L1]],Table_Numbering[L1 Description (Cost Area)],0))</f>
        <v>A</v>
      </c>
      <c r="B130" s="43" t="str">
        <f>IFERROR(INDEX(Table_Numbering[L2],MATCH(Table681620[[#This Row],[L2]],Table_Numbering[L2 Description (Area)],0)),"0")</f>
        <v>3</v>
      </c>
      <c r="C130" s="43" t="str">
        <f>IFERROR(INDEX(Table_Numbering[L3],MATCH(Table681620[[#This Row],[L3]],Table_Numbering[L3 Description (Sub Area)],0)),"0")</f>
        <v>02</v>
      </c>
      <c r="D130" s="43" t="str">
        <f>Table681620[[#This Row],[N1]]&amp;Table681620[[#This Row],[N2]]&amp;Table681620[[#This Row],[N3]]</f>
        <v>A302</v>
      </c>
      <c r="E130" s="43" t="str">
        <f>TEXT(COUNTIF(C$7:C128,Table681620[[#This Row],[N3]]),"00")</f>
        <v>14</v>
      </c>
      <c r="F130" s="43">
        <f>COUNTIFS(J$7:J130,J130,K$7:K130,K130,L$7:L130,L130,M$7:M130,M130)</f>
        <v>1</v>
      </c>
      <c r="G130" s="43" t="str">
        <f>TEXT(COUNTIFS(A$7:A130,A130,B$7:B130,B130,E$7:E130,E130,F$7:F130,1),"00")</f>
        <v>01</v>
      </c>
      <c r="H130" s="43" t="str">
        <f t="shared" si="4"/>
        <v>00</v>
      </c>
      <c r="I130" s="44" t="str">
        <f t="shared" si="5"/>
        <v>4</v>
      </c>
      <c r="J130" s="45" t="s">
        <v>38</v>
      </c>
      <c r="K130" s="45" t="s">
        <v>391</v>
      </c>
      <c r="L130" s="45" t="s">
        <v>568</v>
      </c>
      <c r="M130" s="45" t="s">
        <v>578</v>
      </c>
      <c r="N130" s="45"/>
      <c r="O13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A3.02.14</v>
      </c>
      <c r="P130" s="59" t="s">
        <v>330</v>
      </c>
      <c r="Q130" s="59" t="s">
        <v>78</v>
      </c>
      <c r="R130" s="59" t="s">
        <v>572</v>
      </c>
      <c r="S130" s="59" t="s">
        <v>1853</v>
      </c>
      <c r="T130" s="58" t="str">
        <f>IF(Table681620[[#This Row],[LEVEL]]="5",Table681620[[#This Row],[L5]],
IF(Table681620[[#This Row],[LEVEL]]="4",Table681620[[#This Row],[L4]],
IF(Table681620[[#This Row],[LEVEL]]="3",Table681620[[#This Row],[L3]],
IF(Table681620[[#This Row],[LEVEL]]="2",Table681620[[#This Row],[L2]],
IF(Table681620[[#This Row],[LEVEL]]="1",Table681620[[#This Row],[L1]],"")))))</f>
        <v>Ground Beams</v>
      </c>
      <c r="U130" s="47" t="s">
        <v>253</v>
      </c>
      <c r="V130" s="47" t="s">
        <v>44</v>
      </c>
      <c r="W130" s="70"/>
      <c r="X130" s="48"/>
      <c r="Y130" s="62">
        <f>Table681620[[#This Row],[Qty]]*Table681620[[#This Row],[Rate]]</f>
        <v>0</v>
      </c>
      <c r="Z130" s="51"/>
      <c r="AA130" s="63" t="s">
        <v>579</v>
      </c>
      <c r="AB130" s="48" t="s">
        <v>577</v>
      </c>
      <c r="AC130" s="7"/>
      <c r="AD130" s="72"/>
      <c r="AE130" s="67"/>
      <c r="AF130" s="7"/>
      <c r="AG130" s="72"/>
      <c r="AH130" s="67"/>
      <c r="AI130" s="7"/>
      <c r="AJ130" s="72"/>
      <c r="AK130" s="67"/>
    </row>
    <row r="131" spans="1:37" x14ac:dyDescent="0.3">
      <c r="A131" s="43" t="str">
        <f>INDEX(Table_Numbering[L1],MATCH(Table681620[[#This Row],[L1]],Table_Numbering[L1 Description (Cost Area)],0))</f>
        <v>A</v>
      </c>
      <c r="B131" s="43" t="str">
        <f>IFERROR(INDEX(Table_Numbering[L2],MATCH(Table681620[[#This Row],[L2]],Table_Numbering[L2 Description (Area)],0)),"0")</f>
        <v>3</v>
      </c>
      <c r="C131" s="43" t="str">
        <f>IFERROR(INDEX(Table_Numbering[L3],MATCH(Table681620[[#This Row],[L3]],Table_Numbering[L3 Description (Sub Area)],0)),"0")</f>
        <v>02</v>
      </c>
      <c r="D131" s="43" t="str">
        <f>Table681620[[#This Row],[N1]]&amp;Table681620[[#This Row],[N2]]&amp;Table681620[[#This Row],[N3]]</f>
        <v>A302</v>
      </c>
      <c r="E131" s="43" t="str">
        <f>TEXT(COUNTIF(C$7:C129,Table681620[[#This Row],[N3]]),"00")</f>
        <v>15</v>
      </c>
      <c r="F131" s="43">
        <f>COUNTIFS(J$7:J131,J131,K$7:K131,K131,L$7:L131,L131,M$7:M131,M131)</f>
        <v>1</v>
      </c>
      <c r="G131" s="43" t="str">
        <f>TEXT(COUNTIFS(A$7:A131,A131,B$7:B131,B131,E$7:E131,E131,F$7:F131,1),"00")</f>
        <v>01</v>
      </c>
      <c r="H131" s="43" t="str">
        <f t="shared" si="4"/>
        <v>00</v>
      </c>
      <c r="I131" s="44" t="str">
        <f t="shared" si="5"/>
        <v>4</v>
      </c>
      <c r="J131" s="45" t="s">
        <v>38</v>
      </c>
      <c r="K131" s="45" t="s">
        <v>391</v>
      </c>
      <c r="L131" s="45" t="s">
        <v>568</v>
      </c>
      <c r="M131" s="45" t="s">
        <v>580</v>
      </c>
      <c r="N131" s="45"/>
      <c r="O13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A3.02.15</v>
      </c>
      <c r="P131" s="59" t="s">
        <v>330</v>
      </c>
      <c r="Q131" s="59" t="s">
        <v>78</v>
      </c>
      <c r="R131" s="59" t="s">
        <v>572</v>
      </c>
      <c r="S131" s="59" t="s">
        <v>1854</v>
      </c>
      <c r="T131" s="58" t="str">
        <f>IF(Table681620[[#This Row],[LEVEL]]="5",Table681620[[#This Row],[L5]],
IF(Table681620[[#This Row],[LEVEL]]="4",Table681620[[#This Row],[L4]],
IF(Table681620[[#This Row],[LEVEL]]="3",Table681620[[#This Row],[L3]],
IF(Table681620[[#This Row],[LEVEL]]="2",Table681620[[#This Row],[L2]],
IF(Table681620[[#This Row],[LEVEL]]="1",Table681620[[#This Row],[L1]],"")))))</f>
        <v>Concrete Slab on Ground</v>
      </c>
      <c r="U131" s="47" t="s">
        <v>246</v>
      </c>
      <c r="V131" s="47" t="s">
        <v>44</v>
      </c>
      <c r="W131" s="70"/>
      <c r="X131" s="48"/>
      <c r="Y131" s="62">
        <f>Table681620[[#This Row],[Qty]]*Table681620[[#This Row],[Rate]]</f>
        <v>0</v>
      </c>
      <c r="Z131" s="51"/>
      <c r="AA131" s="63" t="s">
        <v>581</v>
      </c>
      <c r="AB131" s="48" t="s">
        <v>582</v>
      </c>
      <c r="AC131" s="7"/>
      <c r="AD131" s="72"/>
      <c r="AE131" s="67"/>
      <c r="AF131" s="7"/>
      <c r="AG131" s="72"/>
      <c r="AH131" s="67"/>
      <c r="AI131" s="7"/>
      <c r="AJ131" s="72"/>
      <c r="AK131" s="67"/>
    </row>
    <row r="132" spans="1:37" x14ac:dyDescent="0.3">
      <c r="A132" s="43" t="str">
        <f>INDEX(Table_Numbering[L1],MATCH(Table681620[[#This Row],[L1]],Table_Numbering[L1 Description (Cost Area)],0))</f>
        <v>A</v>
      </c>
      <c r="B132" s="43" t="str">
        <f>IFERROR(INDEX(Table_Numbering[L2],MATCH(Table681620[[#This Row],[L2]],Table_Numbering[L2 Description (Area)],0)),"0")</f>
        <v>3</v>
      </c>
      <c r="C132" s="43" t="str">
        <f>IFERROR(INDEX(Table_Numbering[L3],MATCH(Table681620[[#This Row],[L3]],Table_Numbering[L3 Description (Sub Area)],0)),"0")</f>
        <v>02</v>
      </c>
      <c r="D132" s="43" t="str">
        <f>Table681620[[#This Row],[N1]]&amp;Table681620[[#This Row],[N2]]&amp;Table681620[[#This Row],[N3]]</f>
        <v>A302</v>
      </c>
      <c r="E132" s="43" t="str">
        <f>TEXT(COUNTIF(C$7:C130,Table681620[[#This Row],[N3]]),"00")</f>
        <v>16</v>
      </c>
      <c r="F132" s="43">
        <f>COUNTIFS(J$7:J132,J132,K$7:K132,K132,L$7:L132,L132,M$7:M132,M132)</f>
        <v>1</v>
      </c>
      <c r="G132" s="43" t="str">
        <f>TEXT(COUNTIFS(A$7:A132,A132,B$7:B132,B132,E$7:E132,E132,F$7:F132,1),"00")</f>
        <v>01</v>
      </c>
      <c r="H132" s="43" t="str">
        <f t="shared" si="4"/>
        <v>00</v>
      </c>
      <c r="I132" s="44" t="str">
        <f t="shared" si="5"/>
        <v>4</v>
      </c>
      <c r="J132" s="45" t="s">
        <v>38</v>
      </c>
      <c r="K132" s="45" t="s">
        <v>391</v>
      </c>
      <c r="L132" s="45" t="s">
        <v>568</v>
      </c>
      <c r="M132" s="45" t="s">
        <v>585</v>
      </c>
      <c r="N132" s="45"/>
      <c r="O13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A3.02.16</v>
      </c>
      <c r="P132" s="59" t="s">
        <v>330</v>
      </c>
      <c r="Q132" s="59" t="s">
        <v>78</v>
      </c>
      <c r="R132" s="59" t="s">
        <v>584</v>
      </c>
      <c r="S132" s="59" t="s">
        <v>1855</v>
      </c>
      <c r="T132" s="58" t="str">
        <f>IF(Table681620[[#This Row],[LEVEL]]="5",Table681620[[#This Row],[L5]],
IF(Table681620[[#This Row],[LEVEL]]="4",Table681620[[#This Row],[L4]],
IF(Table681620[[#This Row],[LEVEL]]="3",Table681620[[#This Row],[L3]],
IF(Table681620[[#This Row],[LEVEL]]="2",Table681620[[#This Row],[L2]],
IF(Table681620[[#This Row],[LEVEL]]="1",Table681620[[#This Row],[L1]],"")))))</f>
        <v>SHS Columns (C1: 150x150x6, C2: 125x125x5, C3: 100x100x4)</v>
      </c>
      <c r="U132" s="47" t="s">
        <v>574</v>
      </c>
      <c r="V132" s="47" t="s">
        <v>44</v>
      </c>
      <c r="W132" s="70"/>
      <c r="X132" s="48"/>
      <c r="Y132" s="62">
        <f>Table681620[[#This Row],[Qty]]*Table681620[[#This Row],[Rate]]</f>
        <v>0</v>
      </c>
      <c r="Z132" s="51"/>
      <c r="AA132" s="63" t="s">
        <v>586</v>
      </c>
      <c r="AB132" s="48" t="s">
        <v>587</v>
      </c>
      <c r="AC132" s="7"/>
      <c r="AD132" s="72"/>
      <c r="AE132" s="67"/>
      <c r="AF132" s="7"/>
      <c r="AG132" s="72"/>
      <c r="AH132" s="67"/>
      <c r="AI132" s="7"/>
      <c r="AJ132" s="72"/>
      <c r="AK132" s="67"/>
    </row>
    <row r="133" spans="1:37" x14ac:dyDescent="0.3">
      <c r="A133" s="43" t="str">
        <f>INDEX(Table_Numbering[L1],MATCH(Table681620[[#This Row],[L1]],Table_Numbering[L1 Description (Cost Area)],0))</f>
        <v>A</v>
      </c>
      <c r="B133" s="43" t="str">
        <f>IFERROR(INDEX(Table_Numbering[L2],MATCH(Table681620[[#This Row],[L2]],Table_Numbering[L2 Description (Area)],0)),"0")</f>
        <v>3</v>
      </c>
      <c r="C133" s="43" t="str">
        <f>IFERROR(INDEX(Table_Numbering[L3],MATCH(Table681620[[#This Row],[L3]],Table_Numbering[L3 Description (Sub Area)],0)),"0")</f>
        <v>02</v>
      </c>
      <c r="D133" s="43" t="str">
        <f>Table681620[[#This Row],[N1]]&amp;Table681620[[#This Row],[N2]]&amp;Table681620[[#This Row],[N3]]</f>
        <v>A302</v>
      </c>
      <c r="E133" s="43" t="str">
        <f>TEXT(COUNTIF(C$7:C131,Table681620[[#This Row],[N3]]),"00")</f>
        <v>17</v>
      </c>
      <c r="F133" s="43">
        <f>COUNTIFS(J$7:J133,J133,K$7:K133,K133,L$7:L133,L133,M$7:M133,M133)</f>
        <v>1</v>
      </c>
      <c r="G133" s="43" t="str">
        <f>TEXT(COUNTIFS(A$7:A133,A133,B$7:B133,B133,E$7:E133,E133,F$7:F133,1),"00")</f>
        <v>01</v>
      </c>
      <c r="H133" s="43" t="str">
        <f t="shared" si="4"/>
        <v>00</v>
      </c>
      <c r="I133" s="44" t="str">
        <f t="shared" si="5"/>
        <v>4</v>
      </c>
      <c r="J133" s="45" t="s">
        <v>38</v>
      </c>
      <c r="K133" s="45" t="s">
        <v>391</v>
      </c>
      <c r="L133" s="45" t="s">
        <v>568</v>
      </c>
      <c r="M133" s="45" t="s">
        <v>590</v>
      </c>
      <c r="N133" s="45"/>
      <c r="O13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A3.02.17</v>
      </c>
      <c r="P133" s="59" t="s">
        <v>330</v>
      </c>
      <c r="Q133" s="59" t="s">
        <v>78</v>
      </c>
      <c r="R133" s="59" t="s">
        <v>589</v>
      </c>
      <c r="S133" s="59" t="s">
        <v>1856</v>
      </c>
      <c r="T133" s="58" t="str">
        <f>IF(Table681620[[#This Row],[LEVEL]]="5",Table681620[[#This Row],[L5]],
IF(Table681620[[#This Row],[LEVEL]]="4",Table681620[[#This Row],[L4]],
IF(Table681620[[#This Row],[LEVEL]]="3",Table681620[[#This Row],[L3]],
IF(Table681620[[#This Row],[LEVEL]]="2",Table681620[[#This Row],[L2]],
IF(Table681620[[#This Row],[LEVEL]]="1",Table681620[[#This Row],[L1]],"")))))</f>
        <v>Roof Beams (B1-B4)</v>
      </c>
      <c r="U133" s="47" t="s">
        <v>253</v>
      </c>
      <c r="V133" s="47" t="s">
        <v>44</v>
      </c>
      <c r="W133" s="70"/>
      <c r="X133" s="48"/>
      <c r="Y133" s="62">
        <f>Table681620[[#This Row],[Qty]]*Table681620[[#This Row],[Rate]]</f>
        <v>0</v>
      </c>
      <c r="Z133" s="51"/>
      <c r="AA133" s="63" t="s">
        <v>579</v>
      </c>
      <c r="AB133" s="48" t="s">
        <v>587</v>
      </c>
      <c r="AC133" s="7"/>
      <c r="AD133" s="72"/>
      <c r="AE133" s="67"/>
      <c r="AF133" s="7"/>
      <c r="AG133" s="72"/>
      <c r="AH133" s="67"/>
      <c r="AI133" s="7"/>
      <c r="AJ133" s="72"/>
      <c r="AK133" s="67"/>
    </row>
    <row r="134" spans="1:37" x14ac:dyDescent="0.3">
      <c r="A134" s="43" t="str">
        <f>INDEX(Table_Numbering[L1],MATCH(Table681620[[#This Row],[L1]],Table_Numbering[L1 Description (Cost Area)],0))</f>
        <v>A</v>
      </c>
      <c r="B134" s="43" t="str">
        <f>IFERROR(INDEX(Table_Numbering[L2],MATCH(Table681620[[#This Row],[L2]],Table_Numbering[L2 Description (Area)],0)),"0")</f>
        <v>3</v>
      </c>
      <c r="C134" s="43" t="str">
        <f>IFERROR(INDEX(Table_Numbering[L3],MATCH(Table681620[[#This Row],[L3]],Table_Numbering[L3 Description (Sub Area)],0)),"0")</f>
        <v>02</v>
      </c>
      <c r="D134" s="43" t="str">
        <f>Table681620[[#This Row],[N1]]&amp;Table681620[[#This Row],[N2]]&amp;Table681620[[#This Row],[N3]]</f>
        <v>A302</v>
      </c>
      <c r="E134" s="43" t="str">
        <f>TEXT(COUNTIF(C$7:C132,Table681620[[#This Row],[N3]]),"00")</f>
        <v>18</v>
      </c>
      <c r="F134" s="43">
        <f>COUNTIFS(J$7:J134,J134,K$7:K134,K134,L$7:L134,L134,M$7:M134,M134)</f>
        <v>1</v>
      </c>
      <c r="G134" s="43" t="str">
        <f>TEXT(COUNTIFS(A$7:A134,A134,B$7:B134,B134,E$7:E134,E134,F$7:F134,1),"00")</f>
        <v>01</v>
      </c>
      <c r="H134" s="43" t="str">
        <f t="shared" si="4"/>
        <v>00</v>
      </c>
      <c r="I134" s="44" t="str">
        <f t="shared" si="5"/>
        <v>4</v>
      </c>
      <c r="J134" s="45" t="s">
        <v>38</v>
      </c>
      <c r="K134" s="45" t="s">
        <v>391</v>
      </c>
      <c r="L134" s="45" t="s">
        <v>568</v>
      </c>
      <c r="M134" s="45" t="s">
        <v>307</v>
      </c>
      <c r="N134" s="45"/>
      <c r="O13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A3.02.18</v>
      </c>
      <c r="P134" s="59" t="s">
        <v>330</v>
      </c>
      <c r="Q134" s="59" t="s">
        <v>78</v>
      </c>
      <c r="R134" s="59" t="s">
        <v>441</v>
      </c>
      <c r="S134" s="59" t="s">
        <v>1857</v>
      </c>
      <c r="T134" s="58" t="str">
        <f>IF(Table681620[[#This Row],[LEVEL]]="5",Table681620[[#This Row],[L5]],
IF(Table681620[[#This Row],[LEVEL]]="4",Table681620[[#This Row],[L4]],
IF(Table681620[[#This Row],[LEVEL]]="3",Table681620[[#This Row],[L3]],
IF(Table681620[[#This Row],[LEVEL]]="2",Table681620[[#This Row],[L2]],
IF(Table681620[[#This Row],[LEVEL]]="1",Table681620[[#This Row],[L1]],"")))))</f>
        <v>Blockwork - 200 Series (Mech Stores)</v>
      </c>
      <c r="U134" s="47" t="s">
        <v>246</v>
      </c>
      <c r="V134" s="47" t="s">
        <v>44</v>
      </c>
      <c r="W134" s="70"/>
      <c r="X134" s="48"/>
      <c r="Y134" s="62">
        <f>Table681620[[#This Row],[Qty]]*Table681620[[#This Row],[Rate]]</f>
        <v>0</v>
      </c>
      <c r="Z134" s="51"/>
      <c r="AA134" s="63" t="s">
        <v>591</v>
      </c>
      <c r="AB134" s="48" t="s">
        <v>592</v>
      </c>
      <c r="AC134" s="7"/>
      <c r="AD134" s="72"/>
      <c r="AE134" s="67"/>
      <c r="AF134" s="7"/>
      <c r="AG134" s="72"/>
      <c r="AH134" s="67"/>
      <c r="AI134" s="7"/>
      <c r="AJ134" s="72"/>
      <c r="AK134" s="67"/>
    </row>
    <row r="135" spans="1:37" x14ac:dyDescent="0.3">
      <c r="A135" s="43" t="str">
        <f>INDEX(Table_Numbering[L1],MATCH(Table681620[[#This Row],[L1]],Table_Numbering[L1 Description (Cost Area)],0))</f>
        <v>A</v>
      </c>
      <c r="B135" s="43" t="str">
        <f>IFERROR(INDEX(Table_Numbering[L2],MATCH(Table681620[[#This Row],[L2]],Table_Numbering[L2 Description (Area)],0)),"0")</f>
        <v>3</v>
      </c>
      <c r="C135" s="43" t="str">
        <f>IFERROR(INDEX(Table_Numbering[L3],MATCH(Table681620[[#This Row],[L3]],Table_Numbering[L3 Description (Sub Area)],0)),"0")</f>
        <v>02</v>
      </c>
      <c r="D135" s="43" t="str">
        <f>Table681620[[#This Row],[N1]]&amp;Table681620[[#This Row],[N2]]&amp;Table681620[[#This Row],[N3]]</f>
        <v>A302</v>
      </c>
      <c r="E135" s="43" t="str">
        <f>TEXT(COUNTIF(C$7:C133,Table681620[[#This Row],[N3]]),"00")</f>
        <v>19</v>
      </c>
      <c r="F135" s="43">
        <f>COUNTIFS(J$7:J135,J135,K$7:K135,K135,L$7:L135,L135,M$7:M135,M135)</f>
        <v>1</v>
      </c>
      <c r="G135" s="43" t="str">
        <f>TEXT(COUNTIFS(A$7:A135,A135,B$7:B135,B135,E$7:E135,E135,F$7:F135,1),"00")</f>
        <v>01</v>
      </c>
      <c r="H135" s="43" t="str">
        <f t="shared" si="4"/>
        <v>00</v>
      </c>
      <c r="I135" s="44" t="str">
        <f t="shared" si="5"/>
        <v>4</v>
      </c>
      <c r="J135" s="45" t="s">
        <v>38</v>
      </c>
      <c r="K135" s="45" t="s">
        <v>391</v>
      </c>
      <c r="L135" s="45" t="s">
        <v>568</v>
      </c>
      <c r="M135" s="45" t="s">
        <v>593</v>
      </c>
      <c r="N135" s="45"/>
      <c r="O13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A3.02.19</v>
      </c>
      <c r="P135" s="59" t="s">
        <v>330</v>
      </c>
      <c r="Q135" s="59" t="s">
        <v>78</v>
      </c>
      <c r="R135" s="59" t="s">
        <v>441</v>
      </c>
      <c r="S135" s="59" t="s">
        <v>1858</v>
      </c>
      <c r="T135" s="58" t="str">
        <f>IF(Table681620[[#This Row],[LEVEL]]="5",Table681620[[#This Row],[L5]],
IF(Table681620[[#This Row],[LEVEL]]="4",Table681620[[#This Row],[L4]],
IF(Table681620[[#This Row],[LEVEL]]="3",Table681620[[#This Row],[L3]],
IF(Table681620[[#This Row],[LEVEL]]="2",Table681620[[#This Row],[L2]],
IF(Table681620[[#This Row],[LEVEL]]="1",Table681620[[#This Row],[L1]],"")))))</f>
        <v>Lintels (L1, L2)</v>
      </c>
      <c r="U135" s="47" t="s">
        <v>574</v>
      </c>
      <c r="V135" s="47" t="s">
        <v>44</v>
      </c>
      <c r="W135" s="70"/>
      <c r="X135" s="48"/>
      <c r="Y135" s="62">
        <f>Table681620[[#This Row],[Qty]]*Table681620[[#This Row],[Rate]]</f>
        <v>0</v>
      </c>
      <c r="Z135" s="51"/>
      <c r="AA135" s="63" t="s">
        <v>594</v>
      </c>
      <c r="AB135" s="48" t="s">
        <v>595</v>
      </c>
      <c r="AC135" s="7"/>
      <c r="AD135" s="72"/>
      <c r="AE135" s="67"/>
      <c r="AF135" s="7"/>
      <c r="AG135" s="72"/>
      <c r="AH135" s="67"/>
      <c r="AI135" s="7"/>
      <c r="AJ135" s="72"/>
      <c r="AK135" s="67"/>
    </row>
    <row r="136" spans="1:37" x14ac:dyDescent="0.3">
      <c r="A136" s="43" t="str">
        <f>INDEX(Table_Numbering[L1],MATCH(Table681620[[#This Row],[L1]],Table_Numbering[L1 Description (Cost Area)],0))</f>
        <v>A</v>
      </c>
      <c r="B136" s="43" t="str">
        <f>IFERROR(INDEX(Table_Numbering[L2],MATCH(Table681620[[#This Row],[L2]],Table_Numbering[L2 Description (Area)],0)),"0")</f>
        <v>3</v>
      </c>
      <c r="C136" s="43" t="str">
        <f>IFERROR(INDEX(Table_Numbering[L3],MATCH(Table681620[[#This Row],[L3]],Table_Numbering[L3 Description (Sub Area)],0)),"0")</f>
        <v>03</v>
      </c>
      <c r="D136" s="43" t="str">
        <f>Table681620[[#This Row],[N1]]&amp;Table681620[[#This Row],[N2]]&amp;Table681620[[#This Row],[N3]]</f>
        <v>A303</v>
      </c>
      <c r="E136" s="43" t="str">
        <f>TEXT(COUNTIF(C$7:C134,Table681620[[#This Row],[N3]]),"00")</f>
        <v>12</v>
      </c>
      <c r="F136" s="43">
        <f>COUNTIFS(J$7:J136,J136,K$7:K136,K136,L$7:L136,L136,M$7:M136,M136)</f>
        <v>0</v>
      </c>
      <c r="G136" s="43" t="str">
        <f>TEXT(COUNTIFS(A$7:A136,A136,B$7:B136,B136,E$7:E136,E136,F$7:F136,1),"00")</f>
        <v>01</v>
      </c>
      <c r="H136" s="43" t="str">
        <f t="shared" si="4"/>
        <v>00</v>
      </c>
      <c r="I136" s="44" t="str">
        <f t="shared" si="5"/>
        <v>3</v>
      </c>
      <c r="J136" s="45" t="s">
        <v>38</v>
      </c>
      <c r="K136" s="45" t="s">
        <v>391</v>
      </c>
      <c r="L136" s="45" t="s">
        <v>596</v>
      </c>
      <c r="M136" s="45"/>
      <c r="N136" s="45"/>
      <c r="O13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A3.03</v>
      </c>
      <c r="P136" s="59"/>
      <c r="Q136" s="59"/>
      <c r="R136" s="59"/>
      <c r="S136" s="59"/>
      <c r="T136" s="55" t="str">
        <f>IF(Table681620[[#This Row],[LEVEL]]="5",Table681620[[#This Row],[L5]],
IF(Table681620[[#This Row],[LEVEL]]="4",Table681620[[#This Row],[L4]],
IF(Table681620[[#This Row],[LEVEL]]="3",Table681620[[#This Row],[L3]],
IF(Table681620[[#This Row],[LEVEL]]="2",Table681620[[#This Row],[L2]],
IF(Table681620[[#This Row],[LEVEL]]="1",Table681620[[#This Row],[L1]],"")))))</f>
        <v>ROOF</v>
      </c>
      <c r="U136" s="47"/>
      <c r="V136" s="47"/>
      <c r="W136" s="70"/>
      <c r="X136" s="48"/>
      <c r="Y136" s="50">
        <f>SUBTOTAL(9,Y137:Y143)</f>
        <v>0</v>
      </c>
      <c r="Z136" s="51"/>
      <c r="AA136" s="63"/>
      <c r="AB136" s="48"/>
      <c r="AC136" s="7"/>
      <c r="AD136" s="72"/>
      <c r="AE136" s="67"/>
      <c r="AF136" s="7"/>
      <c r="AG136" s="72"/>
      <c r="AH136" s="67"/>
      <c r="AI136" s="7"/>
      <c r="AJ136" s="72"/>
      <c r="AK136" s="67"/>
    </row>
    <row r="137" spans="1:37" x14ac:dyDescent="0.3">
      <c r="A137" s="43" t="str">
        <f>INDEX(Table_Numbering[L1],MATCH(Table681620[[#This Row],[L1]],Table_Numbering[L1 Description (Cost Area)],0))</f>
        <v>A</v>
      </c>
      <c r="B137" s="43" t="str">
        <f>IFERROR(INDEX(Table_Numbering[L2],MATCH(Table681620[[#This Row],[L2]],Table_Numbering[L2 Description (Area)],0)),"0")</f>
        <v>3</v>
      </c>
      <c r="C137" s="43" t="str">
        <f>IFERROR(INDEX(Table_Numbering[L3],MATCH(Table681620[[#This Row],[L3]],Table_Numbering[L3 Description (Sub Area)],0)),"0")</f>
        <v>03</v>
      </c>
      <c r="D137" s="43" t="str">
        <f>Table681620[[#This Row],[N1]]&amp;Table681620[[#This Row],[N2]]&amp;Table681620[[#This Row],[N3]]</f>
        <v>A303</v>
      </c>
      <c r="E137" s="43" t="str">
        <f>TEXT(COUNTIF(C$7:C135,Table681620[[#This Row],[N3]]),"00")</f>
        <v>12</v>
      </c>
      <c r="F137" s="43">
        <f>COUNTIFS(J$7:J137,J137,K$7:K137,K137,L$7:L137,L137,M$7:M137,M137)</f>
        <v>1</v>
      </c>
      <c r="G137" s="43" t="str">
        <f>TEXT(COUNTIFS(A$7:A137,A137,B$7:B137,B137,E$7:E137,E137,F$7:F137,1),"00")</f>
        <v>02</v>
      </c>
      <c r="H137" s="43" t="str">
        <f t="shared" si="4"/>
        <v>00</v>
      </c>
      <c r="I137" s="44" t="str">
        <f t="shared" si="5"/>
        <v>4</v>
      </c>
      <c r="J137" s="45" t="s">
        <v>38</v>
      </c>
      <c r="K137" s="45" t="s">
        <v>391</v>
      </c>
      <c r="L137" s="45" t="s">
        <v>596</v>
      </c>
      <c r="M137" s="45" t="s">
        <v>598</v>
      </c>
      <c r="N137" s="45"/>
      <c r="O13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A3.03.12</v>
      </c>
      <c r="P137" s="59" t="s">
        <v>348</v>
      </c>
      <c r="Q137" s="59" t="s">
        <v>78</v>
      </c>
      <c r="R137" s="59" t="s">
        <v>429</v>
      </c>
      <c r="S137" s="59" t="s">
        <v>1859</v>
      </c>
      <c r="T137" s="58" t="str">
        <f>IF(Table681620[[#This Row],[LEVEL]]="5",Table681620[[#This Row],[L5]],
IF(Table681620[[#This Row],[LEVEL]]="4",Table681620[[#This Row],[L4]],
IF(Table681620[[#This Row],[LEVEL]]="3",Table681620[[#This Row],[L3]],
IF(Table681620[[#This Row],[LEVEL]]="2",Table681620[[#This Row],[L2]],
IF(Table681620[[#This Row],[LEVEL]]="1",Table681620[[#This Row],[L1]],"")))))</f>
        <v>Roof Trusses (T1)</v>
      </c>
      <c r="U137" s="47" t="s">
        <v>574</v>
      </c>
      <c r="V137" s="47" t="s">
        <v>44</v>
      </c>
      <c r="W137" s="70"/>
      <c r="X137" s="48"/>
      <c r="Y137" s="62">
        <f>Table681620[[#This Row],[Qty]]*Table681620[[#This Row],[Rate]]</f>
        <v>0</v>
      </c>
      <c r="Z137" s="51"/>
      <c r="AA137" s="63" t="s">
        <v>599</v>
      </c>
      <c r="AB137" s="48" t="s">
        <v>600</v>
      </c>
      <c r="AC137" s="7"/>
      <c r="AD137" s="72"/>
      <c r="AE137" s="67"/>
      <c r="AF137" s="7"/>
      <c r="AG137" s="72"/>
      <c r="AH137" s="67"/>
      <c r="AI137" s="7"/>
      <c r="AJ137" s="72"/>
      <c r="AK137" s="67"/>
    </row>
    <row r="138" spans="1:37" x14ac:dyDescent="0.3">
      <c r="A138" s="43" t="str">
        <f>INDEX(Table_Numbering[L1],MATCH(Table681620[[#This Row],[L1]],Table_Numbering[L1 Description (Cost Area)],0))</f>
        <v>A</v>
      </c>
      <c r="B138" s="43" t="str">
        <f>IFERROR(INDEX(Table_Numbering[L2],MATCH(Table681620[[#This Row],[L2]],Table_Numbering[L2 Description (Area)],0)),"0")</f>
        <v>3</v>
      </c>
      <c r="C138" s="43" t="str">
        <f>IFERROR(INDEX(Table_Numbering[L3],MATCH(Table681620[[#This Row],[L3]],Table_Numbering[L3 Description (Sub Area)],0)),"0")</f>
        <v>03</v>
      </c>
      <c r="D138" s="43" t="str">
        <f>Table681620[[#This Row],[N1]]&amp;Table681620[[#This Row],[N2]]&amp;Table681620[[#This Row],[N3]]</f>
        <v>A303</v>
      </c>
      <c r="E138" s="43" t="str">
        <f>TEXT(COUNTIF(C$7:C136,Table681620[[#This Row],[N3]]),"00")</f>
        <v>13</v>
      </c>
      <c r="F138" s="43">
        <f>COUNTIFS(J$7:J138,J138,K$7:K138,K138,L$7:L138,L138,M$7:M138,M138)</f>
        <v>1</v>
      </c>
      <c r="G138" s="43" t="str">
        <f>TEXT(COUNTIFS(A$7:A138,A138,B$7:B138,B138,E$7:E138,E138,F$7:F138,1),"00")</f>
        <v>02</v>
      </c>
      <c r="H138" s="43" t="str">
        <f t="shared" ref="H138:H201" si="6">TEXT(IF(ISBLANK(N138),0,IF(ISBLANK(N136),1,H136+1)),"00")</f>
        <v>00</v>
      </c>
      <c r="I138" s="44" t="str">
        <f t="shared" ref="I138:I201" si="7">IF(AND(ISBLANK(J138),ISBLANK(K138),ISBLANK(L138),ISBLANK(M138),ISBLANK(N138)),"0",
IF(AND(ISBLANK(K138),ISBLANK(L138),ISBLANK(M138),ISBLANK(N138)),"1",
IF(AND(ISBLANK(L138),ISBLANK(M138),ISBLANK(N138)),"2",
IF(AND(ISBLANK(M138),ISBLANK(N138)),"3",
IF(AND(ISBLANK(N138)),"4","5")))))</f>
        <v>4</v>
      </c>
      <c r="J138" s="45" t="s">
        <v>38</v>
      </c>
      <c r="K138" s="45" t="s">
        <v>391</v>
      </c>
      <c r="L138" s="45" t="s">
        <v>596</v>
      </c>
      <c r="M138" s="45" t="s">
        <v>601</v>
      </c>
      <c r="N138" s="45"/>
      <c r="O13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A3.03.13</v>
      </c>
      <c r="P138" s="59" t="s">
        <v>348</v>
      </c>
      <c r="Q138" s="59" t="s">
        <v>78</v>
      </c>
      <c r="R138" s="59" t="s">
        <v>429</v>
      </c>
      <c r="S138" s="59" t="s">
        <v>1860</v>
      </c>
      <c r="T138" s="58" t="str">
        <f>IF(Table681620[[#This Row],[LEVEL]]="5",Table681620[[#This Row],[L5]],
IF(Table681620[[#This Row],[LEVEL]]="4",Table681620[[#This Row],[L4]],
IF(Table681620[[#This Row],[LEVEL]]="3",Table681620[[#This Row],[L3]],
IF(Table681620[[#This Row],[LEVEL]]="2",Table681620[[#This Row],[L2]],
IF(Table681620[[#This Row],[LEVEL]]="1",Table681620[[#This Row],[L1]],"")))))</f>
        <v>Purlins (P1)</v>
      </c>
      <c r="U138" s="47" t="s">
        <v>253</v>
      </c>
      <c r="V138" s="47" t="s">
        <v>44</v>
      </c>
      <c r="W138" s="70"/>
      <c r="X138" s="48"/>
      <c r="Y138" s="62">
        <f>Table681620[[#This Row],[Qty]]*Table681620[[#This Row],[Rate]]</f>
        <v>0</v>
      </c>
      <c r="Z138" s="51"/>
      <c r="AA138" s="63" t="s">
        <v>579</v>
      </c>
      <c r="AB138" s="48" t="s">
        <v>602</v>
      </c>
      <c r="AC138" s="7"/>
      <c r="AD138" s="72"/>
      <c r="AE138" s="67"/>
      <c r="AF138" s="7"/>
      <c r="AG138" s="72"/>
      <c r="AH138" s="67"/>
      <c r="AI138" s="7"/>
      <c r="AJ138" s="72"/>
      <c r="AK138" s="67"/>
    </row>
    <row r="139" spans="1:37" x14ac:dyDescent="0.3">
      <c r="A139" s="43" t="str">
        <f>INDEX(Table_Numbering[L1],MATCH(Table681620[[#This Row],[L1]],Table_Numbering[L1 Description (Cost Area)],0))</f>
        <v>A</v>
      </c>
      <c r="B139" s="43" t="str">
        <f>IFERROR(INDEX(Table_Numbering[L2],MATCH(Table681620[[#This Row],[L2]],Table_Numbering[L2 Description (Area)],0)),"0")</f>
        <v>3</v>
      </c>
      <c r="C139" s="43" t="str">
        <f>IFERROR(INDEX(Table_Numbering[L3],MATCH(Table681620[[#This Row],[L3]],Table_Numbering[L3 Description (Sub Area)],0)),"0")</f>
        <v>03</v>
      </c>
      <c r="D139" s="43" t="str">
        <f>Table681620[[#This Row],[N1]]&amp;Table681620[[#This Row],[N2]]&amp;Table681620[[#This Row],[N3]]</f>
        <v>A303</v>
      </c>
      <c r="E139" s="43" t="str">
        <f>TEXT(COUNTIF(C$7:C137,Table681620[[#This Row],[N3]]),"00")</f>
        <v>14</v>
      </c>
      <c r="F139" s="43">
        <f>COUNTIFS(J$7:J139,J139,K$7:K139,K139,L$7:L139,L139,M$7:M139,M139)</f>
        <v>1</v>
      </c>
      <c r="G139" s="43" t="str">
        <f>TEXT(COUNTIFS(A$7:A139,A139,B$7:B139,B139,E$7:E139,E139,F$7:F139,1),"00")</f>
        <v>02</v>
      </c>
      <c r="H139" s="43" t="str">
        <f t="shared" si="6"/>
        <v>00</v>
      </c>
      <c r="I139" s="44" t="str">
        <f t="shared" si="7"/>
        <v>4</v>
      </c>
      <c r="J139" s="45" t="s">
        <v>38</v>
      </c>
      <c r="K139" s="45" t="s">
        <v>391</v>
      </c>
      <c r="L139" s="45" t="s">
        <v>596</v>
      </c>
      <c r="M139" s="45" t="s">
        <v>604</v>
      </c>
      <c r="N139" s="45"/>
      <c r="O13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A3.03.14</v>
      </c>
      <c r="P139" s="59" t="s">
        <v>348</v>
      </c>
      <c r="Q139" s="59" t="s">
        <v>78</v>
      </c>
      <c r="R139" s="59" t="s">
        <v>603</v>
      </c>
      <c r="S139" s="59" t="s">
        <v>1861</v>
      </c>
      <c r="T139" s="58" t="str">
        <f>IF(Table681620[[#This Row],[LEVEL]]="5",Table681620[[#This Row],[L5]],
IF(Table681620[[#This Row],[LEVEL]]="4",Table681620[[#This Row],[L4]],
IF(Table681620[[#This Row],[LEVEL]]="3",Table681620[[#This Row],[L3]],
IF(Table681620[[#This Row],[LEVEL]]="2",Table681620[[#This Row],[L2]],
IF(Table681620[[#This Row],[LEVEL]]="1",Table681620[[#This Row],[L1]],"")))))</f>
        <v>Roof Sheeting - Strammit Monoclad</v>
      </c>
      <c r="U139" s="47" t="s">
        <v>246</v>
      </c>
      <c r="V139" s="47" t="s">
        <v>44</v>
      </c>
      <c r="W139" s="70"/>
      <c r="X139" s="48"/>
      <c r="Y139" s="62">
        <f>Table681620[[#This Row],[Qty]]*Table681620[[#This Row],[Rate]]</f>
        <v>0</v>
      </c>
      <c r="Z139" s="51"/>
      <c r="AA139" s="63" t="s">
        <v>605</v>
      </c>
      <c r="AB139" s="48" t="s">
        <v>606</v>
      </c>
      <c r="AC139" s="7"/>
      <c r="AD139" s="72"/>
      <c r="AE139" s="67"/>
      <c r="AF139" s="7"/>
      <c r="AG139" s="72"/>
      <c r="AH139" s="67"/>
      <c r="AI139" s="7"/>
      <c r="AJ139" s="72"/>
      <c r="AK139" s="67"/>
    </row>
    <row r="140" spans="1:37" x14ac:dyDescent="0.3">
      <c r="A140" s="43" t="str">
        <f>INDEX(Table_Numbering[L1],MATCH(Table681620[[#This Row],[L1]],Table_Numbering[L1 Description (Cost Area)],0))</f>
        <v>A</v>
      </c>
      <c r="B140" s="43" t="str">
        <f>IFERROR(INDEX(Table_Numbering[L2],MATCH(Table681620[[#This Row],[L2]],Table_Numbering[L2 Description (Area)],0)),"0")</f>
        <v>3</v>
      </c>
      <c r="C140" s="43" t="str">
        <f>IFERROR(INDEX(Table_Numbering[L3],MATCH(Table681620[[#This Row],[L3]],Table_Numbering[L3 Description (Sub Area)],0)),"0")</f>
        <v>03</v>
      </c>
      <c r="D140" s="43" t="str">
        <f>Table681620[[#This Row],[N1]]&amp;Table681620[[#This Row],[N2]]&amp;Table681620[[#This Row],[N3]]</f>
        <v>A303</v>
      </c>
      <c r="E140" s="43" t="str">
        <f>TEXT(COUNTIF(C$7:C138,Table681620[[#This Row],[N3]]),"00")</f>
        <v>15</v>
      </c>
      <c r="F140" s="43">
        <f>COUNTIFS(J$7:J140,J140,K$7:K140,K140,L$7:L140,L140,M$7:M140,M140)</f>
        <v>1</v>
      </c>
      <c r="G140" s="43" t="str">
        <f>TEXT(COUNTIFS(A$7:A140,A140,B$7:B140,B140,E$7:E140,E140,F$7:F140,1),"00")</f>
        <v>02</v>
      </c>
      <c r="H140" s="43" t="str">
        <f t="shared" si="6"/>
        <v>00</v>
      </c>
      <c r="I140" s="44" t="str">
        <f t="shared" si="7"/>
        <v>4</v>
      </c>
      <c r="J140" s="45" t="s">
        <v>38</v>
      </c>
      <c r="K140" s="45" t="s">
        <v>391</v>
      </c>
      <c r="L140" s="45" t="s">
        <v>596</v>
      </c>
      <c r="M140" s="45" t="s">
        <v>308</v>
      </c>
      <c r="N140" s="45"/>
      <c r="O14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A3.03.15</v>
      </c>
      <c r="P140" s="59" t="s">
        <v>348</v>
      </c>
      <c r="Q140" s="59" t="s">
        <v>78</v>
      </c>
      <c r="R140" s="59" t="s">
        <v>603</v>
      </c>
      <c r="S140" s="59" t="s">
        <v>1862</v>
      </c>
      <c r="T140" s="58" t="str">
        <f>IF(Table681620[[#This Row],[LEVEL]]="5",Table681620[[#This Row],[L5]],
IF(Table681620[[#This Row],[LEVEL]]="4",Table681620[[#This Row],[L4]],
IF(Table681620[[#This Row],[LEVEL]]="3",Table681620[[#This Row],[L3]],
IF(Table681620[[#This Row],[LEVEL]]="2",Table681620[[#This Row],[L2]],
IF(Table681620[[#This Row],[LEVEL]]="1",Table681620[[#This Row],[L1]],"")))))</f>
        <v>Roof Insulation</v>
      </c>
      <c r="U140" s="47" t="s">
        <v>246</v>
      </c>
      <c r="V140" s="47" t="s">
        <v>44</v>
      </c>
      <c r="W140" s="70"/>
      <c r="X140" s="48"/>
      <c r="Y140" s="62">
        <f>Table681620[[#This Row],[Qty]]*Table681620[[#This Row],[Rate]]</f>
        <v>0</v>
      </c>
      <c r="Z140" s="51"/>
      <c r="AA140" s="63" t="s">
        <v>605</v>
      </c>
      <c r="AB140" s="48" t="s">
        <v>606</v>
      </c>
      <c r="AC140" s="7"/>
      <c r="AD140" s="72"/>
      <c r="AE140" s="67"/>
      <c r="AF140" s="7"/>
      <c r="AG140" s="72"/>
      <c r="AH140" s="67"/>
      <c r="AI140" s="7"/>
      <c r="AJ140" s="72"/>
      <c r="AK140" s="67"/>
    </row>
    <row r="141" spans="1:37" x14ac:dyDescent="0.3">
      <c r="A141" s="43" t="str">
        <f>INDEX(Table_Numbering[L1],MATCH(Table681620[[#This Row],[L1]],Table_Numbering[L1 Description (Cost Area)],0))</f>
        <v>A</v>
      </c>
      <c r="B141" s="43" t="str">
        <f>IFERROR(INDEX(Table_Numbering[L2],MATCH(Table681620[[#This Row],[L2]],Table_Numbering[L2 Description (Area)],0)),"0")</f>
        <v>3</v>
      </c>
      <c r="C141" s="43" t="str">
        <f>IFERROR(INDEX(Table_Numbering[L3],MATCH(Table681620[[#This Row],[L3]],Table_Numbering[L3 Description (Sub Area)],0)),"0")</f>
        <v>03</v>
      </c>
      <c r="D141" s="43" t="str">
        <f>Table681620[[#This Row],[N1]]&amp;Table681620[[#This Row],[N2]]&amp;Table681620[[#This Row],[N3]]</f>
        <v>A303</v>
      </c>
      <c r="E141" s="43" t="str">
        <f>TEXT(COUNTIF(C$7:C139,Table681620[[#This Row],[N3]]),"00")</f>
        <v>16</v>
      </c>
      <c r="F141" s="43">
        <f>COUNTIFS(J$7:J141,J141,K$7:K141,K141,L$7:L141,L141,M$7:M141,M141)</f>
        <v>1</v>
      </c>
      <c r="G141" s="43" t="str">
        <f>TEXT(COUNTIFS(A$7:A141,A141,B$7:B141,B141,E$7:E141,E141,F$7:F141,1),"00")</f>
        <v>02</v>
      </c>
      <c r="H141" s="43" t="str">
        <f t="shared" si="6"/>
        <v>00</v>
      </c>
      <c r="I141" s="44" t="str">
        <f t="shared" si="7"/>
        <v>4</v>
      </c>
      <c r="J141" s="45" t="s">
        <v>38</v>
      </c>
      <c r="K141" s="45" t="s">
        <v>391</v>
      </c>
      <c r="L141" s="45" t="s">
        <v>596</v>
      </c>
      <c r="M141" s="45" t="s">
        <v>309</v>
      </c>
      <c r="N141" s="45"/>
      <c r="O14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A3.03.16</v>
      </c>
      <c r="P141" s="59" t="s">
        <v>348</v>
      </c>
      <c r="Q141" s="59" t="s">
        <v>78</v>
      </c>
      <c r="R141" s="59" t="s">
        <v>607</v>
      </c>
      <c r="S141" s="59" t="s">
        <v>1863</v>
      </c>
      <c r="T141" s="58" t="str">
        <f>IF(Table681620[[#This Row],[LEVEL]]="5",Table681620[[#This Row],[L5]],
IF(Table681620[[#This Row],[LEVEL]]="4",Table681620[[#This Row],[L4]],
IF(Table681620[[#This Row],[LEVEL]]="3",Table681620[[#This Row],[L3]],
IF(Table681620[[#This Row],[LEVEL]]="2",Table681620[[#This Row],[L2]],
IF(Table681620[[#This Row],[LEVEL]]="1",Table681620[[#This Row],[L1]],"")))))</f>
        <v>Gutters &amp; Downpipes</v>
      </c>
      <c r="U141" s="47" t="s">
        <v>253</v>
      </c>
      <c r="V141" s="47" t="s">
        <v>44</v>
      </c>
      <c r="W141" s="70"/>
      <c r="X141" s="48"/>
      <c r="Y141" s="62">
        <f>Table681620[[#This Row],[Qty]]*Table681620[[#This Row],[Rate]]</f>
        <v>0</v>
      </c>
      <c r="Z141" s="51"/>
      <c r="AA141" s="63" t="s">
        <v>579</v>
      </c>
      <c r="AB141" s="48" t="s">
        <v>608</v>
      </c>
      <c r="AC141" s="7"/>
      <c r="AD141" s="72"/>
      <c r="AE141" s="67"/>
      <c r="AF141" s="7"/>
      <c r="AG141" s="72"/>
      <c r="AH141" s="67"/>
      <c r="AI141" s="7"/>
      <c r="AJ141" s="72"/>
      <c r="AK141" s="67"/>
    </row>
    <row r="142" spans="1:37" x14ac:dyDescent="0.3">
      <c r="A142" s="43" t="str">
        <f>INDEX(Table_Numbering[L1],MATCH(Table681620[[#This Row],[L1]],Table_Numbering[L1 Description (Cost Area)],0))</f>
        <v>A</v>
      </c>
      <c r="B142" s="43" t="str">
        <f>IFERROR(INDEX(Table_Numbering[L2],MATCH(Table681620[[#This Row],[L2]],Table_Numbering[L2 Description (Area)],0)),"0")</f>
        <v>3</v>
      </c>
      <c r="C142" s="43" t="str">
        <f>IFERROR(INDEX(Table_Numbering[L3],MATCH(Table681620[[#This Row],[L3]],Table_Numbering[L3 Description (Sub Area)],0)),"0")</f>
        <v>03</v>
      </c>
      <c r="D142" s="43" t="str">
        <f>Table681620[[#This Row],[N1]]&amp;Table681620[[#This Row],[N2]]&amp;Table681620[[#This Row],[N3]]</f>
        <v>A303</v>
      </c>
      <c r="E142" s="43" t="str">
        <f>TEXT(COUNTIF(C$7:C140,Table681620[[#This Row],[N3]]),"00")</f>
        <v>17</v>
      </c>
      <c r="F142" s="43">
        <f>COUNTIFS(J$7:J142,J142,K$7:K142,K142,L$7:L142,L142,M$7:M142,M142)</f>
        <v>1</v>
      </c>
      <c r="G142" s="43" t="str">
        <f>TEXT(COUNTIFS(A$7:A142,A142,B$7:B142,B142,E$7:E142,E142,F$7:F142,1),"00")</f>
        <v>02</v>
      </c>
      <c r="H142" s="43" t="str">
        <f t="shared" si="6"/>
        <v>00</v>
      </c>
      <c r="I142" s="44" t="str">
        <f t="shared" si="7"/>
        <v>4</v>
      </c>
      <c r="J142" s="45" t="s">
        <v>38</v>
      </c>
      <c r="K142" s="45" t="s">
        <v>391</v>
      </c>
      <c r="L142" s="45" t="s">
        <v>596</v>
      </c>
      <c r="M142" s="45" t="s">
        <v>310</v>
      </c>
      <c r="N142" s="45"/>
      <c r="O14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A3.03.17</v>
      </c>
      <c r="P142" s="59" t="s">
        <v>348</v>
      </c>
      <c r="Q142" s="59" t="s">
        <v>78</v>
      </c>
      <c r="R142" s="59" t="s">
        <v>603</v>
      </c>
      <c r="S142" s="59" t="s">
        <v>1864</v>
      </c>
      <c r="T142" s="58" t="str">
        <f>IF(Table681620[[#This Row],[LEVEL]]="5",Table681620[[#This Row],[L5]],
IF(Table681620[[#This Row],[LEVEL]]="4",Table681620[[#This Row],[L4]],
IF(Table681620[[#This Row],[LEVEL]]="3",Table681620[[#This Row],[L3]],
IF(Table681620[[#This Row],[LEVEL]]="2",Table681620[[#This Row],[L2]],
IF(Table681620[[#This Row],[LEVEL]]="1",Table681620[[#This Row],[L1]],"")))))</f>
        <v>Flashings &amp; Penetrations</v>
      </c>
      <c r="U142" s="47" t="s">
        <v>253</v>
      </c>
      <c r="V142" s="47" t="s">
        <v>44</v>
      </c>
      <c r="W142" s="70"/>
      <c r="X142" s="48"/>
      <c r="Y142" s="62">
        <f>Table681620[[#This Row],[Qty]]*Table681620[[#This Row],[Rate]]</f>
        <v>0</v>
      </c>
      <c r="Z142" s="51"/>
      <c r="AA142" s="63" t="s">
        <v>579</v>
      </c>
      <c r="AB142" s="48" t="s">
        <v>610</v>
      </c>
      <c r="AC142" s="7"/>
      <c r="AD142" s="72"/>
      <c r="AE142" s="67"/>
      <c r="AF142" s="7"/>
      <c r="AG142" s="72"/>
      <c r="AH142" s="67"/>
      <c r="AI142" s="7"/>
      <c r="AJ142" s="72"/>
      <c r="AK142" s="67"/>
    </row>
    <row r="143" spans="1:37" x14ac:dyDescent="0.3">
      <c r="A143" s="43" t="str">
        <f>INDEX(Table_Numbering[L1],MATCH(Table681620[[#This Row],[L1]],Table_Numbering[L1 Description (Cost Area)],0))</f>
        <v>A</v>
      </c>
      <c r="B143" s="43" t="str">
        <f>IFERROR(INDEX(Table_Numbering[L2],MATCH(Table681620[[#This Row],[L2]],Table_Numbering[L2 Description (Area)],0)),"0")</f>
        <v>3</v>
      </c>
      <c r="C143" s="43" t="str">
        <f>IFERROR(INDEX(Table_Numbering[L3],MATCH(Table681620[[#This Row],[L3]],Table_Numbering[L3 Description (Sub Area)],0)),"0")</f>
        <v>03</v>
      </c>
      <c r="D143" s="43" t="str">
        <f>Table681620[[#This Row],[N1]]&amp;Table681620[[#This Row],[N2]]&amp;Table681620[[#This Row],[N3]]</f>
        <v>A303</v>
      </c>
      <c r="E143" s="43" t="str">
        <f>TEXT(COUNTIF(C$7:C141,Table681620[[#This Row],[N3]]),"00")</f>
        <v>18</v>
      </c>
      <c r="F143" s="43">
        <f>COUNTIFS(J$7:J143,J143,K$7:K143,K143,L$7:L143,L143,M$7:M143,M143)</f>
        <v>1</v>
      </c>
      <c r="G143" s="43" t="str">
        <f>TEXT(COUNTIFS(A$7:A143,A143,B$7:B143,B143,E$7:E143,E143,F$7:F143,1),"00")</f>
        <v>02</v>
      </c>
      <c r="H143" s="43" t="str">
        <f t="shared" si="6"/>
        <v>00</v>
      </c>
      <c r="I143" s="44" t="str">
        <f t="shared" si="7"/>
        <v>4</v>
      </c>
      <c r="J143" s="45" t="s">
        <v>38</v>
      </c>
      <c r="K143" s="45" t="s">
        <v>391</v>
      </c>
      <c r="L143" s="45" t="s">
        <v>596</v>
      </c>
      <c r="M143" s="45" t="s">
        <v>311</v>
      </c>
      <c r="N143" s="45"/>
      <c r="O14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A3.03.18</v>
      </c>
      <c r="P143" s="59" t="s">
        <v>348</v>
      </c>
      <c r="Q143" s="59" t="s">
        <v>78</v>
      </c>
      <c r="R143" s="59" t="s">
        <v>603</v>
      </c>
      <c r="S143" s="59" t="s">
        <v>1865</v>
      </c>
      <c r="T143" s="58" t="str">
        <f>IF(Table681620[[#This Row],[LEVEL]]="5",Table681620[[#This Row],[L5]],
IF(Table681620[[#This Row],[LEVEL]]="4",Table681620[[#This Row],[L4]],
IF(Table681620[[#This Row],[LEVEL]]="3",Table681620[[#This Row],[L3]],
IF(Table681620[[#This Row],[LEVEL]]="2",Table681620[[#This Row],[L2]],
IF(Table681620[[#This Row],[LEVEL]]="1",Table681620[[#This Row],[L1]],"")))))</f>
        <v>Awnings - Bondor Metecnospan</v>
      </c>
      <c r="U143" s="47" t="s">
        <v>246</v>
      </c>
      <c r="V143" s="47" t="s">
        <v>44</v>
      </c>
      <c r="W143" s="70"/>
      <c r="X143" s="48"/>
      <c r="Y143" s="62">
        <f>Table681620[[#This Row],[Qty]]*Table681620[[#This Row],[Rate]]</f>
        <v>0</v>
      </c>
      <c r="Z143" s="51"/>
      <c r="AA143" s="52" t="s">
        <v>605</v>
      </c>
      <c r="AB143" s="48" t="s">
        <v>606</v>
      </c>
      <c r="AC143" s="7"/>
      <c r="AD143" s="72"/>
      <c r="AE143" s="67"/>
      <c r="AF143" s="7"/>
      <c r="AG143" s="72"/>
      <c r="AH143" s="67"/>
      <c r="AI143" s="7"/>
      <c r="AJ143" s="72"/>
      <c r="AK143" s="67"/>
    </row>
    <row r="144" spans="1:37" x14ac:dyDescent="0.3">
      <c r="A144" s="43" t="str">
        <f>INDEX(Table_Numbering[L1],MATCH(Table681620[[#This Row],[L1]],Table_Numbering[L1 Description (Cost Area)],0))</f>
        <v>A</v>
      </c>
      <c r="B144" s="43" t="str">
        <f>IFERROR(INDEX(Table_Numbering[L2],MATCH(Table681620[[#This Row],[L2]],Table_Numbering[L2 Description (Area)],0)),"0")</f>
        <v>3</v>
      </c>
      <c r="C144" s="43" t="str">
        <f>IFERROR(INDEX(Table_Numbering[L3],MATCH(Table681620[[#This Row],[L3]],Table_Numbering[L3 Description (Sub Area)],0)),"0")</f>
        <v>04</v>
      </c>
      <c r="D144" s="43" t="str">
        <f>Table681620[[#This Row],[N1]]&amp;Table681620[[#This Row],[N2]]&amp;Table681620[[#This Row],[N3]]</f>
        <v>A304</v>
      </c>
      <c r="E144" s="43" t="str">
        <f>TEXT(COUNTIF(C$7:C142,Table681620[[#This Row],[N3]]),"00")</f>
        <v>12</v>
      </c>
      <c r="F144" s="43">
        <f>COUNTIFS(J$7:J144,J144,K$7:K144,K144,L$7:L144,L144,M$7:M144,M144)</f>
        <v>0</v>
      </c>
      <c r="G144" s="43" t="str">
        <f>TEXT(COUNTIFS(A$7:A144,A144,B$7:B144,B144,E$7:E144,E144,F$7:F144,1),"00")</f>
        <v>02</v>
      </c>
      <c r="H144" s="43" t="str">
        <f t="shared" si="6"/>
        <v>00</v>
      </c>
      <c r="I144" s="44" t="str">
        <f t="shared" si="7"/>
        <v>3</v>
      </c>
      <c r="J144" s="45" t="s">
        <v>38</v>
      </c>
      <c r="K144" s="45" t="s">
        <v>391</v>
      </c>
      <c r="L144" s="45" t="s">
        <v>612</v>
      </c>
      <c r="M144" s="45"/>
      <c r="N144" s="45"/>
      <c r="O14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A3.04</v>
      </c>
      <c r="P144" s="59"/>
      <c r="Q144" s="59"/>
      <c r="R144" s="59"/>
      <c r="S144" s="59"/>
      <c r="T144" s="55" t="str">
        <f>IF(Table681620[[#This Row],[LEVEL]]="5",Table681620[[#This Row],[L5]],
IF(Table681620[[#This Row],[LEVEL]]="4",Table681620[[#This Row],[L4]],
IF(Table681620[[#This Row],[LEVEL]]="3",Table681620[[#This Row],[L3]],
IF(Table681620[[#This Row],[LEVEL]]="2",Table681620[[#This Row],[L2]],
IF(Table681620[[#This Row],[LEVEL]]="1",Table681620[[#This Row],[L1]],"")))))</f>
        <v>EXTERNAL</v>
      </c>
      <c r="U144" s="47"/>
      <c r="V144" s="47"/>
      <c r="W144" s="70"/>
      <c r="X144" s="48"/>
      <c r="Y144" s="50">
        <f>SUBTOTAL(9,Y145:Y148)</f>
        <v>0</v>
      </c>
      <c r="Z144" s="51"/>
      <c r="AA144" s="52"/>
      <c r="AB144" s="48"/>
      <c r="AC144" s="7"/>
      <c r="AD144" s="72"/>
      <c r="AE144" s="67"/>
      <c r="AF144" s="7"/>
      <c r="AG144" s="72"/>
      <c r="AH144" s="67"/>
      <c r="AI144" s="7"/>
      <c r="AJ144" s="72"/>
      <c r="AK144" s="67"/>
    </row>
    <row r="145" spans="1:37" x14ac:dyDescent="0.3">
      <c r="A145" s="43" t="str">
        <f>INDEX(Table_Numbering[L1],MATCH(Table681620[[#This Row],[L1]],Table_Numbering[L1 Description (Cost Area)],0))</f>
        <v>A</v>
      </c>
      <c r="B145" s="43" t="str">
        <f>IFERROR(INDEX(Table_Numbering[L2],MATCH(Table681620[[#This Row],[L2]],Table_Numbering[L2 Description (Area)],0)),"0")</f>
        <v>3</v>
      </c>
      <c r="C145" s="43" t="str">
        <f>IFERROR(INDEX(Table_Numbering[L3],MATCH(Table681620[[#This Row],[L3]],Table_Numbering[L3 Description (Sub Area)],0)),"0")</f>
        <v>04</v>
      </c>
      <c r="D145" s="43" t="str">
        <f>Table681620[[#This Row],[N1]]&amp;Table681620[[#This Row],[N2]]&amp;Table681620[[#This Row],[N3]]</f>
        <v>A304</v>
      </c>
      <c r="E145" s="43" t="str">
        <f>TEXT(COUNTIF(C$7:C143,Table681620[[#This Row],[N3]]),"00")</f>
        <v>12</v>
      </c>
      <c r="F145" s="43">
        <f>COUNTIFS(J$7:J145,J145,K$7:K145,K145,L$7:L145,L145,M$7:M145,M145)</f>
        <v>1</v>
      </c>
      <c r="G145" s="43" t="str">
        <f>TEXT(COUNTIFS(A$7:A145,A145,B$7:B145,B145,E$7:E145,E145,F$7:F145,1),"00")</f>
        <v>03</v>
      </c>
      <c r="H145" s="43" t="str">
        <f t="shared" si="6"/>
        <v>00</v>
      </c>
      <c r="I145" s="44" t="str">
        <f t="shared" si="7"/>
        <v>4</v>
      </c>
      <c r="J145" s="45" t="s">
        <v>38</v>
      </c>
      <c r="K145" s="45" t="s">
        <v>391</v>
      </c>
      <c r="L145" s="45" t="s">
        <v>612</v>
      </c>
      <c r="M145" s="45" t="s">
        <v>355</v>
      </c>
      <c r="N145" s="45"/>
      <c r="O14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A3.04.12</v>
      </c>
      <c r="P145" s="59" t="s">
        <v>329</v>
      </c>
      <c r="Q145" s="59" t="s">
        <v>78</v>
      </c>
      <c r="R145" s="59" t="s">
        <v>613</v>
      </c>
      <c r="S145" s="59" t="s">
        <v>1866</v>
      </c>
      <c r="T145" s="58" t="str">
        <f>IF(Table681620[[#This Row],[LEVEL]]="5",Table681620[[#This Row],[L5]],
IF(Table681620[[#This Row],[LEVEL]]="4",Table681620[[#This Row],[L4]],
IF(Table681620[[#This Row],[LEVEL]]="3",Table681620[[#This Row],[L3]],
IF(Table681620[[#This Row],[LEVEL]]="2",Table681620[[#This Row],[L2]],
IF(Table681620[[#This Row],[LEVEL]]="1",Table681620[[#This Row],[L1]],"")))))</f>
        <v>External Cladding</v>
      </c>
      <c r="U145" s="47" t="s">
        <v>246</v>
      </c>
      <c r="V145" s="59" t="s">
        <v>44</v>
      </c>
      <c r="W145" s="72"/>
      <c r="X145" s="48"/>
      <c r="Y145" s="62">
        <f>Table681620[[#This Row],[Qty]]*Table681620[[#This Row],[Rate]]</f>
        <v>0</v>
      </c>
      <c r="Z145" s="51"/>
      <c r="AA145" s="52" t="s">
        <v>605</v>
      </c>
      <c r="AB145" s="48" t="s">
        <v>606</v>
      </c>
      <c r="AC145" s="7"/>
      <c r="AD145" s="72"/>
      <c r="AE145" s="67"/>
      <c r="AF145" s="7"/>
      <c r="AG145" s="72"/>
      <c r="AH145" s="67"/>
      <c r="AI145" s="7"/>
      <c r="AJ145" s="72"/>
      <c r="AK145" s="67"/>
    </row>
    <row r="146" spans="1:37" x14ac:dyDescent="0.3">
      <c r="A146" s="43" t="str">
        <f>INDEX(Table_Numbering[L1],MATCH(Table681620[[#This Row],[L1]],Table_Numbering[L1 Description (Cost Area)],0))</f>
        <v>A</v>
      </c>
      <c r="B146" s="43" t="str">
        <f>IFERROR(INDEX(Table_Numbering[L2],MATCH(Table681620[[#This Row],[L2]],Table_Numbering[L2 Description (Area)],0)),"0")</f>
        <v>3</v>
      </c>
      <c r="C146" s="43" t="str">
        <f>IFERROR(INDEX(Table_Numbering[L3],MATCH(Table681620[[#This Row],[L3]],Table_Numbering[L3 Description (Sub Area)],0)),"0")</f>
        <v>04</v>
      </c>
      <c r="D146" s="43" t="str">
        <f>Table681620[[#This Row],[N1]]&amp;Table681620[[#This Row],[N2]]&amp;Table681620[[#This Row],[N3]]</f>
        <v>A304</v>
      </c>
      <c r="E146" s="43" t="str">
        <f>TEXT(COUNTIF(C$7:C144,Table681620[[#This Row],[N3]]),"00")</f>
        <v>13</v>
      </c>
      <c r="F146" s="43">
        <f>COUNTIFS(J$7:J146,J146,K$7:K146,K146,L$7:L146,L146,M$7:M146,M146)</f>
        <v>1</v>
      </c>
      <c r="G146" s="43" t="str">
        <f>TEXT(COUNTIFS(A$7:A146,A146,B$7:B146,B146,E$7:E146,E146,F$7:F146,1),"00")</f>
        <v>03</v>
      </c>
      <c r="H146" s="43" t="str">
        <f t="shared" si="6"/>
        <v>00</v>
      </c>
      <c r="I146" s="44" t="str">
        <f t="shared" si="7"/>
        <v>4</v>
      </c>
      <c r="J146" s="45" t="s">
        <v>38</v>
      </c>
      <c r="K146" s="45" t="s">
        <v>391</v>
      </c>
      <c r="L146" s="45" t="s">
        <v>612</v>
      </c>
      <c r="M146" s="45" t="s">
        <v>313</v>
      </c>
      <c r="N146" s="45"/>
      <c r="O14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A3.04.13</v>
      </c>
      <c r="P146" s="59" t="s">
        <v>329</v>
      </c>
      <c r="Q146" s="59" t="s">
        <v>78</v>
      </c>
      <c r="R146" s="59" t="s">
        <v>613</v>
      </c>
      <c r="S146" s="59" t="s">
        <v>1867</v>
      </c>
      <c r="T146" s="58" t="str">
        <f>IF(Table681620[[#This Row],[LEVEL]]="5",Table681620[[#This Row],[L5]],
IF(Table681620[[#This Row],[LEVEL]]="4",Table681620[[#This Row],[L4]],
IF(Table681620[[#This Row],[LEVEL]]="3",Table681620[[#This Row],[L3]],
IF(Table681620[[#This Row],[LEVEL]]="2",Table681620[[#This Row],[L2]],
IF(Table681620[[#This Row],[LEVEL]]="1",Table681620[[#This Row],[L1]],"")))))</f>
        <v>Windows - G.James 475 Series (24 No.)</v>
      </c>
      <c r="U146" s="47" t="s">
        <v>574</v>
      </c>
      <c r="V146" s="47" t="s">
        <v>44</v>
      </c>
      <c r="W146" s="70"/>
      <c r="X146" s="48"/>
      <c r="Y146" s="62">
        <f>Table681620[[#This Row],[Qty]]*Table681620[[#This Row],[Rate]]</f>
        <v>0</v>
      </c>
      <c r="Z146" s="51"/>
      <c r="AA146" s="63" t="s">
        <v>614</v>
      </c>
      <c r="AB146" s="48" t="s">
        <v>615</v>
      </c>
      <c r="AC146" s="7"/>
      <c r="AD146" s="72"/>
      <c r="AE146" s="67"/>
      <c r="AF146" s="7"/>
      <c r="AG146" s="72"/>
      <c r="AH146" s="67"/>
      <c r="AI146" s="7"/>
      <c r="AJ146" s="72"/>
      <c r="AK146" s="67"/>
    </row>
    <row r="147" spans="1:37" x14ac:dyDescent="0.3">
      <c r="A147" s="43" t="str">
        <f>INDEX(Table_Numbering[L1],MATCH(Table681620[[#This Row],[L1]],Table_Numbering[L1 Description (Cost Area)],0))</f>
        <v>A</v>
      </c>
      <c r="B147" s="43" t="str">
        <f>IFERROR(INDEX(Table_Numbering[L2],MATCH(Table681620[[#This Row],[L2]],Table_Numbering[L2 Description (Area)],0)),"0")</f>
        <v>3</v>
      </c>
      <c r="C147" s="43" t="str">
        <f>IFERROR(INDEX(Table_Numbering[L3],MATCH(Table681620[[#This Row],[L3]],Table_Numbering[L3 Description (Sub Area)],0)),"0")</f>
        <v>04</v>
      </c>
      <c r="D147" s="43" t="str">
        <f>Table681620[[#This Row],[N1]]&amp;Table681620[[#This Row],[N2]]&amp;Table681620[[#This Row],[N3]]</f>
        <v>A304</v>
      </c>
      <c r="E147" s="43" t="str">
        <f>TEXT(COUNTIF(C$7:C145,Table681620[[#This Row],[N3]]),"00")</f>
        <v>14</v>
      </c>
      <c r="F147" s="43">
        <f>COUNTIFS(J$7:J147,J147,K$7:K147,K147,L$7:L147,L147,M$7:M147,M147)</f>
        <v>1</v>
      </c>
      <c r="G147" s="43" t="str">
        <f>TEXT(COUNTIFS(A$7:A147,A147,B$7:B147,B147,E$7:E147,E147,F$7:F147,1),"00")</f>
        <v>03</v>
      </c>
      <c r="H147" s="43" t="str">
        <f t="shared" si="6"/>
        <v>00</v>
      </c>
      <c r="I147" s="44" t="str">
        <f t="shared" si="7"/>
        <v>4</v>
      </c>
      <c r="J147" s="45" t="s">
        <v>38</v>
      </c>
      <c r="K147" s="45" t="s">
        <v>391</v>
      </c>
      <c r="L147" s="45" t="s">
        <v>612</v>
      </c>
      <c r="M147" s="45" t="s">
        <v>314</v>
      </c>
      <c r="N147" s="45"/>
      <c r="O14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A3.04.14</v>
      </c>
      <c r="P147" s="59" t="s">
        <v>329</v>
      </c>
      <c r="Q147" s="59" t="s">
        <v>78</v>
      </c>
      <c r="R147" s="59" t="s">
        <v>613</v>
      </c>
      <c r="S147" s="59" t="s">
        <v>1868</v>
      </c>
      <c r="T147" s="58" t="str">
        <f>IF(Table681620[[#This Row],[LEVEL]]="5",Table681620[[#This Row],[L5]],
IF(Table681620[[#This Row],[LEVEL]]="4",Table681620[[#This Row],[L4]],
IF(Table681620[[#This Row],[LEVEL]]="3",Table681620[[#This Row],[L3]],
IF(Table681620[[#This Row],[LEVEL]]="2",Table681620[[#This Row],[L2]],
IF(Table681620[[#This Row],[LEVEL]]="1",Table681620[[#This Row],[L1]],"")))))</f>
        <v>External Doors (Types A-K)</v>
      </c>
      <c r="U147" s="47" t="s">
        <v>574</v>
      </c>
      <c r="V147" s="47" t="s">
        <v>44</v>
      </c>
      <c r="W147" s="70"/>
      <c r="X147" s="48"/>
      <c r="Y147" s="62">
        <f>Table681620[[#This Row],[Qty]]*Table681620[[#This Row],[Rate]]</f>
        <v>0</v>
      </c>
      <c r="Z147" s="51"/>
      <c r="AA147" s="63" t="s">
        <v>616</v>
      </c>
      <c r="AB147" s="48" t="s">
        <v>617</v>
      </c>
      <c r="AC147" s="7"/>
      <c r="AD147" s="72"/>
      <c r="AE147" s="67"/>
      <c r="AF147" s="7"/>
      <c r="AG147" s="72"/>
      <c r="AH147" s="67"/>
      <c r="AI147" s="7"/>
      <c r="AJ147" s="72"/>
      <c r="AK147" s="67"/>
    </row>
    <row r="148" spans="1:37" x14ac:dyDescent="0.3">
      <c r="A148" s="43" t="str">
        <f>INDEX(Table_Numbering[L1],MATCH(Table681620[[#This Row],[L1]],Table_Numbering[L1 Description (Cost Area)],0))</f>
        <v>A</v>
      </c>
      <c r="B148" s="43" t="str">
        <f>IFERROR(INDEX(Table_Numbering[L2],MATCH(Table681620[[#This Row],[L2]],Table_Numbering[L2 Description (Area)],0)),"0")</f>
        <v>3</v>
      </c>
      <c r="C148" s="43" t="str">
        <f>IFERROR(INDEX(Table_Numbering[L3],MATCH(Table681620[[#This Row],[L3]],Table_Numbering[L3 Description (Sub Area)],0)),"0")</f>
        <v>04</v>
      </c>
      <c r="D148" s="43" t="str">
        <f>Table681620[[#This Row],[N1]]&amp;Table681620[[#This Row],[N2]]&amp;Table681620[[#This Row],[N3]]</f>
        <v>A304</v>
      </c>
      <c r="E148" s="43" t="str">
        <f>TEXT(COUNTIF(C$7:C146,Table681620[[#This Row],[N3]]),"00")</f>
        <v>15</v>
      </c>
      <c r="F148" s="43">
        <f>COUNTIFS(J$7:J148,J148,K$7:K148,K148,L$7:L148,L148,M$7:M148,M148)</f>
        <v>1</v>
      </c>
      <c r="G148" s="43" t="str">
        <f>TEXT(COUNTIFS(A$7:A148,A148,B$7:B148,B148,E$7:E148,E148,F$7:F148,1),"00")</f>
        <v>03</v>
      </c>
      <c r="H148" s="43" t="str">
        <f t="shared" si="6"/>
        <v>00</v>
      </c>
      <c r="I148" s="44" t="str">
        <f t="shared" si="7"/>
        <v>4</v>
      </c>
      <c r="J148" s="45" t="s">
        <v>38</v>
      </c>
      <c r="K148" s="45" t="s">
        <v>391</v>
      </c>
      <c r="L148" s="45" t="s">
        <v>612</v>
      </c>
      <c r="M148" s="45" t="s">
        <v>315</v>
      </c>
      <c r="N148" s="45"/>
      <c r="O14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A3.04.15</v>
      </c>
      <c r="P148" s="59" t="s">
        <v>329</v>
      </c>
      <c r="Q148" s="59" t="s">
        <v>78</v>
      </c>
      <c r="R148" s="59" t="s">
        <v>613</v>
      </c>
      <c r="S148" s="59" t="s">
        <v>1869</v>
      </c>
      <c r="T148" s="58" t="str">
        <f>IF(Table681620[[#This Row],[LEVEL]]="5",Table681620[[#This Row],[L5]],
IF(Table681620[[#This Row],[LEVEL]]="4",Table681620[[#This Row],[L4]],
IF(Table681620[[#This Row],[LEVEL]]="3",Table681620[[#This Row],[L3]],
IF(Table681620[[#This Row],[LEVEL]]="2",Table681620[[#This Row],[L2]],
IF(Table681620[[#This Row],[LEVEL]]="1",Table681620[[#This Row],[L1]],"")))))</f>
        <v>External Painting &amp; Finishes</v>
      </c>
      <c r="U148" s="47" t="s">
        <v>246</v>
      </c>
      <c r="V148" s="47" t="s">
        <v>44</v>
      </c>
      <c r="W148" s="70"/>
      <c r="X148" s="48"/>
      <c r="Y148" s="62">
        <f>Table681620[[#This Row],[Qty]]*Table681620[[#This Row],[Rate]]</f>
        <v>0</v>
      </c>
      <c r="Z148" s="51"/>
      <c r="AA148" s="63" t="s">
        <v>581</v>
      </c>
      <c r="AB148" s="48" t="s">
        <v>618</v>
      </c>
      <c r="AC148" s="7"/>
      <c r="AD148" s="72"/>
      <c r="AE148" s="67"/>
      <c r="AF148" s="7"/>
      <c r="AG148" s="72"/>
      <c r="AH148" s="67"/>
      <c r="AI148" s="7"/>
      <c r="AJ148" s="72"/>
      <c r="AK148" s="67"/>
    </row>
    <row r="149" spans="1:37" x14ac:dyDescent="0.3">
      <c r="A149" s="43" t="str">
        <f>INDEX(Table_Numbering[L1],MATCH(Table681620[[#This Row],[L1]],Table_Numbering[L1 Description (Cost Area)],0))</f>
        <v>A</v>
      </c>
      <c r="B149" s="43" t="str">
        <f>IFERROR(INDEX(Table_Numbering[L2],MATCH(Table681620[[#This Row],[L2]],Table_Numbering[L2 Description (Area)],0)),"0")</f>
        <v>3</v>
      </c>
      <c r="C149" s="43" t="str">
        <f>IFERROR(INDEX(Table_Numbering[L3],MATCH(Table681620[[#This Row],[L3]],Table_Numbering[L3 Description (Sub Area)],0)),"0")</f>
        <v>05</v>
      </c>
      <c r="D149" s="43" t="str">
        <f>Table681620[[#This Row],[N1]]&amp;Table681620[[#This Row],[N2]]&amp;Table681620[[#This Row],[N3]]</f>
        <v>A305</v>
      </c>
      <c r="E149" s="43" t="str">
        <f>TEXT(COUNTIF(C$7:C147,Table681620[[#This Row],[N3]]),"00")</f>
        <v>15</v>
      </c>
      <c r="F149" s="43">
        <f>COUNTIFS(J$7:J149,J149,K$7:K149,K149,L$7:L149,L149,M$7:M149,M149)</f>
        <v>0</v>
      </c>
      <c r="G149" s="43" t="str">
        <f>TEXT(COUNTIFS(A$7:A149,A149,B$7:B149,B149,E$7:E149,E149,F$7:F149,1),"00")</f>
        <v>03</v>
      </c>
      <c r="H149" s="43" t="str">
        <f t="shared" si="6"/>
        <v>00</v>
      </c>
      <c r="I149" s="44" t="str">
        <f t="shared" si="7"/>
        <v>3</v>
      </c>
      <c r="J149" s="45" t="s">
        <v>38</v>
      </c>
      <c r="K149" s="45" t="s">
        <v>391</v>
      </c>
      <c r="L149" s="45" t="s">
        <v>619</v>
      </c>
      <c r="M149" s="45"/>
      <c r="N149" s="45"/>
      <c r="O14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A3.05</v>
      </c>
      <c r="P149" s="59"/>
      <c r="Q149" s="59"/>
      <c r="R149" s="59"/>
      <c r="S149" s="59"/>
      <c r="T149" s="55" t="str">
        <f>IF(Table681620[[#This Row],[LEVEL]]="5",Table681620[[#This Row],[L5]],
IF(Table681620[[#This Row],[LEVEL]]="4",Table681620[[#This Row],[L4]],
IF(Table681620[[#This Row],[LEVEL]]="3",Table681620[[#This Row],[L3]],
IF(Table681620[[#This Row],[LEVEL]]="2",Table681620[[#This Row],[L2]],
IF(Table681620[[#This Row],[LEVEL]]="1",Table681620[[#This Row],[L1]],"")))))</f>
        <v>FITOUT</v>
      </c>
      <c r="U149" s="47"/>
      <c r="V149" s="47"/>
      <c r="W149" s="70"/>
      <c r="X149" s="48"/>
      <c r="Y149" s="50">
        <f>SUBTOTAL(9,Y150:Y153)</f>
        <v>0</v>
      </c>
      <c r="Z149" s="51"/>
      <c r="AA149" s="52"/>
      <c r="AB149" s="48"/>
      <c r="AC149" s="7"/>
      <c r="AD149" s="72"/>
      <c r="AE149" s="67"/>
      <c r="AF149" s="7"/>
      <c r="AG149" s="72"/>
      <c r="AH149" s="67"/>
      <c r="AI149" s="7"/>
      <c r="AJ149" s="72"/>
      <c r="AK149" s="67"/>
    </row>
    <row r="150" spans="1:37" x14ac:dyDescent="0.3">
      <c r="A150" s="43" t="str">
        <f>INDEX(Table_Numbering[L1],MATCH(Table681620[[#This Row],[L1]],Table_Numbering[L1 Description (Cost Area)],0))</f>
        <v>A</v>
      </c>
      <c r="B150" s="43" t="str">
        <f>IFERROR(INDEX(Table_Numbering[L2],MATCH(Table681620[[#This Row],[L2]],Table_Numbering[L2 Description (Area)],0)),"0")</f>
        <v>3</v>
      </c>
      <c r="C150" s="43" t="str">
        <f>IFERROR(INDEX(Table_Numbering[L3],MATCH(Table681620[[#This Row],[L3]],Table_Numbering[L3 Description (Sub Area)],0)),"0")</f>
        <v>05</v>
      </c>
      <c r="D150" s="43" t="str">
        <f>Table681620[[#This Row],[N1]]&amp;Table681620[[#This Row],[N2]]&amp;Table681620[[#This Row],[N3]]</f>
        <v>A305</v>
      </c>
      <c r="E150" s="43" t="str">
        <f>TEXT(COUNTIF(C$7:C148,Table681620[[#This Row],[N3]]),"00")</f>
        <v>15</v>
      </c>
      <c r="F150" s="43">
        <f>COUNTIFS(J$7:J150,J150,K$7:K150,K150,L$7:L150,L150,M$7:M150,M150)</f>
        <v>1</v>
      </c>
      <c r="G150" s="43" t="str">
        <f>TEXT(COUNTIFS(A$7:A150,A150,B$7:B150,B150,E$7:E150,E150,F$7:F150,1),"00")</f>
        <v>04</v>
      </c>
      <c r="H150" s="43" t="str">
        <f t="shared" si="6"/>
        <v>00</v>
      </c>
      <c r="I150" s="44" t="str">
        <f t="shared" si="7"/>
        <v>4</v>
      </c>
      <c r="J150" s="45" t="s">
        <v>38</v>
      </c>
      <c r="K150" s="45" t="s">
        <v>391</v>
      </c>
      <c r="L150" s="45" t="s">
        <v>619</v>
      </c>
      <c r="M150" s="45" t="s">
        <v>620</v>
      </c>
      <c r="N150" s="45"/>
      <c r="O15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A3.05.15</v>
      </c>
      <c r="P150" s="59" t="s">
        <v>329</v>
      </c>
      <c r="Q150" s="59" t="s">
        <v>78</v>
      </c>
      <c r="R150" s="59" t="s">
        <v>613</v>
      </c>
      <c r="S150" s="59" t="s">
        <v>1870</v>
      </c>
      <c r="T150" s="58" t="str">
        <f>IF(Table681620[[#This Row],[LEVEL]]="5",Table681620[[#This Row],[L5]],
IF(Table681620[[#This Row],[LEVEL]]="4",Table681620[[#This Row],[L4]],
IF(Table681620[[#This Row],[LEVEL]]="3",Table681620[[#This Row],[L3]],
IF(Table681620[[#This Row],[LEVEL]]="2",Table681620[[#This Row],[L2]],
IF(Table681620[[#This Row],[LEVEL]]="1",Table681620[[#This Row],[L1]],"")))))</f>
        <v>Partitions - Steel Stud/Plasterboard</v>
      </c>
      <c r="U150" s="47" t="s">
        <v>246</v>
      </c>
      <c r="V150" s="47" t="s">
        <v>44</v>
      </c>
      <c r="W150" s="70"/>
      <c r="X150" s="48"/>
      <c r="Y150" s="62">
        <f>Table681620[[#This Row],[Qty]]*Table681620[[#This Row],[Rate]]</f>
        <v>0</v>
      </c>
      <c r="Z150" s="51"/>
      <c r="AA150" s="52" t="s">
        <v>581</v>
      </c>
      <c r="AB150" s="48" t="s">
        <v>621</v>
      </c>
      <c r="AC150" s="7"/>
      <c r="AD150" s="72"/>
      <c r="AE150" s="67"/>
      <c r="AF150" s="7"/>
      <c r="AG150" s="72"/>
      <c r="AH150" s="67"/>
      <c r="AI150" s="7"/>
      <c r="AJ150" s="72"/>
      <c r="AK150" s="67"/>
    </row>
    <row r="151" spans="1:37" x14ac:dyDescent="0.3">
      <c r="A151" s="43" t="str">
        <f>INDEX(Table_Numbering[L1],MATCH(Table681620[[#This Row],[L1]],Table_Numbering[L1 Description (Cost Area)],0))</f>
        <v>A</v>
      </c>
      <c r="B151" s="43" t="str">
        <f>IFERROR(INDEX(Table_Numbering[L2],MATCH(Table681620[[#This Row],[L2]],Table_Numbering[L2 Description (Area)],0)),"0")</f>
        <v>3</v>
      </c>
      <c r="C151" s="43" t="str">
        <f>IFERROR(INDEX(Table_Numbering[L3],MATCH(Table681620[[#This Row],[L3]],Table_Numbering[L3 Description (Sub Area)],0)),"0")</f>
        <v>05</v>
      </c>
      <c r="D151" s="43" t="str">
        <f>Table681620[[#This Row],[N1]]&amp;Table681620[[#This Row],[N2]]&amp;Table681620[[#This Row],[N3]]</f>
        <v>A305</v>
      </c>
      <c r="E151" s="43" t="str">
        <f>TEXT(COUNTIF(C$7:C149,Table681620[[#This Row],[N3]]),"00")</f>
        <v>16</v>
      </c>
      <c r="F151" s="43">
        <f>COUNTIFS(J$7:J151,J151,K$7:K151,K151,L$7:L151,L151,M$7:M151,M151)</f>
        <v>1</v>
      </c>
      <c r="G151" s="43" t="str">
        <f>TEXT(COUNTIFS(A$7:A151,A151,B$7:B151,B151,E$7:E151,E151,F$7:F151,1),"00")</f>
        <v>03</v>
      </c>
      <c r="H151" s="43" t="str">
        <f t="shared" si="6"/>
        <v>00</v>
      </c>
      <c r="I151" s="44" t="str">
        <f t="shared" si="7"/>
        <v>4</v>
      </c>
      <c r="J151" s="45" t="s">
        <v>38</v>
      </c>
      <c r="K151" s="45" t="s">
        <v>391</v>
      </c>
      <c r="L151" s="45" t="s">
        <v>619</v>
      </c>
      <c r="M151" s="45" t="s">
        <v>622</v>
      </c>
      <c r="N151" s="45"/>
      <c r="O15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A3.05.16</v>
      </c>
      <c r="P151" s="59" t="s">
        <v>329</v>
      </c>
      <c r="Q151" s="59" t="s">
        <v>78</v>
      </c>
      <c r="R151" s="59" t="s">
        <v>613</v>
      </c>
      <c r="S151" s="59" t="s">
        <v>1871</v>
      </c>
      <c r="T151" s="58" t="str">
        <f>IF(Table681620[[#This Row],[LEVEL]]="5",Table681620[[#This Row],[L5]],
IF(Table681620[[#This Row],[LEVEL]]="4",Table681620[[#This Row],[L4]],
IF(Table681620[[#This Row],[LEVEL]]="3",Table681620[[#This Row],[L3]],
IF(Table681620[[#This Row],[LEVEL]]="2",Table681620[[#This Row],[L2]],
IF(Table681620[[#This Row],[LEVEL]]="1",Table681620[[#This Row],[L1]],"")))))</f>
        <v>Suspended Ceilings - 1200x600 Acoustic</v>
      </c>
      <c r="U151" s="47" t="s">
        <v>246</v>
      </c>
      <c r="V151" s="47" t="s">
        <v>44</v>
      </c>
      <c r="W151" s="70"/>
      <c r="X151" s="48"/>
      <c r="Y151" s="62">
        <f>Table681620[[#This Row],[Qty]]*Table681620[[#This Row],[Rate]]</f>
        <v>0</v>
      </c>
      <c r="Z151" s="51"/>
      <c r="AA151" s="63" t="s">
        <v>581</v>
      </c>
      <c r="AB151" s="48" t="s">
        <v>623</v>
      </c>
      <c r="AC151" s="7"/>
      <c r="AD151" s="72"/>
      <c r="AE151" s="67"/>
      <c r="AF151" s="7"/>
      <c r="AG151" s="72"/>
      <c r="AH151" s="67"/>
      <c r="AI151" s="7"/>
      <c r="AJ151" s="72"/>
      <c r="AK151" s="67"/>
    </row>
    <row r="152" spans="1:37" x14ac:dyDescent="0.3">
      <c r="A152" s="43" t="str">
        <f>INDEX(Table_Numbering[L1],MATCH(Table681620[[#This Row],[L1]],Table_Numbering[L1 Description (Cost Area)],0))</f>
        <v>A</v>
      </c>
      <c r="B152" s="43" t="str">
        <f>IFERROR(INDEX(Table_Numbering[L2],MATCH(Table681620[[#This Row],[L2]],Table_Numbering[L2 Description (Area)],0)),"0")</f>
        <v>3</v>
      </c>
      <c r="C152" s="43" t="str">
        <f>IFERROR(INDEX(Table_Numbering[L3],MATCH(Table681620[[#This Row],[L3]],Table_Numbering[L3 Description (Sub Area)],0)),"0")</f>
        <v>05</v>
      </c>
      <c r="D152" s="43" t="str">
        <f>Table681620[[#This Row],[N1]]&amp;Table681620[[#This Row],[N2]]&amp;Table681620[[#This Row],[N3]]</f>
        <v>A305</v>
      </c>
      <c r="E152" s="43" t="str">
        <f>TEXT(COUNTIF(C$7:C150,Table681620[[#This Row],[N3]]),"00")</f>
        <v>17</v>
      </c>
      <c r="F152" s="43">
        <f>COUNTIFS(J$7:J152,J152,K$7:K152,K152,L$7:L152,L152,M$7:M152,M152)</f>
        <v>1</v>
      </c>
      <c r="G152" s="43" t="str">
        <f>TEXT(COUNTIFS(A$7:A152,A152,B$7:B152,B152,E$7:E152,E152,F$7:F152,1),"00")</f>
        <v>03</v>
      </c>
      <c r="H152" s="43" t="str">
        <f t="shared" si="6"/>
        <v>00</v>
      </c>
      <c r="I152" s="44" t="str">
        <f t="shared" si="7"/>
        <v>4</v>
      </c>
      <c r="J152" s="45" t="s">
        <v>38</v>
      </c>
      <c r="K152" s="45" t="s">
        <v>391</v>
      </c>
      <c r="L152" s="45" t="s">
        <v>619</v>
      </c>
      <c r="M152" s="45" t="s">
        <v>316</v>
      </c>
      <c r="N152" s="45"/>
      <c r="O15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A3.05.17</v>
      </c>
      <c r="P152" s="59" t="s">
        <v>329</v>
      </c>
      <c r="Q152" s="59" t="s">
        <v>78</v>
      </c>
      <c r="R152" s="59" t="s">
        <v>613</v>
      </c>
      <c r="S152" s="59" t="s">
        <v>1872</v>
      </c>
      <c r="T152" s="58" t="str">
        <f>IF(Table681620[[#This Row],[LEVEL]]="5",Table681620[[#This Row],[L5]],
IF(Table681620[[#This Row],[LEVEL]]="4",Table681620[[#This Row],[L4]],
IF(Table681620[[#This Row],[LEVEL]]="3",Table681620[[#This Row],[L3]],
IF(Table681620[[#This Row],[LEVEL]]="2",Table681620[[#This Row],[L2]],
IF(Table681620[[#This Row],[LEVEL]]="1",Table681620[[#This Row],[L1]],"")))))</f>
        <v>Ceiling Insulation</v>
      </c>
      <c r="U152" s="47" t="s">
        <v>246</v>
      </c>
      <c r="V152" s="47" t="s">
        <v>44</v>
      </c>
      <c r="W152" s="70"/>
      <c r="X152" s="48"/>
      <c r="Y152" s="62">
        <f>Table681620[[#This Row],[Qty]]*Table681620[[#This Row],[Rate]]</f>
        <v>0</v>
      </c>
      <c r="Z152" s="51"/>
      <c r="AA152" s="63" t="s">
        <v>605</v>
      </c>
      <c r="AB152" s="48" t="s">
        <v>624</v>
      </c>
      <c r="AC152" s="7"/>
      <c r="AD152" s="72"/>
      <c r="AE152" s="67"/>
      <c r="AF152" s="7"/>
      <c r="AG152" s="72"/>
      <c r="AH152" s="67"/>
      <c r="AI152" s="7"/>
      <c r="AJ152" s="72"/>
      <c r="AK152" s="67"/>
    </row>
    <row r="153" spans="1:37" x14ac:dyDescent="0.3">
      <c r="A153" s="43" t="str">
        <f>INDEX(Table_Numbering[L1],MATCH(Table681620[[#This Row],[L1]],Table_Numbering[L1 Description (Cost Area)],0))</f>
        <v>A</v>
      </c>
      <c r="B153" s="43" t="str">
        <f>IFERROR(INDEX(Table_Numbering[L2],MATCH(Table681620[[#This Row],[L2]],Table_Numbering[L2 Description (Area)],0)),"0")</f>
        <v>3</v>
      </c>
      <c r="C153" s="43" t="str">
        <f>IFERROR(INDEX(Table_Numbering[L3],MATCH(Table681620[[#This Row],[L3]],Table_Numbering[L3 Description (Sub Area)],0)),"0")</f>
        <v>05</v>
      </c>
      <c r="D153" s="43" t="str">
        <f>Table681620[[#This Row],[N1]]&amp;Table681620[[#This Row],[N2]]&amp;Table681620[[#This Row],[N3]]</f>
        <v>A305</v>
      </c>
      <c r="E153" s="43" t="str">
        <f>TEXT(COUNTIF(C$7:C151,Table681620[[#This Row],[N3]]),"00")</f>
        <v>18</v>
      </c>
      <c r="F153" s="43">
        <f>COUNTIFS(J$7:J153,J153,K$7:K153,K153,L$7:L153,L153,M$7:M153,M153)</f>
        <v>1</v>
      </c>
      <c r="G153" s="43" t="str">
        <f>TEXT(COUNTIFS(A$7:A153,A153,B$7:B153,B153,E$7:E153,E153,F$7:F153,1),"00")</f>
        <v>03</v>
      </c>
      <c r="H153" s="43" t="str">
        <f t="shared" si="6"/>
        <v>00</v>
      </c>
      <c r="I153" s="44" t="str">
        <f t="shared" si="7"/>
        <v>4</v>
      </c>
      <c r="J153" s="45" t="s">
        <v>38</v>
      </c>
      <c r="K153" s="45" t="s">
        <v>391</v>
      </c>
      <c r="L153" s="45" t="s">
        <v>619</v>
      </c>
      <c r="M153" s="45" t="s">
        <v>625</v>
      </c>
      <c r="N153" s="45"/>
      <c r="O15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A3.05.18</v>
      </c>
      <c r="P153" s="59" t="s">
        <v>329</v>
      </c>
      <c r="Q153" s="59" t="s">
        <v>78</v>
      </c>
      <c r="R153" s="59" t="s">
        <v>613</v>
      </c>
      <c r="S153" s="59" t="s">
        <v>1873</v>
      </c>
      <c r="T153" s="58" t="str">
        <f>IF(Table681620[[#This Row],[LEVEL]]="5",Table681620[[#This Row],[L5]],
IF(Table681620[[#This Row],[LEVEL]]="4",Table681620[[#This Row],[L4]],
IF(Table681620[[#This Row],[LEVEL]]="3",Table681620[[#This Row],[L3]],
IF(Table681620[[#This Row],[LEVEL]]="2",Table681620[[#This Row],[L2]],
IF(Table681620[[#This Row],[LEVEL]]="1",Table681620[[#This Row],[L1]],"")))))</f>
        <v>Internal Doors (24 No.)</v>
      </c>
      <c r="U153" s="47" t="s">
        <v>574</v>
      </c>
      <c r="V153" s="47" t="s">
        <v>44</v>
      </c>
      <c r="W153" s="70"/>
      <c r="X153" s="48"/>
      <c r="Y153" s="62">
        <f>Table681620[[#This Row],[Qty]]*Table681620[[#This Row],[Rate]]</f>
        <v>0</v>
      </c>
      <c r="Z153" s="51"/>
      <c r="AA153" s="52" t="s">
        <v>626</v>
      </c>
      <c r="AB153" s="48" t="s">
        <v>627</v>
      </c>
      <c r="AC153" s="7"/>
      <c r="AD153" s="72"/>
      <c r="AE153" s="67"/>
      <c r="AF153" s="7"/>
      <c r="AG153" s="72"/>
      <c r="AH153" s="67"/>
      <c r="AI153" s="7"/>
      <c r="AJ153" s="72"/>
      <c r="AK153" s="67"/>
    </row>
    <row r="154" spans="1:37" x14ac:dyDescent="0.3">
      <c r="A154" s="43" t="str">
        <f>INDEX(Table_Numbering[L1],MATCH(Table681620[[#This Row],[L1]],Table_Numbering[L1 Description (Cost Area)],0))</f>
        <v>A</v>
      </c>
      <c r="B154" s="43" t="str">
        <f>IFERROR(INDEX(Table_Numbering[L2],MATCH(Table681620[[#This Row],[L2]],Table_Numbering[L2 Description (Area)],0)),"0")</f>
        <v>3</v>
      </c>
      <c r="C154" s="43" t="str">
        <f>IFERROR(INDEX(Table_Numbering[L3],MATCH(Table681620[[#This Row],[L3]],Table_Numbering[L3 Description (Sub Area)],0)),"0")</f>
        <v>05</v>
      </c>
      <c r="D154" s="43" t="str">
        <f>Table681620[[#This Row],[N1]]&amp;Table681620[[#This Row],[N2]]&amp;Table681620[[#This Row],[N3]]</f>
        <v>A305</v>
      </c>
      <c r="E154" s="43" t="str">
        <f>TEXT(COUNTIF(C$7:C152,Table681620[[#This Row],[N3]]),"00")</f>
        <v>19</v>
      </c>
      <c r="F154" s="43">
        <f>COUNTIFS(J$7:J154,J154,K$7:K154,K154,L$7:L154,L154,M$7:M154,M154)</f>
        <v>1</v>
      </c>
      <c r="G154" s="43" t="str">
        <f>TEXT(COUNTIFS(A$7:A154,A154,B$7:B154,B154,E$7:E154,E154,F$7:F154,1),"00")</f>
        <v>02</v>
      </c>
      <c r="H154" s="43" t="str">
        <f t="shared" si="6"/>
        <v>00</v>
      </c>
      <c r="I154" s="44" t="str">
        <f t="shared" si="7"/>
        <v>4</v>
      </c>
      <c r="J154" s="45" t="s">
        <v>38</v>
      </c>
      <c r="K154" s="45" t="s">
        <v>391</v>
      </c>
      <c r="L154" s="45" t="s">
        <v>619</v>
      </c>
      <c r="M154" s="45" t="s">
        <v>317</v>
      </c>
      <c r="N154" s="45"/>
      <c r="O15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A3.05.19</v>
      </c>
      <c r="P154" s="59" t="s">
        <v>329</v>
      </c>
      <c r="Q154" s="59" t="s">
        <v>78</v>
      </c>
      <c r="R154" s="59" t="s">
        <v>613</v>
      </c>
      <c r="S154" s="59" t="s">
        <v>1874</v>
      </c>
      <c r="T154" s="58" t="str">
        <f>IF(Table681620[[#This Row],[LEVEL]]="5",Table681620[[#This Row],[L5]],
IF(Table681620[[#This Row],[LEVEL]]="4",Table681620[[#This Row],[L4]],
IF(Table681620[[#This Row],[LEVEL]]="3",Table681620[[#This Row],[L3]],
IF(Table681620[[#This Row],[LEVEL]]="2",Table681620[[#This Row],[L2]],
IF(Table681620[[#This Row],[LEVEL]]="1",Table681620[[#This Row],[L1]],"")))))</f>
        <v>Internal Glazing &amp; Screens</v>
      </c>
      <c r="U154" s="47" t="s">
        <v>246</v>
      </c>
      <c r="V154" s="47" t="s">
        <v>44</v>
      </c>
      <c r="W154" s="70"/>
      <c r="X154" s="48"/>
      <c r="Y154" s="62">
        <f>Table681620[[#This Row],[Qty]]*Table681620[[#This Row],[Rate]]</f>
        <v>0</v>
      </c>
      <c r="Z154" s="51"/>
      <c r="AA154" s="63" t="s">
        <v>605</v>
      </c>
      <c r="AB154" s="48" t="s">
        <v>595</v>
      </c>
      <c r="AC154" s="7"/>
      <c r="AD154" s="72"/>
      <c r="AE154" s="67"/>
      <c r="AF154" s="7"/>
      <c r="AG154" s="72"/>
      <c r="AH154" s="67"/>
      <c r="AI154" s="7"/>
      <c r="AJ154" s="72"/>
      <c r="AK154" s="67"/>
    </row>
    <row r="155" spans="1:37" x14ac:dyDescent="0.3">
      <c r="A155" s="43" t="str">
        <f>INDEX(Table_Numbering[L1],MATCH(Table681620[[#This Row],[L1]],Table_Numbering[L1 Description (Cost Area)],0))</f>
        <v>A</v>
      </c>
      <c r="B155" s="43" t="str">
        <f>IFERROR(INDEX(Table_Numbering[L2],MATCH(Table681620[[#This Row],[L2]],Table_Numbering[L2 Description (Area)],0)),"0")</f>
        <v>3</v>
      </c>
      <c r="C155" s="43" t="str">
        <f>IFERROR(INDEX(Table_Numbering[L3],MATCH(Table681620[[#This Row],[L3]],Table_Numbering[L3 Description (Sub Area)],0)),"0")</f>
        <v>05</v>
      </c>
      <c r="D155" s="43" t="str">
        <f>Table681620[[#This Row],[N1]]&amp;Table681620[[#This Row],[N2]]&amp;Table681620[[#This Row],[N3]]</f>
        <v>A305</v>
      </c>
      <c r="E155" s="43" t="str">
        <f>TEXT(COUNTIF(C$7:C153,Table681620[[#This Row],[N3]]),"00")</f>
        <v>20</v>
      </c>
      <c r="F155" s="43">
        <f>COUNTIFS(J$7:J155,J155,K$7:K155,K155,L$7:L155,L155,M$7:M155,M155)</f>
        <v>1</v>
      </c>
      <c r="G155" s="43" t="str">
        <f>TEXT(COUNTIFS(A$7:A155,A155,B$7:B155,B155,E$7:E155,E155,F$7:F155,1),"00")</f>
        <v>01</v>
      </c>
      <c r="H155" s="43" t="str">
        <f t="shared" si="6"/>
        <v>00</v>
      </c>
      <c r="I155" s="44" t="str">
        <f t="shared" si="7"/>
        <v>4</v>
      </c>
      <c r="J155" s="45" t="s">
        <v>38</v>
      </c>
      <c r="K155" s="45" t="s">
        <v>391</v>
      </c>
      <c r="L155" s="45" t="s">
        <v>619</v>
      </c>
      <c r="M155" s="45" t="s">
        <v>318</v>
      </c>
      <c r="N155" s="45"/>
      <c r="O15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A3.05.20</v>
      </c>
      <c r="P155" s="59" t="s">
        <v>329</v>
      </c>
      <c r="Q155" s="59" t="s">
        <v>78</v>
      </c>
      <c r="R155" s="59" t="s">
        <v>613</v>
      </c>
      <c r="S155" s="59" t="s">
        <v>1875</v>
      </c>
      <c r="T155" s="58" t="str">
        <f>IF(Table681620[[#This Row],[LEVEL]]="5",Table681620[[#This Row],[L5]],
IF(Table681620[[#This Row],[LEVEL]]="4",Table681620[[#This Row],[L4]],
IF(Table681620[[#This Row],[LEVEL]]="3",Table681620[[#This Row],[L3]],
IF(Table681620[[#This Row],[LEVEL]]="2",Table681620[[#This Row],[L2]],
IF(Table681620[[#This Row],[LEVEL]]="1",Table681620[[#This Row],[L1]],"")))))</f>
        <v>Bulkheads &amp; Soffits</v>
      </c>
      <c r="U155" s="47" t="s">
        <v>246</v>
      </c>
      <c r="V155" s="47" t="s">
        <v>44</v>
      </c>
      <c r="W155" s="70"/>
      <c r="X155" s="48"/>
      <c r="Y155" s="62">
        <f>Table681620[[#This Row],[Qty]]*Table681620[[#This Row],[Rate]]</f>
        <v>0</v>
      </c>
      <c r="Z155" s="51"/>
      <c r="AA155" s="52" t="s">
        <v>581</v>
      </c>
      <c r="AB155" s="48" t="s">
        <v>621</v>
      </c>
      <c r="AC155" s="7"/>
      <c r="AD155" s="72"/>
      <c r="AE155" s="67"/>
      <c r="AF155" s="7"/>
      <c r="AG155" s="72"/>
      <c r="AH155" s="67"/>
      <c r="AI155" s="7"/>
      <c r="AJ155" s="72"/>
      <c r="AK155" s="67"/>
    </row>
    <row r="156" spans="1:37" x14ac:dyDescent="0.3">
      <c r="A156" s="43" t="str">
        <f>INDEX(Table_Numbering[L1],MATCH(Table681620[[#This Row],[L1]],Table_Numbering[L1 Description (Cost Area)],0))</f>
        <v>A</v>
      </c>
      <c r="B156" s="43" t="str">
        <f>IFERROR(INDEX(Table_Numbering[L2],MATCH(Table681620[[#This Row],[L2]],Table_Numbering[L2 Description (Area)],0)),"0")</f>
        <v>3</v>
      </c>
      <c r="C156" s="43" t="str">
        <f>IFERROR(INDEX(Table_Numbering[L3],MATCH(Table681620[[#This Row],[L3]],Table_Numbering[L3 Description (Sub Area)],0)),"0")</f>
        <v>06</v>
      </c>
      <c r="D156" s="43" t="str">
        <f>Table681620[[#This Row],[N1]]&amp;Table681620[[#This Row],[N2]]&amp;Table681620[[#This Row],[N3]]</f>
        <v>A306</v>
      </c>
      <c r="E156" s="43" t="str">
        <f>TEXT(COUNTIF(C$7:C154,Table681620[[#This Row],[N3]]),"00")</f>
        <v>05</v>
      </c>
      <c r="F156" s="43">
        <f>COUNTIFS(J$7:J156,J156,K$7:K156,K156,L$7:L156,L156,M$7:M156,M156)</f>
        <v>0</v>
      </c>
      <c r="G156" s="43" t="str">
        <f>TEXT(COUNTIFS(A$7:A156,A156,B$7:B156,B156,E$7:E156,E156,F$7:F156,1),"00")</f>
        <v>00</v>
      </c>
      <c r="H156" s="43" t="str">
        <f t="shared" si="6"/>
        <v>00</v>
      </c>
      <c r="I156" s="44" t="str">
        <f t="shared" si="7"/>
        <v>3</v>
      </c>
      <c r="J156" s="45" t="s">
        <v>38</v>
      </c>
      <c r="K156" s="45" t="s">
        <v>391</v>
      </c>
      <c r="L156" s="45" t="s">
        <v>628</v>
      </c>
      <c r="M156" s="45"/>
      <c r="N156" s="45"/>
      <c r="O15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A3.06</v>
      </c>
      <c r="P156" s="59"/>
      <c r="Q156" s="59"/>
      <c r="R156" s="59"/>
      <c r="S156" s="59"/>
      <c r="T156" s="55" t="str">
        <f>IF(Table681620[[#This Row],[LEVEL]]="5",Table681620[[#This Row],[L5]],
IF(Table681620[[#This Row],[LEVEL]]="4",Table681620[[#This Row],[L4]],
IF(Table681620[[#This Row],[LEVEL]]="3",Table681620[[#This Row],[L3]],
IF(Table681620[[#This Row],[LEVEL]]="2",Table681620[[#This Row],[L2]],
IF(Table681620[[#This Row],[LEVEL]]="1",Table681620[[#This Row],[L1]],"")))))</f>
        <v>MECHANICAL</v>
      </c>
      <c r="U156" s="47"/>
      <c r="V156" s="47"/>
      <c r="W156" s="70"/>
      <c r="X156" s="48"/>
      <c r="Y156" s="50">
        <f>SUBTOTAL(9,Y157:Y162)</f>
        <v>0</v>
      </c>
      <c r="Z156" s="51"/>
      <c r="AA156" s="63"/>
      <c r="AB156" s="48"/>
      <c r="AC156" s="7"/>
      <c r="AD156" s="72"/>
      <c r="AE156" s="67"/>
      <c r="AF156" s="7"/>
      <c r="AG156" s="72"/>
      <c r="AH156" s="67"/>
      <c r="AI156" s="7"/>
      <c r="AJ156" s="72"/>
      <c r="AK156" s="67"/>
    </row>
    <row r="157" spans="1:37" x14ac:dyDescent="0.3">
      <c r="A157" s="43" t="str">
        <f>INDEX(Table_Numbering[L1],MATCH(Table681620[[#This Row],[L1]],Table_Numbering[L1 Description (Cost Area)],0))</f>
        <v>A</v>
      </c>
      <c r="B157" s="43" t="str">
        <f>IFERROR(INDEX(Table_Numbering[L2],MATCH(Table681620[[#This Row],[L2]],Table_Numbering[L2 Description (Area)],0)),"0")</f>
        <v>3</v>
      </c>
      <c r="C157" s="43" t="str">
        <f>IFERROR(INDEX(Table_Numbering[L3],MATCH(Table681620[[#This Row],[L3]],Table_Numbering[L3 Description (Sub Area)],0)),"0")</f>
        <v>06</v>
      </c>
      <c r="D157" s="43" t="str">
        <f>Table681620[[#This Row],[N1]]&amp;Table681620[[#This Row],[N2]]&amp;Table681620[[#This Row],[N3]]</f>
        <v>A306</v>
      </c>
      <c r="E157" s="43" t="str">
        <f>TEXT(COUNTIF(C$7:C155,Table681620[[#This Row],[N3]]),"00")</f>
        <v>05</v>
      </c>
      <c r="F157" s="43">
        <f>COUNTIFS(J$7:J157,J157,K$7:K157,K157,L$7:L157,L157,M$7:M157,M157)</f>
        <v>1</v>
      </c>
      <c r="G157" s="43" t="str">
        <f>TEXT(COUNTIFS(A$7:A157,A157,B$7:B157,B157,E$7:E157,E157,F$7:F157,1),"00")</f>
        <v>01</v>
      </c>
      <c r="H157" s="43" t="str">
        <f t="shared" si="6"/>
        <v>00</v>
      </c>
      <c r="I157" s="44" t="str">
        <f t="shared" si="7"/>
        <v>4</v>
      </c>
      <c r="J157" s="45" t="s">
        <v>38</v>
      </c>
      <c r="K157" s="45" t="s">
        <v>391</v>
      </c>
      <c r="L157" s="45" t="s">
        <v>628</v>
      </c>
      <c r="M157" s="45" t="s">
        <v>630</v>
      </c>
      <c r="N157" s="45"/>
      <c r="O15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A3.06.05</v>
      </c>
      <c r="P157" s="59" t="s">
        <v>349</v>
      </c>
      <c r="Q157" s="59" t="s">
        <v>78</v>
      </c>
      <c r="R157" s="59" t="s">
        <v>629</v>
      </c>
      <c r="S157" s="59" t="s">
        <v>1876</v>
      </c>
      <c r="T157" s="58" t="str">
        <f>IF(Table681620[[#This Row],[LEVEL]]="5",Table681620[[#This Row],[L5]],
IF(Table681620[[#This Row],[LEVEL]]="4",Table681620[[#This Row],[L4]],
IF(Table681620[[#This Row],[LEVEL]]="3",Table681620[[#This Row],[L3]],
IF(Table681620[[#This Row],[LEVEL]]="2",Table681620[[#This Row],[L2]],
IF(Table681620[[#This Row],[LEVEL]]="1",Table681620[[#This Row],[L1]],"")))))</f>
        <v>Air Conditioning Units (AC-1 to AC-5)</v>
      </c>
      <c r="U157" s="47" t="s">
        <v>574</v>
      </c>
      <c r="V157" s="47" t="s">
        <v>44</v>
      </c>
      <c r="W157" s="70"/>
      <c r="X157" s="48"/>
      <c r="Y157" s="62">
        <f>Table681620[[#This Row],[Qty]]*Table681620[[#This Row],[Rate]]</f>
        <v>0</v>
      </c>
      <c r="Z157" s="51"/>
      <c r="AA157" s="63" t="s">
        <v>631</v>
      </c>
      <c r="AB157" s="48" t="s">
        <v>632</v>
      </c>
      <c r="AC157" s="7"/>
      <c r="AD157" s="72"/>
      <c r="AE157" s="67"/>
      <c r="AF157" s="7"/>
      <c r="AG157" s="72"/>
      <c r="AH157" s="67"/>
      <c r="AI157" s="7"/>
      <c r="AJ157" s="72"/>
      <c r="AK157" s="67"/>
    </row>
    <row r="158" spans="1:37" x14ac:dyDescent="0.3">
      <c r="A158" s="43" t="str">
        <f>INDEX(Table_Numbering[L1],MATCH(Table681620[[#This Row],[L1]],Table_Numbering[L1 Description (Cost Area)],0))</f>
        <v>A</v>
      </c>
      <c r="B158" s="43" t="str">
        <f>IFERROR(INDEX(Table_Numbering[L2],MATCH(Table681620[[#This Row],[L2]],Table_Numbering[L2 Description (Area)],0)),"0")</f>
        <v>3</v>
      </c>
      <c r="C158" s="43" t="str">
        <f>IFERROR(INDEX(Table_Numbering[L3],MATCH(Table681620[[#This Row],[L3]],Table_Numbering[L3 Description (Sub Area)],0)),"0")</f>
        <v>06</v>
      </c>
      <c r="D158" s="43" t="str">
        <f>Table681620[[#This Row],[N1]]&amp;Table681620[[#This Row],[N2]]&amp;Table681620[[#This Row],[N3]]</f>
        <v>A306</v>
      </c>
      <c r="E158" s="43" t="str">
        <f>TEXT(COUNTIF(C$7:C156,Table681620[[#This Row],[N3]]),"00")</f>
        <v>06</v>
      </c>
      <c r="F158" s="43">
        <f>COUNTIFS(J$7:J158,J158,K$7:K158,K158,L$7:L158,L158,M$7:M158,M158)</f>
        <v>1</v>
      </c>
      <c r="G158" s="43" t="str">
        <f>TEXT(COUNTIFS(A$7:A158,A158,B$7:B158,B158,E$7:E158,E158,F$7:F158,1),"00")</f>
        <v>01</v>
      </c>
      <c r="H158" s="43" t="str">
        <f t="shared" si="6"/>
        <v>00</v>
      </c>
      <c r="I158" s="44" t="str">
        <f t="shared" si="7"/>
        <v>4</v>
      </c>
      <c r="J158" s="45" t="s">
        <v>38</v>
      </c>
      <c r="K158" s="45" t="s">
        <v>391</v>
      </c>
      <c r="L158" s="45" t="s">
        <v>628</v>
      </c>
      <c r="M158" s="45" t="s">
        <v>633</v>
      </c>
      <c r="N158" s="45"/>
      <c r="O15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A3.06.06</v>
      </c>
      <c r="P158" s="59" t="s">
        <v>349</v>
      </c>
      <c r="Q158" s="59" t="s">
        <v>78</v>
      </c>
      <c r="R158" s="59" t="s">
        <v>629</v>
      </c>
      <c r="S158" s="59" t="s">
        <v>1877</v>
      </c>
      <c r="T158" s="58" t="str">
        <f>IF(Table681620[[#This Row],[LEVEL]]="5",Table681620[[#This Row],[L5]],
IF(Table681620[[#This Row],[LEVEL]]="4",Table681620[[#This Row],[L4]],
IF(Table681620[[#This Row],[LEVEL]]="3",Table681620[[#This Row],[L3]],
IF(Table681620[[#This Row],[LEVEL]]="2",Table681620[[#This Row],[L2]],
IF(Table681620[[#This Row],[LEVEL]]="1",Table681620[[#This Row],[L1]],"")))))</f>
        <v>VAV Boxes (VAV-1 to VAV-7)</v>
      </c>
      <c r="U158" s="47" t="s">
        <v>574</v>
      </c>
      <c r="V158" s="47" t="s">
        <v>44</v>
      </c>
      <c r="W158" s="70"/>
      <c r="X158" s="48"/>
      <c r="Y158" s="62">
        <f>Table681620[[#This Row],[Qty]]*Table681620[[#This Row],[Rate]]</f>
        <v>0</v>
      </c>
      <c r="Z158" s="51"/>
      <c r="AA158" s="52" t="s">
        <v>631</v>
      </c>
      <c r="AB158" s="48" t="s">
        <v>634</v>
      </c>
      <c r="AC158" s="7"/>
      <c r="AD158" s="72"/>
      <c r="AE158" s="67"/>
      <c r="AF158" s="7"/>
      <c r="AG158" s="72"/>
      <c r="AH158" s="67"/>
      <c r="AI158" s="7"/>
      <c r="AJ158" s="72"/>
      <c r="AK158" s="67"/>
    </row>
    <row r="159" spans="1:37" x14ac:dyDescent="0.3">
      <c r="A159" s="43" t="str">
        <f>INDEX(Table_Numbering[L1],MATCH(Table681620[[#This Row],[L1]],Table_Numbering[L1 Description (Cost Area)],0))</f>
        <v>A</v>
      </c>
      <c r="B159" s="43" t="str">
        <f>IFERROR(INDEX(Table_Numbering[L2],MATCH(Table681620[[#This Row],[L2]],Table_Numbering[L2 Description (Area)],0)),"0")</f>
        <v>3</v>
      </c>
      <c r="C159" s="43" t="str">
        <f>IFERROR(INDEX(Table_Numbering[L3],MATCH(Table681620[[#This Row],[L3]],Table_Numbering[L3 Description (Sub Area)],0)),"0")</f>
        <v>06</v>
      </c>
      <c r="D159" s="43" t="str">
        <f>Table681620[[#This Row],[N1]]&amp;Table681620[[#This Row],[N2]]&amp;Table681620[[#This Row],[N3]]</f>
        <v>A306</v>
      </c>
      <c r="E159" s="43" t="str">
        <f>TEXT(COUNTIF(C$7:C157,Table681620[[#This Row],[N3]]),"00")</f>
        <v>07</v>
      </c>
      <c r="F159" s="43">
        <f>COUNTIFS(J$7:J159,J159,K$7:K159,K159,L$7:L159,L159,M$7:M159,M159)</f>
        <v>1</v>
      </c>
      <c r="G159" s="43" t="str">
        <f>TEXT(COUNTIFS(A$7:A159,A159,B$7:B159,B159,E$7:E159,E159,F$7:F159,1),"00")</f>
        <v>01</v>
      </c>
      <c r="H159" s="43" t="str">
        <f t="shared" si="6"/>
        <v>00</v>
      </c>
      <c r="I159" s="44" t="str">
        <f t="shared" si="7"/>
        <v>4</v>
      </c>
      <c r="J159" s="45" t="s">
        <v>38</v>
      </c>
      <c r="K159" s="45" t="s">
        <v>391</v>
      </c>
      <c r="L159" s="45" t="s">
        <v>628</v>
      </c>
      <c r="M159" s="45" t="s">
        <v>319</v>
      </c>
      <c r="N159" s="45"/>
      <c r="O159" s="7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A3.06.07</v>
      </c>
      <c r="P159" s="77" t="s">
        <v>349</v>
      </c>
      <c r="Q159" s="77" t="s">
        <v>78</v>
      </c>
      <c r="R159" s="77" t="s">
        <v>529</v>
      </c>
      <c r="S159" s="77" t="s">
        <v>1878</v>
      </c>
      <c r="T159" s="80" t="str">
        <f>IF(Table681620[[#This Row],[LEVEL]]="5",Table681620[[#This Row],[L5]],
IF(Table681620[[#This Row],[LEVEL]]="4",Table681620[[#This Row],[L4]],
IF(Table681620[[#This Row],[LEVEL]]="3",Table681620[[#This Row],[L3]],
IF(Table681620[[#This Row],[LEVEL]]="2",Table681620[[#This Row],[L2]],
IF(Table681620[[#This Row],[LEVEL]]="1",Table681620[[#This Row],[L1]],"")))))</f>
        <v>Ductwork - Supply &amp; Return</v>
      </c>
      <c r="U159" s="47" t="s">
        <v>246</v>
      </c>
      <c r="V159" s="47" t="s">
        <v>44</v>
      </c>
      <c r="W159" s="70"/>
      <c r="X159" s="48"/>
      <c r="Y159" s="62">
        <f>Table681620[[#This Row],[Qty]]*Table681620[[#This Row],[Rate]]</f>
        <v>0</v>
      </c>
      <c r="Z159" s="51"/>
      <c r="AA159" s="79" t="s">
        <v>635</v>
      </c>
      <c r="AB159" s="78" t="s">
        <v>636</v>
      </c>
      <c r="AC159" s="7"/>
      <c r="AD159" s="72"/>
      <c r="AE159" s="67"/>
      <c r="AF159" s="7"/>
      <c r="AG159" s="72"/>
      <c r="AH159" s="67"/>
      <c r="AI159" s="7"/>
      <c r="AJ159" s="72"/>
      <c r="AK159" s="67"/>
    </row>
    <row r="160" spans="1:37" x14ac:dyDescent="0.3">
      <c r="A160" s="43" t="str">
        <f>INDEX(Table_Numbering[L1],MATCH(Table681620[[#This Row],[L1]],Table_Numbering[L1 Description (Cost Area)],0))</f>
        <v>A</v>
      </c>
      <c r="B160" s="43" t="str">
        <f>IFERROR(INDEX(Table_Numbering[L2],MATCH(Table681620[[#This Row],[L2]],Table_Numbering[L2 Description (Area)],0)),"0")</f>
        <v>3</v>
      </c>
      <c r="C160" s="43" t="str">
        <f>IFERROR(INDEX(Table_Numbering[L3],MATCH(Table681620[[#This Row],[L3]],Table_Numbering[L3 Description (Sub Area)],0)),"0")</f>
        <v>06</v>
      </c>
      <c r="D160" s="43" t="str">
        <f>Table681620[[#This Row],[N1]]&amp;Table681620[[#This Row],[N2]]&amp;Table681620[[#This Row],[N3]]</f>
        <v>A306</v>
      </c>
      <c r="E160" s="43" t="str">
        <f>TEXT(COUNTIF(C$7:C158,Table681620[[#This Row],[N3]]),"00")</f>
        <v>08</v>
      </c>
      <c r="F160" s="43">
        <f>COUNTIFS(J$7:J160,J160,K$7:K160,K160,L$7:L160,L160,M$7:M160,M160)</f>
        <v>1</v>
      </c>
      <c r="G160" s="43" t="str">
        <f>TEXT(COUNTIFS(A$7:A160,A160,B$7:B160,B160,E$7:E160,E160,F$7:F160,1),"00")</f>
        <v>01</v>
      </c>
      <c r="H160" s="43" t="str">
        <f t="shared" si="6"/>
        <v>00</v>
      </c>
      <c r="I160" s="44" t="str">
        <f t="shared" si="7"/>
        <v>4</v>
      </c>
      <c r="J160" s="45" t="s">
        <v>38</v>
      </c>
      <c r="K160" s="45" t="s">
        <v>391</v>
      </c>
      <c r="L160" s="45" t="s">
        <v>628</v>
      </c>
      <c r="M160" s="45" t="s">
        <v>320</v>
      </c>
      <c r="N160" s="45"/>
      <c r="O16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A3.06.08</v>
      </c>
      <c r="P160" s="59" t="s">
        <v>349</v>
      </c>
      <c r="Q160" s="59" t="s">
        <v>78</v>
      </c>
      <c r="R160" s="59" t="s">
        <v>529</v>
      </c>
      <c r="S160" s="59" t="s">
        <v>1879</v>
      </c>
      <c r="T160" s="58" t="str">
        <f>IF(Table681620[[#This Row],[LEVEL]]="5",Table681620[[#This Row],[L5]],
IF(Table681620[[#This Row],[LEVEL]]="4",Table681620[[#This Row],[L4]],
IF(Table681620[[#This Row],[LEVEL]]="3",Table681620[[#This Row],[L3]],
IF(Table681620[[#This Row],[LEVEL]]="2",Table681620[[#This Row],[L2]],
IF(Table681620[[#This Row],[LEVEL]]="1",Table681620[[#This Row],[L1]],"")))))</f>
        <v>Diffusers &amp; Grilles</v>
      </c>
      <c r="U160" s="47" t="s">
        <v>574</v>
      </c>
      <c r="V160" s="47" t="s">
        <v>44</v>
      </c>
      <c r="W160" s="70"/>
      <c r="X160" s="48"/>
      <c r="Y160" s="62">
        <f>Table681620[[#This Row],[Qty]]*Table681620[[#This Row],[Rate]]</f>
        <v>0</v>
      </c>
      <c r="Z160" s="51"/>
      <c r="AA160" s="79" t="s">
        <v>637</v>
      </c>
      <c r="AB160" s="48" t="s">
        <v>638</v>
      </c>
      <c r="AC160" s="7"/>
      <c r="AD160" s="72"/>
      <c r="AE160" s="67"/>
      <c r="AF160" s="7"/>
      <c r="AG160" s="72"/>
      <c r="AH160" s="67"/>
      <c r="AI160" s="7"/>
      <c r="AJ160" s="72"/>
      <c r="AK160" s="67"/>
    </row>
    <row r="161" spans="1:37" x14ac:dyDescent="0.3">
      <c r="A161" s="43" t="str">
        <f>INDEX(Table_Numbering[L1],MATCH(Table681620[[#This Row],[L1]],Table_Numbering[L1 Description (Cost Area)],0))</f>
        <v>A</v>
      </c>
      <c r="B161" s="43" t="str">
        <f>IFERROR(INDEX(Table_Numbering[L2],MATCH(Table681620[[#This Row],[L2]],Table_Numbering[L2 Description (Area)],0)),"0")</f>
        <v>3</v>
      </c>
      <c r="C161" s="43" t="str">
        <f>IFERROR(INDEX(Table_Numbering[L3],MATCH(Table681620[[#This Row],[L3]],Table_Numbering[L3 Description (Sub Area)],0)),"0")</f>
        <v>06</v>
      </c>
      <c r="D161" s="43" t="str">
        <f>Table681620[[#This Row],[N1]]&amp;Table681620[[#This Row],[N2]]&amp;Table681620[[#This Row],[N3]]</f>
        <v>A306</v>
      </c>
      <c r="E161" s="43" t="str">
        <f>TEXT(COUNTIF(C$7:C159,Table681620[[#This Row],[N3]]),"00")</f>
        <v>09</v>
      </c>
      <c r="F161" s="43">
        <f>COUNTIFS(J$7:J161,J161,K$7:K161,K161,L$7:L161,L161,M$7:M161,M161)</f>
        <v>1</v>
      </c>
      <c r="G161" s="43" t="str">
        <f>TEXT(COUNTIFS(A$7:A161,A161,B$7:B161,B161,E$7:E161,E161,F$7:F161,1),"00")</f>
        <v>01</v>
      </c>
      <c r="H161" s="43" t="str">
        <f t="shared" si="6"/>
        <v>00</v>
      </c>
      <c r="I161" s="44" t="str">
        <f t="shared" si="7"/>
        <v>4</v>
      </c>
      <c r="J161" s="45" t="s">
        <v>38</v>
      </c>
      <c r="K161" s="45" t="s">
        <v>391</v>
      </c>
      <c r="L161" s="45" t="s">
        <v>628</v>
      </c>
      <c r="M161" s="45" t="s">
        <v>321</v>
      </c>
      <c r="N161" s="45"/>
      <c r="O16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A3.06.09</v>
      </c>
      <c r="P161" s="59" t="s">
        <v>349</v>
      </c>
      <c r="Q161" s="59" t="s">
        <v>78</v>
      </c>
      <c r="R161" s="59" t="s">
        <v>529</v>
      </c>
      <c r="S161" s="59" t="s">
        <v>1880</v>
      </c>
      <c r="T161" s="58" t="str">
        <f>IF(Table681620[[#This Row],[LEVEL]]="5",Table681620[[#This Row],[L5]],
IF(Table681620[[#This Row],[LEVEL]]="4",Table681620[[#This Row],[L4]],
IF(Table681620[[#This Row],[LEVEL]]="3",Table681620[[#This Row],[L3]],
IF(Table681620[[#This Row],[LEVEL]]="2",Table681620[[#This Row],[L2]],
IF(Table681620[[#This Row],[LEVEL]]="1",Table681620[[#This Row],[L1]],"")))))</f>
        <v>Controls &amp; BMS Integration</v>
      </c>
      <c r="U161" s="47" t="s">
        <v>62</v>
      </c>
      <c r="V161" s="47" t="s">
        <v>44</v>
      </c>
      <c r="W161" s="70">
        <v>1</v>
      </c>
      <c r="X161" s="48"/>
      <c r="Y161" s="62">
        <f>Table681620[[#This Row],[Qty]]*Table681620[[#This Row],[Rate]]</f>
        <v>0</v>
      </c>
      <c r="Z161" s="51"/>
      <c r="AA161" s="63" t="s">
        <v>79</v>
      </c>
      <c r="AB161" s="48" t="s">
        <v>639</v>
      </c>
      <c r="AC161" s="7"/>
      <c r="AD161" s="72"/>
      <c r="AE161" s="67"/>
      <c r="AF161" s="7"/>
      <c r="AG161" s="72"/>
      <c r="AH161" s="67"/>
      <c r="AI161" s="7"/>
      <c r="AJ161" s="72"/>
      <c r="AK161" s="67"/>
    </row>
    <row r="162" spans="1:37" x14ac:dyDescent="0.3">
      <c r="A162" s="43" t="str">
        <f>INDEX(Table_Numbering[L1],MATCH(Table681620[[#This Row],[L1]],Table_Numbering[L1 Description (Cost Area)],0))</f>
        <v>A</v>
      </c>
      <c r="B162" s="43" t="str">
        <f>IFERROR(INDEX(Table_Numbering[L2],MATCH(Table681620[[#This Row],[L2]],Table_Numbering[L2 Description (Area)],0)),"0")</f>
        <v>3</v>
      </c>
      <c r="C162" s="43" t="str">
        <f>IFERROR(INDEX(Table_Numbering[L3],MATCH(Table681620[[#This Row],[L3]],Table_Numbering[L3 Description (Sub Area)],0)),"0")</f>
        <v>06</v>
      </c>
      <c r="D162" s="43" t="str">
        <f>Table681620[[#This Row],[N1]]&amp;Table681620[[#This Row],[N2]]&amp;Table681620[[#This Row],[N3]]</f>
        <v>A306</v>
      </c>
      <c r="E162" s="43" t="str">
        <f>TEXT(COUNTIF(C$7:C160,Table681620[[#This Row],[N3]]),"00")</f>
        <v>10</v>
      </c>
      <c r="F162" s="43">
        <f>COUNTIFS(J$7:J162,J162,K$7:K162,K162,L$7:L162,L162,M$7:M162,M162)</f>
        <v>1</v>
      </c>
      <c r="G162" s="43" t="str">
        <f>TEXT(COUNTIFS(A$7:A162,A162,B$7:B162,B162,E$7:E162,E162,F$7:F162,1),"00")</f>
        <v>01</v>
      </c>
      <c r="H162" s="43" t="str">
        <f t="shared" si="6"/>
        <v>00</v>
      </c>
      <c r="I162" s="44" t="str">
        <f t="shared" si="7"/>
        <v>4</v>
      </c>
      <c r="J162" s="45" t="s">
        <v>38</v>
      </c>
      <c r="K162" s="45" t="s">
        <v>391</v>
      </c>
      <c r="L162" s="45" t="s">
        <v>628</v>
      </c>
      <c r="M162" s="45" t="s">
        <v>640</v>
      </c>
      <c r="N162" s="45"/>
      <c r="O16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A3.06.10</v>
      </c>
      <c r="P162" s="59" t="s">
        <v>349</v>
      </c>
      <c r="Q162" s="59" t="s">
        <v>78</v>
      </c>
      <c r="R162" s="59" t="s">
        <v>529</v>
      </c>
      <c r="S162" s="59" t="s">
        <v>1881</v>
      </c>
      <c r="T162" s="58" t="str">
        <f>IF(Table681620[[#This Row],[LEVEL]]="5",Table681620[[#This Row],[L5]],
IF(Table681620[[#This Row],[LEVEL]]="4",Table681620[[#This Row],[L4]],
IF(Table681620[[#This Row],[LEVEL]]="3",Table681620[[#This Row],[L3]],
IF(Table681620[[#This Row],[LEVEL]]="2",Table681620[[#This Row],[L2]],
IF(Table681620[[#This Row],[LEVEL]]="1",Table681620[[#This Row],[L1]],"")))))</f>
        <v>Refrigerant Pipework</v>
      </c>
      <c r="U162" s="47" t="s">
        <v>253</v>
      </c>
      <c r="V162" s="47" t="s">
        <v>44</v>
      </c>
      <c r="W162" s="70"/>
      <c r="X162" s="48"/>
      <c r="Y162" s="62">
        <f>Table681620[[#This Row],[Qty]]*Table681620[[#This Row],[Rate]]</f>
        <v>0</v>
      </c>
      <c r="Z162" s="51"/>
      <c r="AA162" s="48" t="s">
        <v>579</v>
      </c>
      <c r="AB162" s="48" t="s">
        <v>641</v>
      </c>
      <c r="AC162" s="7"/>
      <c r="AD162" s="72"/>
      <c r="AE162" s="67"/>
      <c r="AF162" s="7"/>
      <c r="AG162" s="72"/>
      <c r="AH162" s="67"/>
      <c r="AI162" s="7"/>
      <c r="AJ162" s="72"/>
      <c r="AK162" s="67"/>
    </row>
    <row r="163" spans="1:37" x14ac:dyDescent="0.3">
      <c r="A163" s="43" t="str">
        <f>INDEX(Table_Numbering[L1],MATCH(Table681620[[#This Row],[L1]],Table_Numbering[L1 Description (Cost Area)],0))</f>
        <v>A</v>
      </c>
      <c r="B163" s="43" t="str">
        <f>IFERROR(INDEX(Table_Numbering[L2],MATCH(Table681620[[#This Row],[L2]],Table_Numbering[L2 Description (Area)],0)),"0")</f>
        <v>3</v>
      </c>
      <c r="C163" s="43" t="str">
        <f>IFERROR(INDEX(Table_Numbering[L3],MATCH(Table681620[[#This Row],[L3]],Table_Numbering[L3 Description (Sub Area)],0)),"0")</f>
        <v>07</v>
      </c>
      <c r="D163" s="43" t="str">
        <f>Table681620[[#This Row],[N1]]&amp;Table681620[[#This Row],[N2]]&amp;Table681620[[#This Row],[N3]]</f>
        <v>A307</v>
      </c>
      <c r="E163" s="43" t="str">
        <f>TEXT(COUNTIF(C$7:C161,Table681620[[#This Row],[N3]]),"00")</f>
        <v>05</v>
      </c>
      <c r="F163" s="43">
        <f>COUNTIFS(J$7:J163,J163,K$7:K163,K163,L$7:L163,L163,M$7:M163,M163)</f>
        <v>0</v>
      </c>
      <c r="G163" s="43" t="str">
        <f>TEXT(COUNTIFS(A$7:A163,A163,B$7:B163,B163,E$7:E163,E163,F$7:F163,1),"00")</f>
        <v>01</v>
      </c>
      <c r="H163" s="43" t="str">
        <f t="shared" si="6"/>
        <v>00</v>
      </c>
      <c r="I163" s="44" t="str">
        <f t="shared" si="7"/>
        <v>3</v>
      </c>
      <c r="J163" s="45" t="s">
        <v>38</v>
      </c>
      <c r="K163" s="45" t="s">
        <v>391</v>
      </c>
      <c r="L163" s="45" t="s">
        <v>642</v>
      </c>
      <c r="M163" s="45"/>
      <c r="N163" s="45"/>
      <c r="O16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A3.07</v>
      </c>
      <c r="P163" s="59"/>
      <c r="Q163" s="59"/>
      <c r="R163" s="59"/>
      <c r="S163" s="59"/>
      <c r="T163" s="55" t="str">
        <f>IF(Table681620[[#This Row],[LEVEL]]="5",Table681620[[#This Row],[L5]],
IF(Table681620[[#This Row],[LEVEL]]="4",Table681620[[#This Row],[L4]],
IF(Table681620[[#This Row],[LEVEL]]="3",Table681620[[#This Row],[L3]],
IF(Table681620[[#This Row],[LEVEL]]="2",Table681620[[#This Row],[L2]],
IF(Table681620[[#This Row],[LEVEL]]="1",Table681620[[#This Row],[L1]],"")))))</f>
        <v>ELECTRICAL</v>
      </c>
      <c r="U163" s="47"/>
      <c r="V163" s="47"/>
      <c r="W163" s="70"/>
      <c r="X163" s="48"/>
      <c r="Y163" s="50">
        <f>SUBTOTAL(9,Y164:Y171)</f>
        <v>0</v>
      </c>
      <c r="Z163" s="51"/>
      <c r="AA163" s="63"/>
      <c r="AB163" s="48"/>
      <c r="AC163" s="7"/>
      <c r="AD163" s="72"/>
      <c r="AE163" s="67"/>
      <c r="AF163" s="7"/>
      <c r="AG163" s="72"/>
      <c r="AH163" s="67"/>
      <c r="AI163" s="7"/>
      <c r="AJ163" s="72"/>
      <c r="AK163" s="67"/>
    </row>
    <row r="164" spans="1:37" x14ac:dyDescent="0.3">
      <c r="A164" s="43" t="str">
        <f>INDEX(Table_Numbering[L1],MATCH(Table681620[[#This Row],[L1]],Table_Numbering[L1 Description (Cost Area)],0))</f>
        <v>A</v>
      </c>
      <c r="B164" s="43" t="str">
        <f>IFERROR(INDEX(Table_Numbering[L2],MATCH(Table681620[[#This Row],[L2]],Table_Numbering[L2 Description (Area)],0)),"0")</f>
        <v>3</v>
      </c>
      <c r="C164" s="43" t="str">
        <f>IFERROR(INDEX(Table_Numbering[L3],MATCH(Table681620[[#This Row],[L3]],Table_Numbering[L3 Description (Sub Area)],0)),"0")</f>
        <v>07</v>
      </c>
      <c r="D164" s="43" t="str">
        <f>Table681620[[#This Row],[N1]]&amp;Table681620[[#This Row],[N2]]&amp;Table681620[[#This Row],[N3]]</f>
        <v>A307</v>
      </c>
      <c r="E164" s="43" t="str">
        <f>TEXT(COUNTIF(C$7:C162,Table681620[[#This Row],[N3]]),"00")</f>
        <v>05</v>
      </c>
      <c r="F164" s="43">
        <f>COUNTIFS(J$7:J164,J164,K$7:K164,K164,L$7:L164,L164,M$7:M164,M164)</f>
        <v>1</v>
      </c>
      <c r="G164" s="43" t="str">
        <f>TEXT(COUNTIFS(A$7:A164,A164,B$7:B164,B164,E$7:E164,E164,F$7:F164,1),"00")</f>
        <v>02</v>
      </c>
      <c r="H164" s="43" t="str">
        <f t="shared" si="6"/>
        <v>00</v>
      </c>
      <c r="I164" s="44" t="str">
        <f t="shared" si="7"/>
        <v>4</v>
      </c>
      <c r="J164" s="45" t="s">
        <v>38</v>
      </c>
      <c r="K164" s="45" t="s">
        <v>391</v>
      </c>
      <c r="L164" s="45" t="s">
        <v>642</v>
      </c>
      <c r="M164" s="45" t="s">
        <v>643</v>
      </c>
      <c r="N164" s="45"/>
      <c r="O16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A3.07.05</v>
      </c>
      <c r="P164" s="59" t="s">
        <v>350</v>
      </c>
      <c r="Q164" s="59" t="s">
        <v>78</v>
      </c>
      <c r="R164" s="59" t="s">
        <v>532</v>
      </c>
      <c r="S164" s="59" t="s">
        <v>1882</v>
      </c>
      <c r="T164" s="58" t="str">
        <f>IF(Table681620[[#This Row],[LEVEL]]="5",Table681620[[#This Row],[L5]],
IF(Table681620[[#This Row],[LEVEL]]="4",Table681620[[#This Row],[L4]],
IF(Table681620[[#This Row],[LEVEL]]="3",Table681620[[#This Row],[L3]],
IF(Table681620[[#This Row],[LEVEL]]="2",Table681620[[#This Row],[L2]],
IF(Table681620[[#This Row],[LEVEL]]="1",Table681620[[#This Row],[L1]],"")))))</f>
        <v>Main Switchboard (MSB)</v>
      </c>
      <c r="U164" s="47" t="s">
        <v>574</v>
      </c>
      <c r="V164" s="47" t="s">
        <v>44</v>
      </c>
      <c r="W164" s="70">
        <v>1</v>
      </c>
      <c r="X164" s="48"/>
      <c r="Y164" s="62">
        <f>Table681620[[#This Row],[Qty]]*Table681620[[#This Row],[Rate]]</f>
        <v>0</v>
      </c>
      <c r="Z164" s="51"/>
      <c r="AA164" s="48" t="s">
        <v>644</v>
      </c>
      <c r="AB164" s="48" t="s">
        <v>645</v>
      </c>
      <c r="AC164" s="7"/>
      <c r="AD164" s="72"/>
      <c r="AE164" s="67"/>
      <c r="AF164" s="7"/>
      <c r="AG164" s="72"/>
      <c r="AH164" s="67"/>
      <c r="AI164" s="7"/>
      <c r="AJ164" s="72"/>
      <c r="AK164" s="67"/>
    </row>
    <row r="165" spans="1:37" x14ac:dyDescent="0.3">
      <c r="A165" s="43" t="str">
        <f>INDEX(Table_Numbering[L1],MATCH(Table681620[[#This Row],[L1]],Table_Numbering[L1 Description (Cost Area)],0))</f>
        <v>A</v>
      </c>
      <c r="B165" s="43" t="str">
        <f>IFERROR(INDEX(Table_Numbering[L2],MATCH(Table681620[[#This Row],[L2]],Table_Numbering[L2 Description (Area)],0)),"0")</f>
        <v>3</v>
      </c>
      <c r="C165" s="43" t="str">
        <f>IFERROR(INDEX(Table_Numbering[L3],MATCH(Table681620[[#This Row],[L3]],Table_Numbering[L3 Description (Sub Area)],0)),"0")</f>
        <v>07</v>
      </c>
      <c r="D165" s="43" t="str">
        <f>Table681620[[#This Row],[N1]]&amp;Table681620[[#This Row],[N2]]&amp;Table681620[[#This Row],[N3]]</f>
        <v>A307</v>
      </c>
      <c r="E165" s="43" t="str">
        <f>TEXT(COUNTIF(C$7:C163,Table681620[[#This Row],[N3]]),"00")</f>
        <v>06</v>
      </c>
      <c r="F165" s="43">
        <f>COUNTIFS(J$7:J165,J165,K$7:K165,K165,L$7:L165,L165,M$7:M165,M165)</f>
        <v>1</v>
      </c>
      <c r="G165" s="43" t="str">
        <f>TEXT(COUNTIFS(A$7:A165,A165,B$7:B165,B165,E$7:E165,E165,F$7:F165,1),"00")</f>
        <v>02</v>
      </c>
      <c r="H165" s="43" t="str">
        <f t="shared" si="6"/>
        <v>00</v>
      </c>
      <c r="I165" s="44" t="str">
        <f t="shared" si="7"/>
        <v>4</v>
      </c>
      <c r="J165" s="45" t="s">
        <v>38</v>
      </c>
      <c r="K165" s="45" t="s">
        <v>391</v>
      </c>
      <c r="L165" s="45" t="s">
        <v>642</v>
      </c>
      <c r="M165" s="45" t="s">
        <v>322</v>
      </c>
      <c r="N165" s="45"/>
      <c r="O16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A3.07.06</v>
      </c>
      <c r="P165" s="59" t="s">
        <v>350</v>
      </c>
      <c r="Q165" s="59" t="s">
        <v>78</v>
      </c>
      <c r="R165" s="59" t="s">
        <v>532</v>
      </c>
      <c r="S165" s="59" t="s">
        <v>1883</v>
      </c>
      <c r="T165" s="58" t="str">
        <f>IF(Table681620[[#This Row],[LEVEL]]="5",Table681620[[#This Row],[L5]],
IF(Table681620[[#This Row],[LEVEL]]="4",Table681620[[#This Row],[L4]],
IF(Table681620[[#This Row],[LEVEL]]="3",Table681620[[#This Row],[L3]],
IF(Table681620[[#This Row],[LEVEL]]="2",Table681620[[#This Row],[L2]],
IF(Table681620[[#This Row],[LEVEL]]="1",Table681620[[#This Row],[L1]],"")))))</f>
        <v>Distribution Boards</v>
      </c>
      <c r="U165" s="47" t="s">
        <v>574</v>
      </c>
      <c r="V165" s="47" t="s">
        <v>44</v>
      </c>
      <c r="W165" s="70"/>
      <c r="X165" s="48"/>
      <c r="Y165" s="62">
        <f>Table681620[[#This Row],[Qty]]*Table681620[[#This Row],[Rate]]</f>
        <v>0</v>
      </c>
      <c r="Z165" s="51"/>
      <c r="AA165" s="48" t="s">
        <v>644</v>
      </c>
      <c r="AB165" s="48" t="s">
        <v>645</v>
      </c>
      <c r="AC165" s="7"/>
      <c r="AD165" s="72"/>
      <c r="AE165" s="67"/>
      <c r="AF165" s="7"/>
      <c r="AG165" s="72"/>
      <c r="AH165" s="67"/>
      <c r="AI165" s="7"/>
      <c r="AJ165" s="72"/>
      <c r="AK165" s="67"/>
    </row>
    <row r="166" spans="1:37" x14ac:dyDescent="0.3">
      <c r="A166" s="43" t="str">
        <f>INDEX(Table_Numbering[L1],MATCH(Table681620[[#This Row],[L1]],Table_Numbering[L1 Description (Cost Area)],0))</f>
        <v>A</v>
      </c>
      <c r="B166" s="43" t="str">
        <f>IFERROR(INDEX(Table_Numbering[L2],MATCH(Table681620[[#This Row],[L2]],Table_Numbering[L2 Description (Area)],0)),"0")</f>
        <v>3</v>
      </c>
      <c r="C166" s="43" t="str">
        <f>IFERROR(INDEX(Table_Numbering[L3],MATCH(Table681620[[#This Row],[L3]],Table_Numbering[L3 Description (Sub Area)],0)),"0")</f>
        <v>07</v>
      </c>
      <c r="D166" s="43" t="str">
        <f>Table681620[[#This Row],[N1]]&amp;Table681620[[#This Row],[N2]]&amp;Table681620[[#This Row],[N3]]</f>
        <v>A307</v>
      </c>
      <c r="E166" s="43" t="str">
        <f>TEXT(COUNTIF(C$7:C164,Table681620[[#This Row],[N3]]),"00")</f>
        <v>07</v>
      </c>
      <c r="F166" s="43">
        <f>COUNTIFS(J$7:J166,J166,K$7:K166,K166,L$7:L166,L166,M$7:M166,M166)</f>
        <v>1</v>
      </c>
      <c r="G166" s="43" t="str">
        <f>TEXT(COUNTIFS(A$7:A166,A166,B$7:B166,B166,E$7:E166,E166,F$7:F166,1),"00")</f>
        <v>02</v>
      </c>
      <c r="H166" s="43" t="str">
        <f t="shared" si="6"/>
        <v>00</v>
      </c>
      <c r="I166" s="44" t="str">
        <f t="shared" si="7"/>
        <v>4</v>
      </c>
      <c r="J166" s="45" t="s">
        <v>38</v>
      </c>
      <c r="K166" s="45" t="s">
        <v>391</v>
      </c>
      <c r="L166" s="45" t="s">
        <v>642</v>
      </c>
      <c r="M166" s="45" t="s">
        <v>646</v>
      </c>
      <c r="N166" s="45"/>
      <c r="O16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A3.07.07</v>
      </c>
      <c r="P166" s="59" t="s">
        <v>350</v>
      </c>
      <c r="Q166" s="59" t="s">
        <v>78</v>
      </c>
      <c r="R166" s="59" t="s">
        <v>532</v>
      </c>
      <c r="S166" s="59" t="s">
        <v>1884</v>
      </c>
      <c r="T166" s="58" t="str">
        <f>IF(Table681620[[#This Row],[LEVEL]]="5",Table681620[[#This Row],[L5]],
IF(Table681620[[#This Row],[LEVEL]]="4",Table681620[[#This Row],[L4]],
IF(Table681620[[#This Row],[LEVEL]]="3",Table681620[[#This Row],[L3]],
IF(Table681620[[#This Row],[LEVEL]]="2",Table681620[[#This Row],[L2]],
IF(Table681620[[#This Row],[LEVEL]]="1",Table681620[[#This Row],[L1]],"")))))</f>
        <v>Submains Cabling</v>
      </c>
      <c r="U166" s="47" t="s">
        <v>253</v>
      </c>
      <c r="V166" s="47" t="s">
        <v>44</v>
      </c>
      <c r="W166" s="70"/>
      <c r="X166" s="48"/>
      <c r="Y166" s="62">
        <f>Table681620[[#This Row],[Qty]]*Table681620[[#This Row],[Rate]]</f>
        <v>0</v>
      </c>
      <c r="Z166" s="51"/>
      <c r="AA166" s="48" t="s">
        <v>579</v>
      </c>
      <c r="AB166" s="48" t="s">
        <v>647</v>
      </c>
      <c r="AC166" s="7"/>
      <c r="AD166" s="72"/>
      <c r="AE166" s="67"/>
      <c r="AF166" s="7"/>
      <c r="AG166" s="72"/>
      <c r="AH166" s="67"/>
      <c r="AI166" s="7"/>
      <c r="AJ166" s="72"/>
      <c r="AK166" s="67"/>
    </row>
    <row r="167" spans="1:37" x14ac:dyDescent="0.3">
      <c r="A167" s="43" t="str">
        <f>INDEX(Table_Numbering[L1],MATCH(Table681620[[#This Row],[L1]],Table_Numbering[L1 Description (Cost Area)],0))</f>
        <v>A</v>
      </c>
      <c r="B167" s="43" t="str">
        <f>IFERROR(INDEX(Table_Numbering[L2],MATCH(Table681620[[#This Row],[L2]],Table_Numbering[L2 Description (Area)],0)),"0")</f>
        <v>3</v>
      </c>
      <c r="C167" s="43" t="str">
        <f>IFERROR(INDEX(Table_Numbering[L3],MATCH(Table681620[[#This Row],[L3]],Table_Numbering[L3 Description (Sub Area)],0)),"0")</f>
        <v>07</v>
      </c>
      <c r="D167" s="43" t="str">
        <f>Table681620[[#This Row],[N1]]&amp;Table681620[[#This Row],[N2]]&amp;Table681620[[#This Row],[N3]]</f>
        <v>A307</v>
      </c>
      <c r="E167" s="43" t="str">
        <f>TEXT(COUNTIF(C$7:C165,Table681620[[#This Row],[N3]]),"00")</f>
        <v>08</v>
      </c>
      <c r="F167" s="43">
        <f>COUNTIFS(J$7:J167,J167,K$7:K167,K167,L$7:L167,L167,M$7:M167,M167)</f>
        <v>1</v>
      </c>
      <c r="G167" s="43" t="str">
        <f>TEXT(COUNTIFS(A$7:A167,A167,B$7:B167,B167,E$7:E167,E167,F$7:F167,1),"00")</f>
        <v>02</v>
      </c>
      <c r="H167" s="43" t="str">
        <f t="shared" si="6"/>
        <v>00</v>
      </c>
      <c r="I167" s="44" t="str">
        <f t="shared" si="7"/>
        <v>4</v>
      </c>
      <c r="J167" s="45" t="s">
        <v>38</v>
      </c>
      <c r="K167" s="45" t="s">
        <v>391</v>
      </c>
      <c r="L167" s="45" t="s">
        <v>642</v>
      </c>
      <c r="M167" s="45" t="s">
        <v>648</v>
      </c>
      <c r="N167" s="45"/>
      <c r="O167" s="7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A3.07.08</v>
      </c>
      <c r="P167" s="77" t="s">
        <v>350</v>
      </c>
      <c r="Q167" s="77" t="s">
        <v>78</v>
      </c>
      <c r="R167" s="77" t="s">
        <v>532</v>
      </c>
      <c r="S167" s="77" t="s">
        <v>1885</v>
      </c>
      <c r="T167" s="80" t="str">
        <f>IF(Table681620[[#This Row],[LEVEL]]="5",Table681620[[#This Row],[L5]],
IF(Table681620[[#This Row],[LEVEL]]="4",Table681620[[#This Row],[L4]],
IF(Table681620[[#This Row],[LEVEL]]="3",Table681620[[#This Row],[L3]],
IF(Table681620[[#This Row],[LEVEL]]="2",Table681620[[#This Row],[L2]],
IF(Table681620[[#This Row],[LEVEL]]="1",Table681620[[#This Row],[L1]],"")))))</f>
        <v>General Power Outlets</v>
      </c>
      <c r="U167" s="81" t="s">
        <v>574</v>
      </c>
      <c r="V167" s="82" t="s">
        <v>44</v>
      </c>
      <c r="W167" s="77"/>
      <c r="X167" s="78"/>
      <c r="Y167" s="62">
        <f>Table681620[[#This Row],[Qty]]*Table681620[[#This Row],[Rate]]</f>
        <v>0</v>
      </c>
      <c r="Z167" s="83"/>
      <c r="AA167" s="78" t="s">
        <v>649</v>
      </c>
      <c r="AB167" s="78" t="s">
        <v>650</v>
      </c>
      <c r="AC167" s="7"/>
      <c r="AD167" s="72"/>
      <c r="AE167" s="67"/>
      <c r="AF167" s="7"/>
      <c r="AG167" s="72"/>
      <c r="AH167" s="67"/>
      <c r="AI167" s="7"/>
      <c r="AJ167" s="72"/>
      <c r="AK167" s="67"/>
    </row>
    <row r="168" spans="1:37" x14ac:dyDescent="0.3">
      <c r="A168" s="43" t="str">
        <f>INDEX(Table_Numbering[L1],MATCH(Table681620[[#This Row],[L1]],Table_Numbering[L1 Description (Cost Area)],0))</f>
        <v>A</v>
      </c>
      <c r="B168" s="43" t="str">
        <f>IFERROR(INDEX(Table_Numbering[L2],MATCH(Table681620[[#This Row],[L2]],Table_Numbering[L2 Description (Area)],0)),"0")</f>
        <v>3</v>
      </c>
      <c r="C168" s="43" t="str">
        <f>IFERROR(INDEX(Table_Numbering[L3],MATCH(Table681620[[#This Row],[L3]],Table_Numbering[L3 Description (Sub Area)],0)),"0")</f>
        <v>07</v>
      </c>
      <c r="D168" s="43" t="str">
        <f>Table681620[[#This Row],[N1]]&amp;Table681620[[#This Row],[N2]]&amp;Table681620[[#This Row],[N3]]</f>
        <v>A307</v>
      </c>
      <c r="E168" s="43" t="str">
        <f>TEXT(COUNTIF(C$7:C166,Table681620[[#This Row],[N3]]),"00")</f>
        <v>09</v>
      </c>
      <c r="F168" s="43">
        <f>COUNTIFS(J$7:J168,J168,K$7:K168,K168,L$7:L168,L168,M$7:M168,M168)</f>
        <v>1</v>
      </c>
      <c r="G168" s="43" t="str">
        <f>TEXT(COUNTIFS(A$7:A168,A168,B$7:B168,B168,E$7:E168,E168,F$7:F168,1),"00")</f>
        <v>02</v>
      </c>
      <c r="H168" s="43" t="str">
        <f t="shared" si="6"/>
        <v>00</v>
      </c>
      <c r="I168" s="44" t="str">
        <f t="shared" si="7"/>
        <v>4</v>
      </c>
      <c r="J168" s="45" t="s">
        <v>38</v>
      </c>
      <c r="K168" s="45" t="s">
        <v>391</v>
      </c>
      <c r="L168" s="45" t="s">
        <v>642</v>
      </c>
      <c r="M168" s="45" t="s">
        <v>651</v>
      </c>
      <c r="N168" s="45"/>
      <c r="O16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A3.07.09</v>
      </c>
      <c r="P168" s="59" t="s">
        <v>350</v>
      </c>
      <c r="Q168" s="59" t="s">
        <v>78</v>
      </c>
      <c r="R168" s="59" t="s">
        <v>532</v>
      </c>
      <c r="S168" s="59" t="s">
        <v>1886</v>
      </c>
      <c r="T168" s="58" t="str">
        <f>IF(Table681620[[#This Row],[LEVEL]]="5",Table681620[[#This Row],[L5]],
IF(Table681620[[#This Row],[LEVEL]]="4",Table681620[[#This Row],[L4]],
IF(Table681620[[#This Row],[LEVEL]]="3",Table681620[[#This Row],[L3]],
IF(Table681620[[#This Row],[LEVEL]]="2",Table681620[[#This Row],[L2]],
IF(Table681620[[#This Row],[LEVEL]]="1",Table681620[[#This Row],[L1]],"")))))</f>
        <v>Lighting Installation</v>
      </c>
      <c r="U168" s="47" t="s">
        <v>574</v>
      </c>
      <c r="V168" s="47" t="s">
        <v>44</v>
      </c>
      <c r="W168" s="70"/>
      <c r="X168" s="48"/>
      <c r="Y168" s="62">
        <f>Table681620[[#This Row],[Qty]]*Table681620[[#This Row],[Rate]]</f>
        <v>0</v>
      </c>
      <c r="Z168" s="51"/>
      <c r="AA168" s="63" t="s">
        <v>652</v>
      </c>
      <c r="AB168" s="48" t="s">
        <v>653</v>
      </c>
      <c r="AC168" s="7"/>
      <c r="AD168" s="72"/>
      <c r="AE168" s="67"/>
      <c r="AF168" s="7"/>
      <c r="AG168" s="72"/>
      <c r="AH168" s="67"/>
      <c r="AI168" s="7"/>
      <c r="AJ168" s="72"/>
      <c r="AK168" s="67"/>
    </row>
    <row r="169" spans="1:37" x14ac:dyDescent="0.3">
      <c r="A169" s="43" t="str">
        <f>INDEX(Table_Numbering[L1],MATCH(Table681620[[#This Row],[L1]],Table_Numbering[L1 Description (Cost Area)],0))</f>
        <v>A</v>
      </c>
      <c r="B169" s="43" t="str">
        <f>IFERROR(INDEX(Table_Numbering[L2],MATCH(Table681620[[#This Row],[L2]],Table_Numbering[L2 Description (Area)],0)),"0")</f>
        <v>3</v>
      </c>
      <c r="C169" s="43" t="str">
        <f>IFERROR(INDEX(Table_Numbering[L3],MATCH(Table681620[[#This Row],[L3]],Table_Numbering[L3 Description (Sub Area)],0)),"0")</f>
        <v>07</v>
      </c>
      <c r="D169" s="43" t="str">
        <f>Table681620[[#This Row],[N1]]&amp;Table681620[[#This Row],[N2]]&amp;Table681620[[#This Row],[N3]]</f>
        <v>A307</v>
      </c>
      <c r="E169" s="43" t="str">
        <f>TEXT(COUNTIF(C$7:C167,Table681620[[#This Row],[N3]]),"00")</f>
        <v>10</v>
      </c>
      <c r="F169" s="43">
        <f>COUNTIFS(J$7:J169,J169,K$7:K169,K169,L$7:L169,L169,M$7:M169,M169)</f>
        <v>1</v>
      </c>
      <c r="G169" s="43" t="str">
        <f>TEXT(COUNTIFS(A$7:A169,A169,B$7:B169,B169,E$7:E169,E169,F$7:F169,1),"00")</f>
        <v>02</v>
      </c>
      <c r="H169" s="43" t="str">
        <f t="shared" si="6"/>
        <v>00</v>
      </c>
      <c r="I169" s="44" t="str">
        <f t="shared" si="7"/>
        <v>4</v>
      </c>
      <c r="J169" s="45" t="s">
        <v>38</v>
      </c>
      <c r="K169" s="45" t="s">
        <v>391</v>
      </c>
      <c r="L169" s="45" t="s">
        <v>642</v>
      </c>
      <c r="M169" s="45" t="s">
        <v>353</v>
      </c>
      <c r="N169" s="45"/>
      <c r="O16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A3.07.10</v>
      </c>
      <c r="P169" s="59" t="s">
        <v>350</v>
      </c>
      <c r="Q169" s="59" t="s">
        <v>78</v>
      </c>
      <c r="R169" s="59" t="s">
        <v>532</v>
      </c>
      <c r="S169" s="59" t="s">
        <v>1887</v>
      </c>
      <c r="T169" s="58" t="str">
        <f>IF(Table681620[[#This Row],[LEVEL]]="5",Table681620[[#This Row],[L5]],
IF(Table681620[[#This Row],[LEVEL]]="4",Table681620[[#This Row],[L4]],
IF(Table681620[[#This Row],[LEVEL]]="3",Table681620[[#This Row],[L3]],
IF(Table681620[[#This Row],[LEVEL]]="2",Table681620[[#This Row],[L2]],
IF(Table681620[[#This Row],[LEVEL]]="1",Table681620[[#This Row],[L1]],"")))))</f>
        <v>Emergency Lighting</v>
      </c>
      <c r="U169" s="47" t="s">
        <v>574</v>
      </c>
      <c r="V169" s="47" t="s">
        <v>44</v>
      </c>
      <c r="W169" s="70"/>
      <c r="X169" s="48"/>
      <c r="Y169" s="62">
        <f>Table681620[[#This Row],[Qty]]*Table681620[[#This Row],[Rate]]</f>
        <v>0</v>
      </c>
      <c r="Z169" s="51"/>
      <c r="AA169" s="48" t="s">
        <v>652</v>
      </c>
      <c r="AB169" s="48" t="s">
        <v>654</v>
      </c>
      <c r="AC169" s="7"/>
      <c r="AD169" s="72"/>
      <c r="AE169" s="67"/>
      <c r="AF169" s="7"/>
      <c r="AG169" s="72"/>
      <c r="AH169" s="67"/>
      <c r="AI169" s="7"/>
      <c r="AJ169" s="72"/>
      <c r="AK169" s="67"/>
    </row>
    <row r="170" spans="1:37" x14ac:dyDescent="0.3">
      <c r="A170" s="43" t="str">
        <f>INDEX(Table_Numbering[L1],MATCH(Table681620[[#This Row],[L1]],Table_Numbering[L1 Description (Cost Area)],0))</f>
        <v>A</v>
      </c>
      <c r="B170" s="43" t="str">
        <f>IFERROR(INDEX(Table_Numbering[L2],MATCH(Table681620[[#This Row],[L2]],Table_Numbering[L2 Description (Area)],0)),"0")</f>
        <v>3</v>
      </c>
      <c r="C170" s="43" t="str">
        <f>IFERROR(INDEX(Table_Numbering[L3],MATCH(Table681620[[#This Row],[L3]],Table_Numbering[L3 Description (Sub Area)],0)),"0")</f>
        <v>07</v>
      </c>
      <c r="D170" s="43" t="str">
        <f>Table681620[[#This Row],[N1]]&amp;Table681620[[#This Row],[N2]]&amp;Table681620[[#This Row],[N3]]</f>
        <v>A307</v>
      </c>
      <c r="E170" s="43" t="str">
        <f>TEXT(COUNTIF(C$7:C168,Table681620[[#This Row],[N3]]),"00")</f>
        <v>11</v>
      </c>
      <c r="F170" s="43">
        <f>COUNTIFS(J$7:J170,J170,K$7:K170,K170,L$7:L170,L170,M$7:M170,M170)</f>
        <v>1</v>
      </c>
      <c r="G170" s="43" t="str">
        <f>TEXT(COUNTIFS(A$7:A170,A170,B$7:B170,B170,E$7:E170,E170,F$7:F170,1),"00")</f>
        <v>01</v>
      </c>
      <c r="H170" s="43" t="str">
        <f t="shared" si="6"/>
        <v>00</v>
      </c>
      <c r="I170" s="44" t="str">
        <f t="shared" si="7"/>
        <v>4</v>
      </c>
      <c r="J170" s="45" t="s">
        <v>38</v>
      </c>
      <c r="K170" s="45" t="s">
        <v>391</v>
      </c>
      <c r="L170" s="45" t="s">
        <v>642</v>
      </c>
      <c r="M170" s="45" t="s">
        <v>655</v>
      </c>
      <c r="N170" s="45"/>
      <c r="O17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A3.07.11</v>
      </c>
      <c r="P170" s="59" t="s">
        <v>350</v>
      </c>
      <c r="Q170" s="59" t="s">
        <v>78</v>
      </c>
      <c r="R170" s="59" t="s">
        <v>532</v>
      </c>
      <c r="S170" s="59" t="s">
        <v>1888</v>
      </c>
      <c r="T170" s="58" t="str">
        <f>IF(Table681620[[#This Row],[LEVEL]]="5",Table681620[[#This Row],[L5]],
IF(Table681620[[#This Row],[LEVEL]]="4",Table681620[[#This Row],[L4]],
IF(Table681620[[#This Row],[LEVEL]]="3",Table681620[[#This Row],[L3]],
IF(Table681620[[#This Row],[LEVEL]]="2",Table681620[[#This Row],[L2]],
IF(Table681620[[#This Row],[LEVEL]]="1",Table681620[[#This Row],[L1]],"")))))</f>
        <v>Data/Communications Cabling</v>
      </c>
      <c r="U170" s="47" t="s">
        <v>574</v>
      </c>
      <c r="V170" s="47" t="s">
        <v>44</v>
      </c>
      <c r="W170" s="70"/>
      <c r="X170" s="48"/>
      <c r="Y170" s="62">
        <f>Table681620[[#This Row],[Qty]]*Table681620[[#This Row],[Rate]]</f>
        <v>0</v>
      </c>
      <c r="Z170" s="51"/>
      <c r="AA170" s="48" t="s">
        <v>649</v>
      </c>
      <c r="AB170" s="48" t="s">
        <v>656</v>
      </c>
      <c r="AC170" s="7"/>
      <c r="AD170" s="72"/>
      <c r="AE170" s="67"/>
      <c r="AF170" s="7"/>
      <c r="AG170" s="72"/>
      <c r="AH170" s="67"/>
      <c r="AI170" s="7"/>
      <c r="AJ170" s="72"/>
      <c r="AK170" s="67"/>
    </row>
    <row r="171" spans="1:37" x14ac:dyDescent="0.3">
      <c r="A171" s="43" t="str">
        <f>INDEX(Table_Numbering[L1],MATCH(Table681620[[#This Row],[L1]],Table_Numbering[L1 Description (Cost Area)],0))</f>
        <v>A</v>
      </c>
      <c r="B171" s="43" t="str">
        <f>IFERROR(INDEX(Table_Numbering[L2],MATCH(Table681620[[#This Row],[L2]],Table_Numbering[L2 Description (Area)],0)),"0")</f>
        <v>3</v>
      </c>
      <c r="C171" s="43" t="str">
        <f>IFERROR(INDEX(Table_Numbering[L3],MATCH(Table681620[[#This Row],[L3]],Table_Numbering[L3 Description (Sub Area)],0)),"0")</f>
        <v>07</v>
      </c>
      <c r="D171" s="43" t="str">
        <f>Table681620[[#This Row],[N1]]&amp;Table681620[[#This Row],[N2]]&amp;Table681620[[#This Row],[N3]]</f>
        <v>A307</v>
      </c>
      <c r="E171" s="43" t="str">
        <f>TEXT(COUNTIF(C$7:C169,Table681620[[#This Row],[N3]]),"00")</f>
        <v>12</v>
      </c>
      <c r="F171" s="43">
        <f>COUNTIFS(J$7:J171,J171,K$7:K171,K171,L$7:L171,L171,M$7:M171,M171)</f>
        <v>1</v>
      </c>
      <c r="G171" s="43" t="str">
        <f>TEXT(COUNTIFS(A$7:A171,A171,B$7:B171,B171,E$7:E171,E171,F$7:F171,1),"00")</f>
        <v>04</v>
      </c>
      <c r="H171" s="43" t="str">
        <f t="shared" si="6"/>
        <v>00</v>
      </c>
      <c r="I171" s="44" t="str">
        <f t="shared" si="7"/>
        <v>4</v>
      </c>
      <c r="J171" s="45" t="s">
        <v>38</v>
      </c>
      <c r="K171" s="45" t="s">
        <v>391</v>
      </c>
      <c r="L171" s="45" t="s">
        <v>642</v>
      </c>
      <c r="M171" s="45" t="s">
        <v>657</v>
      </c>
      <c r="N171" s="45"/>
      <c r="O17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A3.07.12</v>
      </c>
      <c r="P171" s="59" t="s">
        <v>350</v>
      </c>
      <c r="Q171" s="59" t="s">
        <v>78</v>
      </c>
      <c r="R171" s="59" t="s">
        <v>532</v>
      </c>
      <c r="S171" s="59" t="s">
        <v>1889</v>
      </c>
      <c r="T171" s="58" t="str">
        <f>IF(Table681620[[#This Row],[LEVEL]]="5",Table681620[[#This Row],[L5]],
IF(Table681620[[#This Row],[LEVEL]]="4",Table681620[[#This Row],[L4]],
IF(Table681620[[#This Row],[LEVEL]]="3",Table681620[[#This Row],[L3]],
IF(Table681620[[#This Row],[LEVEL]]="2",Table681620[[#This Row],[L2]],
IF(Table681620[[#This Row],[LEVEL]]="1",Table681620[[#This Row],[L1]],"")))))</f>
        <v>Earthing System</v>
      </c>
      <c r="U171" s="47" t="s">
        <v>62</v>
      </c>
      <c r="V171" s="47" t="s">
        <v>44</v>
      </c>
      <c r="W171" s="70">
        <v>1</v>
      </c>
      <c r="X171" s="48"/>
      <c r="Y171" s="62">
        <f>Table681620[[#This Row],[Qty]]*Table681620[[#This Row],[Rate]]</f>
        <v>0</v>
      </c>
      <c r="Z171" s="51"/>
      <c r="AA171" s="48" t="s">
        <v>79</v>
      </c>
      <c r="AB171" s="48" t="s">
        <v>658</v>
      </c>
      <c r="AC171" s="7"/>
      <c r="AD171" s="72"/>
      <c r="AE171" s="67"/>
      <c r="AF171" s="7"/>
      <c r="AG171" s="72"/>
      <c r="AH171" s="67"/>
      <c r="AI171" s="7"/>
      <c r="AJ171" s="72"/>
      <c r="AK171" s="67"/>
    </row>
    <row r="172" spans="1:37" x14ac:dyDescent="0.3">
      <c r="A172" s="43" t="str">
        <f>INDEX(Table_Numbering[L1],MATCH(Table681620[[#This Row],[L1]],Table_Numbering[L1 Description (Cost Area)],0))</f>
        <v>A</v>
      </c>
      <c r="B172" s="43" t="str">
        <f>IFERROR(INDEX(Table_Numbering[L2],MATCH(Table681620[[#This Row],[L2]],Table_Numbering[L2 Description (Area)],0)),"0")</f>
        <v>3</v>
      </c>
      <c r="C172" s="43" t="str">
        <f>IFERROR(INDEX(Table_Numbering[L3],MATCH(Table681620[[#This Row],[L3]],Table_Numbering[L3 Description (Sub Area)],0)),"0")</f>
        <v>08</v>
      </c>
      <c r="D172" s="43" t="str">
        <f>Table681620[[#This Row],[N1]]&amp;Table681620[[#This Row],[N2]]&amp;Table681620[[#This Row],[N3]]</f>
        <v>A308</v>
      </c>
      <c r="E172" s="43" t="str">
        <f>TEXT(COUNTIF(C$7:C170,Table681620[[#This Row],[N3]]),"00")</f>
        <v>05</v>
      </c>
      <c r="F172" s="43">
        <f>COUNTIFS(J$7:J172,J172,K$7:K172,K172,L$7:L172,L172,M$7:M172,M172)</f>
        <v>0</v>
      </c>
      <c r="G172" s="43" t="str">
        <f>TEXT(COUNTIFS(A$7:A172,A172,B$7:B172,B172,E$7:E172,E172,F$7:F172,1),"00")</f>
        <v>02</v>
      </c>
      <c r="H172" s="43" t="str">
        <f t="shared" si="6"/>
        <v>00</v>
      </c>
      <c r="I172" s="44" t="str">
        <f t="shared" si="7"/>
        <v>3</v>
      </c>
      <c r="J172" s="45" t="s">
        <v>38</v>
      </c>
      <c r="K172" s="45" t="s">
        <v>391</v>
      </c>
      <c r="L172" s="45" t="s">
        <v>659</v>
      </c>
      <c r="M172" s="45"/>
      <c r="N172" s="45"/>
      <c r="O17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A3.08</v>
      </c>
      <c r="P172" s="59"/>
      <c r="Q172" s="59"/>
      <c r="R172" s="59"/>
      <c r="S172" s="59"/>
      <c r="T172" s="55" t="str">
        <f>IF(Table681620[[#This Row],[LEVEL]]="5",Table681620[[#This Row],[L5]],
IF(Table681620[[#This Row],[LEVEL]]="4",Table681620[[#This Row],[L4]],
IF(Table681620[[#This Row],[LEVEL]]="3",Table681620[[#This Row],[L3]],
IF(Table681620[[#This Row],[LEVEL]]="2",Table681620[[#This Row],[L2]],
IF(Table681620[[#This Row],[LEVEL]]="1",Table681620[[#This Row],[L1]],"")))))</f>
        <v>HYDRAULIC</v>
      </c>
      <c r="U172" s="47"/>
      <c r="V172" s="47"/>
      <c r="W172" s="70"/>
      <c r="X172" s="48"/>
      <c r="Y172" s="50">
        <f>SUBTOTAL(9,Y173:Y177)</f>
        <v>0</v>
      </c>
      <c r="Z172" s="51"/>
      <c r="AA172" s="48"/>
      <c r="AB172" s="48"/>
      <c r="AC172" s="7"/>
      <c r="AD172" s="72"/>
      <c r="AE172" s="67"/>
      <c r="AF172" s="7"/>
      <c r="AG172" s="72"/>
      <c r="AH172" s="67"/>
      <c r="AI172" s="7"/>
      <c r="AJ172" s="72"/>
      <c r="AK172" s="67"/>
    </row>
    <row r="173" spans="1:37" x14ac:dyDescent="0.3">
      <c r="A173" s="43" t="str">
        <f>INDEX(Table_Numbering[L1],MATCH(Table681620[[#This Row],[L1]],Table_Numbering[L1 Description (Cost Area)],0))</f>
        <v>A</v>
      </c>
      <c r="B173" s="43" t="str">
        <f>IFERROR(INDEX(Table_Numbering[L2],MATCH(Table681620[[#This Row],[L2]],Table_Numbering[L2 Description (Area)],0)),"0")</f>
        <v>3</v>
      </c>
      <c r="C173" s="43" t="str">
        <f>IFERROR(INDEX(Table_Numbering[L3],MATCH(Table681620[[#This Row],[L3]],Table_Numbering[L3 Description (Sub Area)],0)),"0")</f>
        <v>08</v>
      </c>
      <c r="D173" s="43" t="str">
        <f>Table681620[[#This Row],[N1]]&amp;Table681620[[#This Row],[N2]]&amp;Table681620[[#This Row],[N3]]</f>
        <v>A308</v>
      </c>
      <c r="E173" s="43" t="str">
        <f>TEXT(COUNTIF(C$7:C171,Table681620[[#This Row],[N3]]),"00")</f>
        <v>05</v>
      </c>
      <c r="F173" s="43">
        <f>COUNTIFS(J$7:J173,J173,K$7:K173,K173,L$7:L173,L173,M$7:M173,M173)</f>
        <v>1</v>
      </c>
      <c r="G173" s="43" t="str">
        <f>TEXT(COUNTIFS(A$7:A173,A173,B$7:B173,B173,E$7:E173,E173,F$7:F173,1),"00")</f>
        <v>03</v>
      </c>
      <c r="H173" s="43" t="str">
        <f t="shared" si="6"/>
        <v>00</v>
      </c>
      <c r="I173" s="44" t="str">
        <f t="shared" si="7"/>
        <v>4</v>
      </c>
      <c r="J173" s="45" t="s">
        <v>38</v>
      </c>
      <c r="K173" s="45" t="s">
        <v>391</v>
      </c>
      <c r="L173" s="45" t="s">
        <v>659</v>
      </c>
      <c r="M173" s="45" t="s">
        <v>661</v>
      </c>
      <c r="N173" s="45"/>
      <c r="O17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A3.08.05</v>
      </c>
      <c r="P173" s="59" t="s">
        <v>351</v>
      </c>
      <c r="Q173" s="59" t="s">
        <v>78</v>
      </c>
      <c r="R173" s="59" t="s">
        <v>660</v>
      </c>
      <c r="S173" s="59" t="s">
        <v>1890</v>
      </c>
      <c r="T173" s="58" t="str">
        <f>IF(Table681620[[#This Row],[LEVEL]]="5",Table681620[[#This Row],[L5]],
IF(Table681620[[#This Row],[LEVEL]]="4",Table681620[[#This Row],[L4]],
IF(Table681620[[#This Row],[LEVEL]]="3",Table681620[[#This Row],[L3]],
IF(Table681620[[#This Row],[LEVEL]]="2",Table681620[[#This Row],[L2]],
IF(Table681620[[#This Row],[LEVEL]]="1",Table681620[[#This Row],[L1]],"")))))</f>
        <v>Cold Water Reticulation</v>
      </c>
      <c r="U173" s="47" t="s">
        <v>253</v>
      </c>
      <c r="V173" s="47" t="s">
        <v>44</v>
      </c>
      <c r="W173" s="70"/>
      <c r="X173" s="48"/>
      <c r="Y173" s="62">
        <f>Table681620[[#This Row],[Qty]]*Table681620[[#This Row],[Rate]]</f>
        <v>0</v>
      </c>
      <c r="Z173" s="51"/>
      <c r="AA173" s="48" t="s">
        <v>579</v>
      </c>
      <c r="AB173" s="48" t="s">
        <v>641</v>
      </c>
      <c r="AC173" s="7"/>
      <c r="AD173" s="72"/>
      <c r="AE173" s="67"/>
      <c r="AF173" s="7"/>
      <c r="AG173" s="72"/>
      <c r="AH173" s="67"/>
      <c r="AI173" s="7"/>
      <c r="AJ173" s="72"/>
      <c r="AK173" s="67"/>
    </row>
    <row r="174" spans="1:37" x14ac:dyDescent="0.3">
      <c r="A174" s="43" t="str">
        <f>INDEX(Table_Numbering[L1],MATCH(Table681620[[#This Row],[L1]],Table_Numbering[L1 Description (Cost Area)],0))</f>
        <v>A</v>
      </c>
      <c r="B174" s="43" t="str">
        <f>IFERROR(INDEX(Table_Numbering[L2],MATCH(Table681620[[#This Row],[L2]],Table_Numbering[L2 Description (Area)],0)),"0")</f>
        <v>3</v>
      </c>
      <c r="C174" s="43" t="str">
        <f>IFERROR(INDEX(Table_Numbering[L3],MATCH(Table681620[[#This Row],[L3]],Table_Numbering[L3 Description (Sub Area)],0)),"0")</f>
        <v>08</v>
      </c>
      <c r="D174" s="43" t="str">
        <f>Table681620[[#This Row],[N1]]&amp;Table681620[[#This Row],[N2]]&amp;Table681620[[#This Row],[N3]]</f>
        <v>A308</v>
      </c>
      <c r="E174" s="43" t="str">
        <f>TEXT(COUNTIF(C$7:C172,Table681620[[#This Row],[N3]]),"00")</f>
        <v>06</v>
      </c>
      <c r="F174" s="43">
        <f>COUNTIFS(J$7:J174,J174,K$7:K174,K174,L$7:L174,L174,M$7:M174,M174)</f>
        <v>1</v>
      </c>
      <c r="G174" s="43" t="str">
        <f>TEXT(COUNTIFS(A$7:A174,A174,B$7:B174,B174,E$7:E174,E174,F$7:F174,1),"00")</f>
        <v>03</v>
      </c>
      <c r="H174" s="43" t="str">
        <f t="shared" si="6"/>
        <v>00</v>
      </c>
      <c r="I174" s="44" t="str">
        <f t="shared" si="7"/>
        <v>4</v>
      </c>
      <c r="J174" s="45" t="s">
        <v>38</v>
      </c>
      <c r="K174" s="45" t="s">
        <v>391</v>
      </c>
      <c r="L174" s="45" t="s">
        <v>659</v>
      </c>
      <c r="M174" s="45" t="s">
        <v>662</v>
      </c>
      <c r="N174" s="45"/>
      <c r="O17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A3.08.06</v>
      </c>
      <c r="P174" s="59" t="s">
        <v>351</v>
      </c>
      <c r="Q174" s="59" t="s">
        <v>78</v>
      </c>
      <c r="R174" s="59" t="s">
        <v>660</v>
      </c>
      <c r="S174" s="59" t="s">
        <v>1891</v>
      </c>
      <c r="T174" s="58" t="str">
        <f>IF(Table681620[[#This Row],[LEVEL]]="5",Table681620[[#This Row],[L5]],
IF(Table681620[[#This Row],[LEVEL]]="4",Table681620[[#This Row],[L4]],
IF(Table681620[[#This Row],[LEVEL]]="3",Table681620[[#This Row],[L3]],
IF(Table681620[[#This Row],[LEVEL]]="2",Table681620[[#This Row],[L2]],
IF(Table681620[[#This Row],[LEVEL]]="1",Table681620[[#This Row],[L1]],"")))))</f>
        <v>Hot Water System &amp; Reticulation</v>
      </c>
      <c r="U174" s="47" t="s">
        <v>62</v>
      </c>
      <c r="V174" s="47" t="s">
        <v>44</v>
      </c>
      <c r="W174" s="70">
        <v>1</v>
      </c>
      <c r="X174" s="48"/>
      <c r="Y174" s="62">
        <f>Table681620[[#This Row],[Qty]]*Table681620[[#This Row],[Rate]]</f>
        <v>0</v>
      </c>
      <c r="Z174" s="51"/>
      <c r="AA174" s="48" t="s">
        <v>663</v>
      </c>
      <c r="AB174" s="48" t="s">
        <v>664</v>
      </c>
      <c r="AC174" s="7"/>
      <c r="AD174" s="72"/>
      <c r="AE174" s="67"/>
      <c r="AF174" s="7"/>
      <c r="AG174" s="72"/>
      <c r="AH174" s="67"/>
      <c r="AI174" s="7"/>
      <c r="AJ174" s="72"/>
      <c r="AK174" s="67"/>
    </row>
    <row r="175" spans="1:37" x14ac:dyDescent="0.3">
      <c r="A175" s="43" t="str">
        <f>INDEX(Table_Numbering[L1],MATCH(Table681620[[#This Row],[L1]],Table_Numbering[L1 Description (Cost Area)],0))</f>
        <v>A</v>
      </c>
      <c r="B175" s="43" t="str">
        <f>IFERROR(INDEX(Table_Numbering[L2],MATCH(Table681620[[#This Row],[L2]],Table_Numbering[L2 Description (Area)],0)),"0")</f>
        <v>3</v>
      </c>
      <c r="C175" s="43" t="str">
        <f>IFERROR(INDEX(Table_Numbering[L3],MATCH(Table681620[[#This Row],[L3]],Table_Numbering[L3 Description (Sub Area)],0)),"0")</f>
        <v>08</v>
      </c>
      <c r="D175" s="43" t="str">
        <f>Table681620[[#This Row],[N1]]&amp;Table681620[[#This Row],[N2]]&amp;Table681620[[#This Row],[N3]]</f>
        <v>A308</v>
      </c>
      <c r="E175" s="43" t="str">
        <f>TEXT(COUNTIF(C$7:C173,Table681620[[#This Row],[N3]]),"00")</f>
        <v>07</v>
      </c>
      <c r="F175" s="43">
        <f>COUNTIFS(J$7:J175,J175,K$7:K175,K175,L$7:L175,L175,M$7:M175,M175)</f>
        <v>1</v>
      </c>
      <c r="G175" s="43" t="str">
        <f>TEXT(COUNTIFS(A$7:A175,A175,B$7:B175,B175,E$7:E175,E175,F$7:F175,1),"00")</f>
        <v>03</v>
      </c>
      <c r="H175" s="43" t="str">
        <f t="shared" si="6"/>
        <v>00</v>
      </c>
      <c r="I175" s="44" t="str">
        <f t="shared" si="7"/>
        <v>4</v>
      </c>
      <c r="J175" s="45" t="s">
        <v>38</v>
      </c>
      <c r="K175" s="45" t="s">
        <v>391</v>
      </c>
      <c r="L175" s="45" t="s">
        <v>659</v>
      </c>
      <c r="M175" s="45" t="s">
        <v>665</v>
      </c>
      <c r="N175" s="45"/>
      <c r="O17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A3.08.07</v>
      </c>
      <c r="P175" s="59" t="s">
        <v>351</v>
      </c>
      <c r="Q175" s="59" t="s">
        <v>78</v>
      </c>
      <c r="R175" s="59" t="s">
        <v>660</v>
      </c>
      <c r="S175" s="59" t="s">
        <v>1892</v>
      </c>
      <c r="T175" s="58" t="str">
        <f>IF(Table681620[[#This Row],[LEVEL]]="5",Table681620[[#This Row],[L5]],
IF(Table681620[[#This Row],[LEVEL]]="4",Table681620[[#This Row],[L4]],
IF(Table681620[[#This Row],[LEVEL]]="3",Table681620[[#This Row],[L3]],
IF(Table681620[[#This Row],[LEVEL]]="2",Table681620[[#This Row],[L2]],
IF(Table681620[[#This Row],[LEVEL]]="1",Table681620[[#This Row],[L1]],"")))))</f>
        <v>Sanitary Plumbing</v>
      </c>
      <c r="U175" s="47" t="s">
        <v>62</v>
      </c>
      <c r="V175" s="47" t="s">
        <v>44</v>
      </c>
      <c r="W175" s="70">
        <v>1</v>
      </c>
      <c r="X175" s="48"/>
      <c r="Y175" s="62">
        <f>Table681620[[#This Row],[Qty]]*Table681620[[#This Row],[Rate]]</f>
        <v>0</v>
      </c>
      <c r="Z175" s="51"/>
      <c r="AA175" s="48" t="s">
        <v>666</v>
      </c>
      <c r="AB175" s="48" t="s">
        <v>667</v>
      </c>
      <c r="AC175" s="7"/>
      <c r="AD175" s="72"/>
      <c r="AE175" s="67"/>
      <c r="AF175" s="7"/>
      <c r="AG175" s="72"/>
      <c r="AH175" s="67"/>
      <c r="AI175" s="7"/>
      <c r="AJ175" s="72"/>
      <c r="AK175" s="67"/>
    </row>
    <row r="176" spans="1:37" x14ac:dyDescent="0.3">
      <c r="A176" s="43" t="str">
        <f>INDEX(Table_Numbering[L1],MATCH(Table681620[[#This Row],[L1]],Table_Numbering[L1 Description (Cost Area)],0))</f>
        <v>A</v>
      </c>
      <c r="B176" s="43" t="str">
        <f>IFERROR(INDEX(Table_Numbering[L2],MATCH(Table681620[[#This Row],[L2]],Table_Numbering[L2 Description (Area)],0)),"0")</f>
        <v>3</v>
      </c>
      <c r="C176" s="43" t="str">
        <f>IFERROR(INDEX(Table_Numbering[L3],MATCH(Table681620[[#This Row],[L3]],Table_Numbering[L3 Description (Sub Area)],0)),"0")</f>
        <v>08</v>
      </c>
      <c r="D176" s="43" t="str">
        <f>Table681620[[#This Row],[N1]]&amp;Table681620[[#This Row],[N2]]&amp;Table681620[[#This Row],[N3]]</f>
        <v>A308</v>
      </c>
      <c r="E176" s="43" t="str">
        <f>TEXT(COUNTIF(C$7:C174,Table681620[[#This Row],[N3]]),"00")</f>
        <v>08</v>
      </c>
      <c r="F176" s="43">
        <f>COUNTIFS(J$7:J176,J176,K$7:K176,K176,L$7:L176,L176,M$7:M176,M176)</f>
        <v>1</v>
      </c>
      <c r="G176" s="43" t="str">
        <f>TEXT(COUNTIFS(A$7:A176,A176,B$7:B176,B176,E$7:E176,E176,F$7:F176,1),"00")</f>
        <v>03</v>
      </c>
      <c r="H176" s="43" t="str">
        <f t="shared" si="6"/>
        <v>00</v>
      </c>
      <c r="I176" s="44" t="str">
        <f t="shared" si="7"/>
        <v>4</v>
      </c>
      <c r="J176" s="45" t="s">
        <v>38</v>
      </c>
      <c r="K176" s="45" t="s">
        <v>391</v>
      </c>
      <c r="L176" s="45" t="s">
        <v>659</v>
      </c>
      <c r="M176" s="45" t="s">
        <v>668</v>
      </c>
      <c r="N176" s="45"/>
      <c r="O17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A3.08.08</v>
      </c>
      <c r="P176" s="59" t="s">
        <v>351</v>
      </c>
      <c r="Q176" s="59" t="s">
        <v>78</v>
      </c>
      <c r="R176" s="59" t="s">
        <v>660</v>
      </c>
      <c r="S176" s="59" t="s">
        <v>1893</v>
      </c>
      <c r="T176" s="58" t="str">
        <f>IF(Table681620[[#This Row],[LEVEL]]="5",Table681620[[#This Row],[L5]],
IF(Table681620[[#This Row],[LEVEL]]="4",Table681620[[#This Row],[L4]],
IF(Table681620[[#This Row],[LEVEL]]="3",Table681620[[#This Row],[L3]],
IF(Table681620[[#This Row],[LEVEL]]="2",Table681620[[#This Row],[L2]],
IF(Table681620[[#This Row],[LEVEL]]="1",Table681620[[#This Row],[L1]],"")))))</f>
        <v>Sewer Drainage</v>
      </c>
      <c r="U176" s="47" t="s">
        <v>253</v>
      </c>
      <c r="V176" s="47" t="s">
        <v>44</v>
      </c>
      <c r="W176" s="70"/>
      <c r="X176" s="48"/>
      <c r="Y176" s="62">
        <f>Table681620[[#This Row],[Qty]]*Table681620[[#This Row],[Rate]]</f>
        <v>0</v>
      </c>
      <c r="Z176" s="51"/>
      <c r="AA176" s="48" t="s">
        <v>579</v>
      </c>
      <c r="AB176" s="48" t="s">
        <v>669</v>
      </c>
      <c r="AC176" s="7"/>
      <c r="AD176" s="72"/>
      <c r="AE176" s="67"/>
      <c r="AF176" s="7"/>
      <c r="AG176" s="72"/>
      <c r="AH176" s="67"/>
      <c r="AI176" s="7"/>
      <c r="AJ176" s="72"/>
      <c r="AK176" s="67"/>
    </row>
    <row r="177" spans="1:37" x14ac:dyDescent="0.3">
      <c r="A177" s="43" t="str">
        <f>INDEX(Table_Numbering[L1],MATCH(Table681620[[#This Row],[L1]],Table_Numbering[L1 Description (Cost Area)],0))</f>
        <v>A</v>
      </c>
      <c r="B177" s="43" t="str">
        <f>IFERROR(INDEX(Table_Numbering[L2],MATCH(Table681620[[#This Row],[L2]],Table_Numbering[L2 Description (Area)],0)),"0")</f>
        <v>3</v>
      </c>
      <c r="C177" s="43" t="str">
        <f>IFERROR(INDEX(Table_Numbering[L3],MATCH(Table681620[[#This Row],[L3]],Table_Numbering[L3 Description (Sub Area)],0)),"0")</f>
        <v>08</v>
      </c>
      <c r="D177" s="43" t="str">
        <f>Table681620[[#This Row],[N1]]&amp;Table681620[[#This Row],[N2]]&amp;Table681620[[#This Row],[N3]]</f>
        <v>A308</v>
      </c>
      <c r="E177" s="43" t="str">
        <f>TEXT(COUNTIF(C$7:C175,Table681620[[#This Row],[N3]]),"00")</f>
        <v>09</v>
      </c>
      <c r="F177" s="43">
        <f>COUNTIFS(J$7:J177,J177,K$7:K177,K177,L$7:L177,L177,M$7:M177,M177)</f>
        <v>1</v>
      </c>
      <c r="G177" s="43" t="str">
        <f>TEXT(COUNTIFS(A$7:A177,A177,B$7:B177,B177,E$7:E177,E177,F$7:F177,1),"00")</f>
        <v>03</v>
      </c>
      <c r="H177" s="43" t="str">
        <f t="shared" si="6"/>
        <v>00</v>
      </c>
      <c r="I177" s="44" t="str">
        <f t="shared" si="7"/>
        <v>4</v>
      </c>
      <c r="J177" s="45" t="s">
        <v>38</v>
      </c>
      <c r="K177" s="45" t="s">
        <v>391</v>
      </c>
      <c r="L177" s="45" t="s">
        <v>659</v>
      </c>
      <c r="M177" s="45" t="s">
        <v>670</v>
      </c>
      <c r="N177" s="45"/>
      <c r="O17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A3.08.09</v>
      </c>
      <c r="P177" s="59" t="s">
        <v>351</v>
      </c>
      <c r="Q177" s="59" t="s">
        <v>78</v>
      </c>
      <c r="R177" s="59" t="s">
        <v>660</v>
      </c>
      <c r="S177" s="59" t="s">
        <v>1842</v>
      </c>
      <c r="T177" s="58" t="str">
        <f>IF(Table681620[[#This Row],[LEVEL]]="5",Table681620[[#This Row],[L5]],
IF(Table681620[[#This Row],[LEVEL]]="4",Table681620[[#This Row],[L4]],
IF(Table681620[[#This Row],[LEVEL]]="3",Table681620[[#This Row],[L3]],
IF(Table681620[[#This Row],[LEVEL]]="2",Table681620[[#This Row],[L2]],
IF(Table681620[[#This Row],[LEVEL]]="1",Table681620[[#This Row],[L1]],"")))))</f>
        <v>Stormwater Drainage</v>
      </c>
      <c r="U177" s="47" t="s">
        <v>253</v>
      </c>
      <c r="V177" s="47" t="s">
        <v>44</v>
      </c>
      <c r="W177" s="70"/>
      <c r="X177" s="48"/>
      <c r="Y177" s="62">
        <f>Table681620[[#This Row],[Qty]]*Table681620[[#This Row],[Rate]]</f>
        <v>0</v>
      </c>
      <c r="Z177" s="51"/>
      <c r="AA177" s="48" t="s">
        <v>579</v>
      </c>
      <c r="AB177" s="48" t="s">
        <v>650</v>
      </c>
      <c r="AC177" s="7"/>
      <c r="AD177" s="72"/>
      <c r="AE177" s="67"/>
      <c r="AF177" s="7"/>
      <c r="AG177" s="72"/>
      <c r="AH177" s="67"/>
      <c r="AI177" s="7"/>
      <c r="AJ177" s="72"/>
      <c r="AK177" s="67"/>
    </row>
    <row r="178" spans="1:37" x14ac:dyDescent="0.3">
      <c r="A178" s="43" t="str">
        <f>INDEX(Table_Numbering[L1],MATCH(Table681620[[#This Row],[L1]],Table_Numbering[L1 Description (Cost Area)],0))</f>
        <v>A</v>
      </c>
      <c r="B178" s="43" t="str">
        <f>IFERROR(INDEX(Table_Numbering[L2],MATCH(Table681620[[#This Row],[L2]],Table_Numbering[L2 Description (Area)],0)),"0")</f>
        <v>3</v>
      </c>
      <c r="C178" s="43" t="str">
        <f>IFERROR(INDEX(Table_Numbering[L3],MATCH(Table681620[[#This Row],[L3]],Table_Numbering[L3 Description (Sub Area)],0)),"0")</f>
        <v>09</v>
      </c>
      <c r="D178" s="43" t="str">
        <f>Table681620[[#This Row],[N1]]&amp;Table681620[[#This Row],[N2]]&amp;Table681620[[#This Row],[N3]]</f>
        <v>A309</v>
      </c>
      <c r="E178" s="43" t="str">
        <f>TEXT(COUNTIF(C$7:C176,Table681620[[#This Row],[N3]]),"00")</f>
        <v>05</v>
      </c>
      <c r="F178" s="43">
        <f>COUNTIFS(J$7:J178,J178,K$7:K178,K178,L$7:L178,L178,M$7:M178,M178)</f>
        <v>0</v>
      </c>
      <c r="G178" s="43" t="str">
        <f>TEXT(COUNTIFS(A$7:A178,A178,B$7:B178,B178,E$7:E178,E178,F$7:F178,1),"00")</f>
        <v>03</v>
      </c>
      <c r="H178" s="43" t="str">
        <f t="shared" si="6"/>
        <v>00</v>
      </c>
      <c r="I178" s="44" t="str">
        <f t="shared" si="7"/>
        <v>3</v>
      </c>
      <c r="J178" s="45" t="s">
        <v>38</v>
      </c>
      <c r="K178" s="45" t="s">
        <v>391</v>
      </c>
      <c r="L178" s="45" t="s">
        <v>671</v>
      </c>
      <c r="M178" s="45"/>
      <c r="N178" s="45"/>
      <c r="O17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A3.09</v>
      </c>
      <c r="P178" s="59"/>
      <c r="Q178" s="59"/>
      <c r="R178" s="59"/>
      <c r="S178" s="59"/>
      <c r="T178" s="55" t="str">
        <f>IF(Table681620[[#This Row],[LEVEL]]="5",Table681620[[#This Row],[L5]],
IF(Table681620[[#This Row],[LEVEL]]="4",Table681620[[#This Row],[L4]],
IF(Table681620[[#This Row],[LEVEL]]="3",Table681620[[#This Row],[L3]],
IF(Table681620[[#This Row],[LEVEL]]="2",Table681620[[#This Row],[L2]],
IF(Table681620[[#This Row],[LEVEL]]="1",Table681620[[#This Row],[L1]],"")))))</f>
        <v>FIRE</v>
      </c>
      <c r="U178" s="47"/>
      <c r="V178" s="47"/>
      <c r="W178" s="70"/>
      <c r="X178" s="48"/>
      <c r="Y178" s="50">
        <f>SUBTOTAL(9,Y179:Y183)</f>
        <v>0</v>
      </c>
      <c r="Z178" s="51"/>
      <c r="AA178" s="48"/>
      <c r="AB178" s="48"/>
      <c r="AC178" s="7"/>
      <c r="AD178" s="72"/>
      <c r="AE178" s="67"/>
      <c r="AF178" s="7"/>
      <c r="AG178" s="72"/>
      <c r="AH178" s="67"/>
      <c r="AI178" s="7"/>
      <c r="AJ178" s="72"/>
      <c r="AK178" s="67"/>
    </row>
    <row r="179" spans="1:37" x14ac:dyDescent="0.3">
      <c r="A179" s="43" t="str">
        <f>INDEX(Table_Numbering[L1],MATCH(Table681620[[#This Row],[L1]],Table_Numbering[L1 Description (Cost Area)],0))</f>
        <v>A</v>
      </c>
      <c r="B179" s="43" t="str">
        <f>IFERROR(INDEX(Table_Numbering[L2],MATCH(Table681620[[#This Row],[L2]],Table_Numbering[L2 Description (Area)],0)),"0")</f>
        <v>3</v>
      </c>
      <c r="C179" s="43" t="str">
        <f>IFERROR(INDEX(Table_Numbering[L3],MATCH(Table681620[[#This Row],[L3]],Table_Numbering[L3 Description (Sub Area)],0)),"0")</f>
        <v>09</v>
      </c>
      <c r="D179" s="43" t="str">
        <f>Table681620[[#This Row],[N1]]&amp;Table681620[[#This Row],[N2]]&amp;Table681620[[#This Row],[N3]]</f>
        <v>A309</v>
      </c>
      <c r="E179" s="43" t="str">
        <f>TEXT(COUNTIF(C$7:C177,Table681620[[#This Row],[N3]]),"00")</f>
        <v>05</v>
      </c>
      <c r="F179" s="43">
        <f>COUNTIFS(J$7:J179,J179,K$7:K179,K179,L$7:L179,L179,M$7:M179,M179)</f>
        <v>1</v>
      </c>
      <c r="G179" s="43" t="str">
        <f>TEXT(COUNTIFS(A$7:A179,A179,B$7:B179,B179,E$7:E179,E179,F$7:F179,1),"00")</f>
        <v>04</v>
      </c>
      <c r="H179" s="43" t="str">
        <f t="shared" si="6"/>
        <v>00</v>
      </c>
      <c r="I179" s="44" t="str">
        <f t="shared" si="7"/>
        <v>4</v>
      </c>
      <c r="J179" s="45" t="s">
        <v>38</v>
      </c>
      <c r="K179" s="45" t="s">
        <v>391</v>
      </c>
      <c r="L179" s="45" t="s">
        <v>671</v>
      </c>
      <c r="M179" s="45" t="s">
        <v>672</v>
      </c>
      <c r="N179" s="45"/>
      <c r="O17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A3.09.05</v>
      </c>
      <c r="P179" s="59" t="s">
        <v>351</v>
      </c>
      <c r="Q179" s="59" t="s">
        <v>78</v>
      </c>
      <c r="R179" s="59" t="s">
        <v>660</v>
      </c>
      <c r="S179" s="59" t="s">
        <v>1894</v>
      </c>
      <c r="T179" s="58" t="str">
        <f>IF(Table681620[[#This Row],[LEVEL]]="5",Table681620[[#This Row],[L5]],
IF(Table681620[[#This Row],[LEVEL]]="4",Table681620[[#This Row],[L4]],
IF(Table681620[[#This Row],[LEVEL]]="3",Table681620[[#This Row],[L3]],
IF(Table681620[[#This Row],[LEVEL]]="2",Table681620[[#This Row],[L2]],
IF(Table681620[[#This Row],[LEVEL]]="1",Table681620[[#This Row],[L1]],"")))))</f>
        <v>Fire Hydrants</v>
      </c>
      <c r="U179" s="47" t="s">
        <v>574</v>
      </c>
      <c r="V179" s="47" t="s">
        <v>44</v>
      </c>
      <c r="W179" s="70"/>
      <c r="X179" s="48"/>
      <c r="Y179" s="62">
        <f>Table681620[[#This Row],[Qty]]*Table681620[[#This Row],[Rate]]</f>
        <v>0</v>
      </c>
      <c r="Z179" s="51"/>
      <c r="AA179" s="48" t="s">
        <v>673</v>
      </c>
      <c r="AB179" s="48" t="s">
        <v>664</v>
      </c>
      <c r="AC179" s="7"/>
      <c r="AD179" s="72"/>
      <c r="AE179" s="67"/>
      <c r="AF179" s="7"/>
      <c r="AG179" s="72"/>
      <c r="AH179" s="67"/>
      <c r="AI179" s="7"/>
      <c r="AJ179" s="72"/>
      <c r="AK179" s="67"/>
    </row>
    <row r="180" spans="1:37" x14ac:dyDescent="0.3">
      <c r="A180" s="43" t="str">
        <f>INDEX(Table_Numbering[L1],MATCH(Table681620[[#This Row],[L1]],Table_Numbering[L1 Description (Cost Area)],0))</f>
        <v>A</v>
      </c>
      <c r="B180" s="43" t="str">
        <f>IFERROR(INDEX(Table_Numbering[L2],MATCH(Table681620[[#This Row],[L2]],Table_Numbering[L2 Description (Area)],0)),"0")</f>
        <v>3</v>
      </c>
      <c r="C180" s="43" t="str">
        <f>IFERROR(INDEX(Table_Numbering[L3],MATCH(Table681620[[#This Row],[L3]],Table_Numbering[L3 Description (Sub Area)],0)),"0")</f>
        <v>09</v>
      </c>
      <c r="D180" s="43" t="str">
        <f>Table681620[[#This Row],[N1]]&amp;Table681620[[#This Row],[N2]]&amp;Table681620[[#This Row],[N3]]</f>
        <v>A309</v>
      </c>
      <c r="E180" s="43" t="str">
        <f>TEXT(COUNTIF(C$7:C178,Table681620[[#This Row],[N3]]),"00")</f>
        <v>06</v>
      </c>
      <c r="F180" s="43">
        <f>COUNTIFS(J$7:J180,J180,K$7:K180,K180,L$7:L180,L180,M$7:M180,M180)</f>
        <v>1</v>
      </c>
      <c r="G180" s="43" t="str">
        <f>TEXT(COUNTIFS(A$7:A180,A180,B$7:B180,B180,E$7:E180,E180,F$7:F180,1),"00")</f>
        <v>04</v>
      </c>
      <c r="H180" s="43" t="str">
        <f t="shared" si="6"/>
        <v>00</v>
      </c>
      <c r="I180" s="44" t="str">
        <f t="shared" si="7"/>
        <v>4</v>
      </c>
      <c r="J180" s="45" t="s">
        <v>38</v>
      </c>
      <c r="K180" s="45" t="s">
        <v>391</v>
      </c>
      <c r="L180" s="45" t="s">
        <v>671</v>
      </c>
      <c r="M180" s="45" t="s">
        <v>674</v>
      </c>
      <c r="N180" s="45"/>
      <c r="O18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A3.09.06</v>
      </c>
      <c r="P180" s="59" t="s">
        <v>351</v>
      </c>
      <c r="Q180" s="59" t="s">
        <v>78</v>
      </c>
      <c r="R180" s="59" t="s">
        <v>660</v>
      </c>
      <c r="S180" s="59" t="s">
        <v>1895</v>
      </c>
      <c r="T180" s="58" t="str">
        <f>IF(Table681620[[#This Row],[LEVEL]]="5",Table681620[[#This Row],[L5]],
IF(Table681620[[#This Row],[LEVEL]]="4",Table681620[[#This Row],[L4]],
IF(Table681620[[#This Row],[LEVEL]]="3",Table681620[[#This Row],[L3]],
IF(Table681620[[#This Row],[LEVEL]]="2",Table681620[[#This Row],[L2]],
IF(Table681620[[#This Row],[LEVEL]]="1",Table681620[[#This Row],[L1]],"")))))</f>
        <v>Fire Hose Reels</v>
      </c>
      <c r="U180" s="47" t="s">
        <v>574</v>
      </c>
      <c r="V180" s="47" t="s">
        <v>44</v>
      </c>
      <c r="W180" s="70"/>
      <c r="X180" s="48"/>
      <c r="Y180" s="62">
        <f>Table681620[[#This Row],[Qty]]*Table681620[[#This Row],[Rate]]</f>
        <v>0</v>
      </c>
      <c r="Z180" s="51"/>
      <c r="AA180" s="48" t="s">
        <v>675</v>
      </c>
      <c r="AB180" s="48" t="s">
        <v>664</v>
      </c>
      <c r="AC180" s="7"/>
      <c r="AD180" s="72"/>
      <c r="AE180" s="67"/>
      <c r="AF180" s="7"/>
      <c r="AG180" s="72"/>
      <c r="AH180" s="67"/>
      <c r="AI180" s="7"/>
      <c r="AJ180" s="72"/>
      <c r="AK180" s="67"/>
    </row>
    <row r="181" spans="1:37" x14ac:dyDescent="0.3">
      <c r="A181" s="43" t="str">
        <f>INDEX(Table_Numbering[L1],MATCH(Table681620[[#This Row],[L1]],Table_Numbering[L1 Description (Cost Area)],0))</f>
        <v>A</v>
      </c>
      <c r="B181" s="43" t="str">
        <f>IFERROR(INDEX(Table_Numbering[L2],MATCH(Table681620[[#This Row],[L2]],Table_Numbering[L2 Description (Area)],0)),"0")</f>
        <v>3</v>
      </c>
      <c r="C181" s="43" t="str">
        <f>IFERROR(INDEX(Table_Numbering[L3],MATCH(Table681620[[#This Row],[L3]],Table_Numbering[L3 Description (Sub Area)],0)),"0")</f>
        <v>09</v>
      </c>
      <c r="D181" s="43" t="str">
        <f>Table681620[[#This Row],[N1]]&amp;Table681620[[#This Row],[N2]]&amp;Table681620[[#This Row],[N3]]</f>
        <v>A309</v>
      </c>
      <c r="E181" s="43" t="str">
        <f>TEXT(COUNTIF(C$7:C179,Table681620[[#This Row],[N3]]),"00")</f>
        <v>07</v>
      </c>
      <c r="F181" s="43">
        <f>COUNTIFS(J$7:J181,J181,K$7:K181,K181,L$7:L181,L181,M$7:M181,M181)</f>
        <v>1</v>
      </c>
      <c r="G181" s="43" t="str">
        <f>TEXT(COUNTIFS(A$7:A181,A181,B$7:B181,B181,E$7:E181,E181,F$7:F181,1),"00")</f>
        <v>04</v>
      </c>
      <c r="H181" s="43" t="str">
        <f t="shared" si="6"/>
        <v>00</v>
      </c>
      <c r="I181" s="44" t="str">
        <f t="shared" si="7"/>
        <v>4</v>
      </c>
      <c r="J181" s="45" t="s">
        <v>38</v>
      </c>
      <c r="K181" s="45" t="s">
        <v>391</v>
      </c>
      <c r="L181" s="45" t="s">
        <v>671</v>
      </c>
      <c r="M181" s="45" t="s">
        <v>676</v>
      </c>
      <c r="N181" s="45"/>
      <c r="O18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A3.09.07</v>
      </c>
      <c r="P181" s="59" t="s">
        <v>351</v>
      </c>
      <c r="Q181" s="59" t="s">
        <v>78</v>
      </c>
      <c r="R181" s="59" t="s">
        <v>660</v>
      </c>
      <c r="S181" s="59" t="s">
        <v>1896</v>
      </c>
      <c r="T181" s="58" t="str">
        <f>IF(Table681620[[#This Row],[LEVEL]]="5",Table681620[[#This Row],[L5]],
IF(Table681620[[#This Row],[LEVEL]]="4",Table681620[[#This Row],[L4]],
IF(Table681620[[#This Row],[LEVEL]]="3",Table681620[[#This Row],[L3]],
IF(Table681620[[#This Row],[LEVEL]]="2",Table681620[[#This Row],[L2]],
IF(Table681620[[#This Row],[LEVEL]]="1",Table681620[[#This Row],[L1]],"")))))</f>
        <v>Fire Indicator Panel (FIP)</v>
      </c>
      <c r="U181" s="47" t="s">
        <v>574</v>
      </c>
      <c r="V181" s="72" t="s">
        <v>44</v>
      </c>
      <c r="W181" s="72">
        <v>1</v>
      </c>
      <c r="X181" s="48"/>
      <c r="Y181" s="62">
        <f>Table681620[[#This Row],[Qty]]*Table681620[[#This Row],[Rate]]</f>
        <v>0</v>
      </c>
      <c r="Z181" s="51"/>
      <c r="AA181" s="48" t="s">
        <v>677</v>
      </c>
      <c r="AB181" s="48" t="s">
        <v>632</v>
      </c>
      <c r="AC181" s="7"/>
      <c r="AD181" s="72"/>
      <c r="AE181" s="67"/>
      <c r="AF181" s="7"/>
      <c r="AG181" s="72"/>
      <c r="AH181" s="67"/>
      <c r="AI181" s="7"/>
      <c r="AJ181" s="72"/>
      <c r="AK181" s="67"/>
    </row>
    <row r="182" spans="1:37" x14ac:dyDescent="0.3">
      <c r="A182" s="43" t="str">
        <f>INDEX(Table_Numbering[L1],MATCH(Table681620[[#This Row],[L1]],Table_Numbering[L1 Description (Cost Area)],0))</f>
        <v>A</v>
      </c>
      <c r="B182" s="43" t="str">
        <f>IFERROR(INDEX(Table_Numbering[L2],MATCH(Table681620[[#This Row],[L2]],Table_Numbering[L2 Description (Area)],0)),"0")</f>
        <v>3</v>
      </c>
      <c r="C182" s="43" t="str">
        <f>IFERROR(INDEX(Table_Numbering[L3],MATCH(Table681620[[#This Row],[L3]],Table_Numbering[L3 Description (Sub Area)],0)),"0")</f>
        <v>09</v>
      </c>
      <c r="D182" s="43" t="str">
        <f>Table681620[[#This Row],[N1]]&amp;Table681620[[#This Row],[N2]]&amp;Table681620[[#This Row],[N3]]</f>
        <v>A309</v>
      </c>
      <c r="E182" s="43" t="str">
        <f>TEXT(COUNTIF(C$7:C180,Table681620[[#This Row],[N3]]),"00")</f>
        <v>08</v>
      </c>
      <c r="F182" s="43">
        <f>COUNTIFS(J$7:J182,J182,K$7:K182,K182,L$7:L182,L182,M$7:M182,M182)</f>
        <v>1</v>
      </c>
      <c r="G182" s="43" t="str">
        <f>TEXT(COUNTIFS(A$7:A182,A182,B$7:B182,B182,E$7:E182,E182,F$7:F182,1),"00")</f>
        <v>04</v>
      </c>
      <c r="H182" s="43" t="str">
        <f t="shared" si="6"/>
        <v>00</v>
      </c>
      <c r="I182" s="44" t="str">
        <f t="shared" si="7"/>
        <v>4</v>
      </c>
      <c r="J182" s="45" t="s">
        <v>38</v>
      </c>
      <c r="K182" s="45" t="s">
        <v>391</v>
      </c>
      <c r="L182" s="45" t="s">
        <v>671</v>
      </c>
      <c r="M182" s="45" t="s">
        <v>678</v>
      </c>
      <c r="N182" s="45"/>
      <c r="O18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A3.09.08</v>
      </c>
      <c r="P182" s="59" t="s">
        <v>351</v>
      </c>
      <c r="Q182" s="59" t="s">
        <v>78</v>
      </c>
      <c r="R182" s="59" t="s">
        <v>660</v>
      </c>
      <c r="S182" s="59" t="s">
        <v>1897</v>
      </c>
      <c r="T182" s="58" t="str">
        <f>IF(Table681620[[#This Row],[LEVEL]]="5",Table681620[[#This Row],[L5]],
IF(Table681620[[#This Row],[LEVEL]]="4",Table681620[[#This Row],[L4]],
IF(Table681620[[#This Row],[LEVEL]]="3",Table681620[[#This Row],[L3]],
IF(Table681620[[#This Row],[LEVEL]]="2",Table681620[[#This Row],[L2]],
IF(Table681620[[#This Row],[LEVEL]]="1",Table681620[[#This Row],[L1]],"")))))</f>
        <v>Smoke/Heat Detectors</v>
      </c>
      <c r="U182" s="47" t="s">
        <v>574</v>
      </c>
      <c r="V182" s="72" t="s">
        <v>44</v>
      </c>
      <c r="W182" s="72"/>
      <c r="X182" s="48"/>
      <c r="Y182" s="62">
        <f>Table681620[[#This Row],[Qty]]*Table681620[[#This Row],[Rate]]</f>
        <v>0</v>
      </c>
      <c r="Z182" s="51"/>
      <c r="AA182" s="48" t="s">
        <v>679</v>
      </c>
      <c r="AB182" s="48" t="s">
        <v>653</v>
      </c>
      <c r="AC182" s="7"/>
      <c r="AD182" s="72"/>
      <c r="AE182" s="67"/>
      <c r="AF182" s="7"/>
      <c r="AG182" s="72"/>
      <c r="AH182" s="67"/>
      <c r="AI182" s="7"/>
      <c r="AJ182" s="72"/>
      <c r="AK182" s="67"/>
    </row>
    <row r="183" spans="1:37" x14ac:dyDescent="0.3">
      <c r="A183" s="43" t="str">
        <f>INDEX(Table_Numbering[L1],MATCH(Table681620[[#This Row],[L1]],Table_Numbering[L1 Description (Cost Area)],0))</f>
        <v>A</v>
      </c>
      <c r="B183" s="43" t="str">
        <f>IFERROR(INDEX(Table_Numbering[L2],MATCH(Table681620[[#This Row],[L2]],Table_Numbering[L2 Description (Area)],0)),"0")</f>
        <v>3</v>
      </c>
      <c r="C183" s="43" t="str">
        <f>IFERROR(INDEX(Table_Numbering[L3],MATCH(Table681620[[#This Row],[L3]],Table_Numbering[L3 Description (Sub Area)],0)),"0")</f>
        <v>09</v>
      </c>
      <c r="D183" s="43" t="str">
        <f>Table681620[[#This Row],[N1]]&amp;Table681620[[#This Row],[N2]]&amp;Table681620[[#This Row],[N3]]</f>
        <v>A309</v>
      </c>
      <c r="E183" s="43" t="str">
        <f>TEXT(COUNTIF(C$7:C181,Table681620[[#This Row],[N3]]),"00")</f>
        <v>09</v>
      </c>
      <c r="F183" s="43">
        <f>COUNTIFS(J$7:J183,J183,K$7:K183,K183,L$7:L183,L183,M$7:M183,M183)</f>
        <v>1</v>
      </c>
      <c r="G183" s="43" t="str">
        <f>TEXT(COUNTIFS(A$7:A183,A183,B$7:B183,B183,E$7:E183,E183,F$7:F183,1),"00")</f>
        <v>04</v>
      </c>
      <c r="H183" s="43" t="str">
        <f t="shared" si="6"/>
        <v>00</v>
      </c>
      <c r="I183" s="44" t="str">
        <f t="shared" si="7"/>
        <v>4</v>
      </c>
      <c r="J183" s="45" t="s">
        <v>38</v>
      </c>
      <c r="K183" s="45" t="s">
        <v>391</v>
      </c>
      <c r="L183" s="45" t="s">
        <v>671</v>
      </c>
      <c r="M183" s="45" t="s">
        <v>680</v>
      </c>
      <c r="N183" s="45"/>
      <c r="O18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A3.09.09</v>
      </c>
      <c r="P183" s="59" t="s">
        <v>351</v>
      </c>
      <c r="Q183" s="59" t="s">
        <v>78</v>
      </c>
      <c r="R183" s="59" t="s">
        <v>660</v>
      </c>
      <c r="S183" s="59" t="s">
        <v>1898</v>
      </c>
      <c r="T183" s="58" t="str">
        <f>IF(Table681620[[#This Row],[LEVEL]]="5",Table681620[[#This Row],[L5]],
IF(Table681620[[#This Row],[LEVEL]]="4",Table681620[[#This Row],[L4]],
IF(Table681620[[#This Row],[LEVEL]]="3",Table681620[[#This Row],[L3]],
IF(Table681620[[#This Row],[LEVEL]]="2",Table681620[[#This Row],[L2]],
IF(Table681620[[#This Row],[LEVEL]]="1",Table681620[[#This Row],[L1]],"")))))</f>
        <v>Fire Extinguishers &amp; Blankets</v>
      </c>
      <c r="U183" s="47" t="s">
        <v>574</v>
      </c>
      <c r="V183" s="72" t="s">
        <v>44</v>
      </c>
      <c r="W183" s="72"/>
      <c r="X183" s="48"/>
      <c r="Y183" s="62">
        <f>Table681620[[#This Row],[Qty]]*Table681620[[#This Row],[Rate]]</f>
        <v>0</v>
      </c>
      <c r="Z183" s="51"/>
      <c r="AA183" s="48" t="s">
        <v>681</v>
      </c>
      <c r="AB183" s="48" t="s">
        <v>682</v>
      </c>
      <c r="AC183" s="7"/>
      <c r="AD183" s="72"/>
      <c r="AE183" s="67"/>
      <c r="AF183" s="7"/>
      <c r="AG183" s="72"/>
      <c r="AH183" s="67"/>
      <c r="AI183" s="7"/>
      <c r="AJ183" s="72"/>
      <c r="AK183" s="67"/>
    </row>
    <row r="184" spans="1:37" x14ac:dyDescent="0.3">
      <c r="A184" s="43" t="str">
        <f>INDEX(Table_Numbering[L1],MATCH(Table681620[[#This Row],[L1]],Table_Numbering[L1 Description (Cost Area)],0))</f>
        <v>A</v>
      </c>
      <c r="B184" s="43" t="str">
        <f>IFERROR(INDEX(Table_Numbering[L2],MATCH(Table681620[[#This Row],[L2]],Table_Numbering[L2 Description (Area)],0)),"0")</f>
        <v>3</v>
      </c>
      <c r="C184" s="43" t="str">
        <f>IFERROR(INDEX(Table_Numbering[L3],MATCH(Table681620[[#This Row],[L3]],Table_Numbering[L3 Description (Sub Area)],0)),"0")</f>
        <v>10</v>
      </c>
      <c r="D184" s="43" t="str">
        <f>Table681620[[#This Row],[N1]]&amp;Table681620[[#This Row],[N2]]&amp;Table681620[[#This Row],[N3]]</f>
        <v>A310</v>
      </c>
      <c r="E184" s="43" t="str">
        <f>TEXT(COUNTIF(C$7:C182,Table681620[[#This Row],[N3]]),"00")</f>
        <v>00</v>
      </c>
      <c r="F184" s="43">
        <f>COUNTIFS(J$7:J184,J184,K$7:K184,K184,L$7:L184,L184,M$7:M184,M184)</f>
        <v>0</v>
      </c>
      <c r="G184" s="43" t="str">
        <f>TEXT(COUNTIFS(A$7:A184,A184,B$7:B184,B184,E$7:E184,E184,F$7:F184,1),"00")</f>
        <v>00</v>
      </c>
      <c r="H184" s="43" t="str">
        <f t="shared" si="6"/>
        <v>00</v>
      </c>
      <c r="I184" s="44" t="str">
        <f t="shared" si="7"/>
        <v>3</v>
      </c>
      <c r="J184" s="45" t="s">
        <v>38</v>
      </c>
      <c r="K184" s="45" t="s">
        <v>391</v>
      </c>
      <c r="L184" s="45" t="s">
        <v>323</v>
      </c>
      <c r="M184" s="45"/>
      <c r="N184" s="45"/>
      <c r="O18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A3.10</v>
      </c>
      <c r="P184" s="59"/>
      <c r="Q184" s="59"/>
      <c r="R184" s="59"/>
      <c r="S184" s="59"/>
      <c r="T184" s="55" t="str">
        <f>IF(Table681620[[#This Row],[LEVEL]]="5",Table681620[[#This Row],[L5]],
IF(Table681620[[#This Row],[LEVEL]]="4",Table681620[[#This Row],[L4]],
IF(Table681620[[#This Row],[LEVEL]]="3",Table681620[[#This Row],[L3]],
IF(Table681620[[#This Row],[LEVEL]]="2",Table681620[[#This Row],[L2]],
IF(Table681620[[#This Row],[LEVEL]]="1",Table681620[[#This Row],[L1]],"")))))</f>
        <v>FINISHES</v>
      </c>
      <c r="U184" s="47"/>
      <c r="V184" s="72"/>
      <c r="W184" s="72"/>
      <c r="X184" s="48"/>
      <c r="Y184" s="50">
        <f>SUBTOTAL(9,Y185:Y190)</f>
        <v>0</v>
      </c>
      <c r="Z184" s="51"/>
      <c r="AA184" s="48"/>
      <c r="AB184" s="48"/>
      <c r="AC184" s="7"/>
      <c r="AD184" s="72"/>
      <c r="AE184" s="67"/>
      <c r="AF184" s="7"/>
      <c r="AG184" s="72"/>
      <c r="AH184" s="67"/>
      <c r="AI184" s="7"/>
      <c r="AJ184" s="72"/>
      <c r="AK184" s="67"/>
    </row>
    <row r="185" spans="1:37" x14ac:dyDescent="0.3">
      <c r="A185" s="43" t="str">
        <f>INDEX(Table_Numbering[L1],MATCH(Table681620[[#This Row],[L1]],Table_Numbering[L1 Description (Cost Area)],0))</f>
        <v>A</v>
      </c>
      <c r="B185" s="43" t="str">
        <f>IFERROR(INDEX(Table_Numbering[L2],MATCH(Table681620[[#This Row],[L2]],Table_Numbering[L2 Description (Area)],0)),"0")</f>
        <v>3</v>
      </c>
      <c r="C185" s="43" t="str">
        <f>IFERROR(INDEX(Table_Numbering[L3],MATCH(Table681620[[#This Row],[L3]],Table_Numbering[L3 Description (Sub Area)],0)),"0")</f>
        <v>10</v>
      </c>
      <c r="D185" s="43" t="str">
        <f>Table681620[[#This Row],[N1]]&amp;Table681620[[#This Row],[N2]]&amp;Table681620[[#This Row],[N3]]</f>
        <v>A310</v>
      </c>
      <c r="E185" s="43" t="str">
        <f>TEXT(COUNTIF(C$7:C183,Table681620[[#This Row],[N3]]),"00")</f>
        <v>00</v>
      </c>
      <c r="F185" s="43">
        <f>COUNTIFS(J$7:J185,J185,K$7:K185,K185,L$7:L185,L185,M$7:M185,M185)</f>
        <v>1</v>
      </c>
      <c r="G185" s="43" t="str">
        <f>TEXT(COUNTIFS(A$7:A185,A185,B$7:B185,B185,E$7:E185,E185,F$7:F185,1),"00")</f>
        <v>01</v>
      </c>
      <c r="H185" s="43" t="str">
        <f t="shared" si="6"/>
        <v>00</v>
      </c>
      <c r="I185" s="44" t="str">
        <f t="shared" si="7"/>
        <v>4</v>
      </c>
      <c r="J185" s="45" t="s">
        <v>38</v>
      </c>
      <c r="K185" s="45" t="s">
        <v>391</v>
      </c>
      <c r="L185" s="45" t="s">
        <v>323</v>
      </c>
      <c r="M185" s="45" t="s">
        <v>683</v>
      </c>
      <c r="N185" s="45"/>
      <c r="O18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A3.10.00</v>
      </c>
      <c r="P185" s="59" t="s">
        <v>329</v>
      </c>
      <c r="Q185" s="59" t="s">
        <v>78</v>
      </c>
      <c r="R185" s="59" t="s">
        <v>613</v>
      </c>
      <c r="S185" s="59" t="s">
        <v>1899</v>
      </c>
      <c r="T185" s="58" t="str">
        <f>IF(Table681620[[#This Row],[LEVEL]]="5",Table681620[[#This Row],[L5]],
IF(Table681620[[#This Row],[LEVEL]]="4",Table681620[[#This Row],[L4]],
IF(Table681620[[#This Row],[LEVEL]]="3",Table681620[[#This Row],[L3]],
IF(Table681620[[#This Row],[LEVEL]]="2",Table681620[[#This Row],[L2]],
IF(Table681620[[#This Row],[LEVEL]]="1",Table681620[[#This Row],[L1]],"")))))</f>
        <v>Floor Tiles - Amenities</v>
      </c>
      <c r="U185" s="47" t="s">
        <v>246</v>
      </c>
      <c r="V185" s="72" t="s">
        <v>44</v>
      </c>
      <c r="W185" s="72"/>
      <c r="X185" s="48"/>
      <c r="Y185" s="62">
        <f>Table681620[[#This Row],[Qty]]*Table681620[[#This Row],[Rate]]</f>
        <v>0</v>
      </c>
      <c r="Z185" s="51"/>
      <c r="AA185" s="48" t="s">
        <v>581</v>
      </c>
      <c r="AB185" s="48" t="s">
        <v>684</v>
      </c>
      <c r="AC185" s="7"/>
      <c r="AD185" s="72"/>
      <c r="AE185" s="67"/>
      <c r="AF185" s="7"/>
      <c r="AG185" s="72"/>
      <c r="AH185" s="67"/>
      <c r="AI185" s="7"/>
      <c r="AJ185" s="72"/>
      <c r="AK185" s="67"/>
    </row>
    <row r="186" spans="1:37" x14ac:dyDescent="0.3">
      <c r="A186" s="43" t="str">
        <f>INDEX(Table_Numbering[L1],MATCH(Table681620[[#This Row],[L1]],Table_Numbering[L1 Description (Cost Area)],0))</f>
        <v>A</v>
      </c>
      <c r="B186" s="43" t="str">
        <f>IFERROR(INDEX(Table_Numbering[L2],MATCH(Table681620[[#This Row],[L2]],Table_Numbering[L2 Description (Area)],0)),"0")</f>
        <v>3</v>
      </c>
      <c r="C186" s="43" t="str">
        <f>IFERROR(INDEX(Table_Numbering[L3],MATCH(Table681620[[#This Row],[L3]],Table_Numbering[L3 Description (Sub Area)],0)),"0")</f>
        <v>10</v>
      </c>
      <c r="D186" s="43" t="str">
        <f>Table681620[[#This Row],[N1]]&amp;Table681620[[#This Row],[N2]]&amp;Table681620[[#This Row],[N3]]</f>
        <v>A310</v>
      </c>
      <c r="E186" s="43" t="str">
        <f>TEXT(COUNTIF(C$7:C184,Table681620[[#This Row],[N3]]),"00")</f>
        <v>01</v>
      </c>
      <c r="F186" s="43">
        <f>COUNTIFS(J$7:J186,J186,K$7:K186,K186,L$7:L186,L186,M$7:M186,M186)</f>
        <v>1</v>
      </c>
      <c r="G186" s="43" t="str">
        <f>TEXT(COUNTIFS(A$7:A186,A186,B$7:B186,B186,E$7:E186,E186,F$7:F186,1),"00")</f>
        <v>01</v>
      </c>
      <c r="H186" s="43" t="str">
        <f t="shared" si="6"/>
        <v>00</v>
      </c>
      <c r="I186" s="44" t="str">
        <f t="shared" si="7"/>
        <v>4</v>
      </c>
      <c r="J186" s="45" t="s">
        <v>38</v>
      </c>
      <c r="K186" s="45" t="s">
        <v>391</v>
      </c>
      <c r="L186" s="45" t="s">
        <v>323</v>
      </c>
      <c r="M186" s="45" t="s">
        <v>685</v>
      </c>
      <c r="N186" s="45"/>
      <c r="O18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A3.10.01</v>
      </c>
      <c r="P186" s="59" t="s">
        <v>329</v>
      </c>
      <c r="Q186" s="59" t="s">
        <v>78</v>
      </c>
      <c r="R186" s="59" t="s">
        <v>613</v>
      </c>
      <c r="S186" s="59" t="s">
        <v>1900</v>
      </c>
      <c r="T186" s="58" t="str">
        <f>IF(Table681620[[#This Row],[LEVEL]]="5",Table681620[[#This Row],[L5]],
IF(Table681620[[#This Row],[LEVEL]]="4",Table681620[[#This Row],[L4]],
IF(Table681620[[#This Row],[LEVEL]]="3",Table681620[[#This Row],[L3]],
IF(Table681620[[#This Row],[LEVEL]]="2",Table681620[[#This Row],[L2]],
IF(Table681620[[#This Row],[LEVEL]]="1",Table681620[[#This Row],[L1]],"")))))</f>
        <v>Carpet Tiles - Office Areas</v>
      </c>
      <c r="U186" s="47" t="s">
        <v>246</v>
      </c>
      <c r="V186" s="72" t="s">
        <v>44</v>
      </c>
      <c r="W186" s="72"/>
      <c r="X186" s="48"/>
      <c r="Y186" s="62">
        <f>Table681620[[#This Row],[Qty]]*Table681620[[#This Row],[Rate]]</f>
        <v>0</v>
      </c>
      <c r="Z186" s="51"/>
      <c r="AA186" s="48" t="s">
        <v>581</v>
      </c>
      <c r="AB186" s="48" t="s">
        <v>624</v>
      </c>
      <c r="AC186" s="7"/>
      <c r="AD186" s="72"/>
      <c r="AE186" s="67"/>
      <c r="AF186" s="7"/>
      <c r="AG186" s="72"/>
      <c r="AH186" s="67"/>
      <c r="AI186" s="7"/>
      <c r="AJ186" s="72"/>
      <c r="AK186" s="67"/>
    </row>
    <row r="187" spans="1:37" x14ac:dyDescent="0.3">
      <c r="A187" s="43" t="str">
        <f>INDEX(Table_Numbering[L1],MATCH(Table681620[[#This Row],[L1]],Table_Numbering[L1 Description (Cost Area)],0))</f>
        <v>A</v>
      </c>
      <c r="B187" s="43" t="str">
        <f>IFERROR(INDEX(Table_Numbering[L2],MATCH(Table681620[[#This Row],[L2]],Table_Numbering[L2 Description (Area)],0)),"0")</f>
        <v>3</v>
      </c>
      <c r="C187" s="43" t="str">
        <f>IFERROR(INDEX(Table_Numbering[L3],MATCH(Table681620[[#This Row],[L3]],Table_Numbering[L3 Description (Sub Area)],0)),"0")</f>
        <v>10</v>
      </c>
      <c r="D187" s="43" t="str">
        <f>Table681620[[#This Row],[N1]]&amp;Table681620[[#This Row],[N2]]&amp;Table681620[[#This Row],[N3]]</f>
        <v>A310</v>
      </c>
      <c r="E187" s="43" t="str">
        <f>TEXT(COUNTIF(C$7:C185,Table681620[[#This Row],[N3]]),"00")</f>
        <v>02</v>
      </c>
      <c r="F187" s="43">
        <f>COUNTIFS(J$7:J187,J187,K$7:K187,K187,L$7:L187,L187,M$7:M187,M187)</f>
        <v>1</v>
      </c>
      <c r="G187" s="43" t="str">
        <f>TEXT(COUNTIFS(A$7:A187,A187,B$7:B187,B187,E$7:E187,E187,F$7:F187,1),"00")</f>
        <v>01</v>
      </c>
      <c r="H187" s="43" t="str">
        <f t="shared" si="6"/>
        <v>00</v>
      </c>
      <c r="I187" s="44" t="str">
        <f t="shared" si="7"/>
        <v>4</v>
      </c>
      <c r="J187" s="45" t="s">
        <v>38</v>
      </c>
      <c r="K187" s="45" t="s">
        <v>391</v>
      </c>
      <c r="L187" s="45" t="s">
        <v>323</v>
      </c>
      <c r="M187" s="45" t="s">
        <v>686</v>
      </c>
      <c r="N187" s="45"/>
      <c r="O18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A3.10.02</v>
      </c>
      <c r="P187" s="59" t="s">
        <v>329</v>
      </c>
      <c r="Q187" s="59" t="s">
        <v>78</v>
      </c>
      <c r="R187" s="59" t="s">
        <v>613</v>
      </c>
      <c r="S187" s="59" t="s">
        <v>1901</v>
      </c>
      <c r="T187" s="58" t="str">
        <f>IF(Table681620[[#This Row],[LEVEL]]="5",Table681620[[#This Row],[L5]],
IF(Table681620[[#This Row],[LEVEL]]="4",Table681620[[#This Row],[L4]],
IF(Table681620[[#This Row],[LEVEL]]="3",Table681620[[#This Row],[L3]],
IF(Table681620[[#This Row],[LEVEL]]="2",Table681620[[#This Row],[L2]],
IF(Table681620[[#This Row],[LEVEL]]="1",Table681620[[#This Row],[L1]],"")))))</f>
        <v>Vinyl - Wet Areas</v>
      </c>
      <c r="U187" s="47" t="s">
        <v>246</v>
      </c>
      <c r="V187" s="72" t="s">
        <v>44</v>
      </c>
      <c r="W187" s="72"/>
      <c r="X187" s="48"/>
      <c r="Y187" s="62">
        <f>Table681620[[#This Row],[Qty]]*Table681620[[#This Row],[Rate]]</f>
        <v>0</v>
      </c>
      <c r="Z187" s="51"/>
      <c r="AA187" s="48" t="s">
        <v>581</v>
      </c>
      <c r="AB187" s="48" t="s">
        <v>624</v>
      </c>
      <c r="AC187" s="7"/>
      <c r="AD187" s="72"/>
      <c r="AE187" s="67"/>
      <c r="AF187" s="7"/>
      <c r="AG187" s="72"/>
      <c r="AH187" s="67"/>
      <c r="AI187" s="7"/>
      <c r="AJ187" s="72"/>
      <c r="AK187" s="67"/>
    </row>
    <row r="188" spans="1:37" x14ac:dyDescent="0.3">
      <c r="A188" s="43" t="str">
        <f>INDEX(Table_Numbering[L1],MATCH(Table681620[[#This Row],[L1]],Table_Numbering[L1 Description (Cost Area)],0))</f>
        <v>A</v>
      </c>
      <c r="B188" s="43" t="str">
        <f>IFERROR(INDEX(Table_Numbering[L2],MATCH(Table681620[[#This Row],[L2]],Table_Numbering[L2 Description (Area)],0)),"0")</f>
        <v>3</v>
      </c>
      <c r="C188" s="43" t="str">
        <f>IFERROR(INDEX(Table_Numbering[L3],MATCH(Table681620[[#This Row],[L3]],Table_Numbering[L3 Description (Sub Area)],0)),"0")</f>
        <v>10</v>
      </c>
      <c r="D188" s="43" t="str">
        <f>Table681620[[#This Row],[N1]]&amp;Table681620[[#This Row],[N2]]&amp;Table681620[[#This Row],[N3]]</f>
        <v>A310</v>
      </c>
      <c r="E188" s="43" t="str">
        <f>TEXT(COUNTIF(C$7:C186,Table681620[[#This Row],[N3]]),"00")</f>
        <v>03</v>
      </c>
      <c r="F188" s="43">
        <f>COUNTIFS(J$7:J188,J188,K$7:K188,K188,L$7:L188,L188,M$7:M188,M188)</f>
        <v>1</v>
      </c>
      <c r="G188" s="43" t="str">
        <f>TEXT(COUNTIFS(A$7:A188,A188,B$7:B188,B188,E$7:E188,E188,F$7:F188,1),"00")</f>
        <v>01</v>
      </c>
      <c r="H188" s="43" t="str">
        <f t="shared" si="6"/>
        <v>00</v>
      </c>
      <c r="I188" s="44" t="str">
        <f t="shared" si="7"/>
        <v>4</v>
      </c>
      <c r="J188" s="45" t="s">
        <v>38</v>
      </c>
      <c r="K188" s="45" t="s">
        <v>391</v>
      </c>
      <c r="L188" s="45" t="s">
        <v>323</v>
      </c>
      <c r="M188" s="45" t="s">
        <v>687</v>
      </c>
      <c r="N188" s="45"/>
      <c r="O18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A3.10.03</v>
      </c>
      <c r="P188" s="59" t="s">
        <v>329</v>
      </c>
      <c r="Q188" s="59" t="s">
        <v>78</v>
      </c>
      <c r="R188" s="59" t="s">
        <v>613</v>
      </c>
      <c r="S188" s="59" t="s">
        <v>1902</v>
      </c>
      <c r="T188" s="58" t="str">
        <f>IF(Table681620[[#This Row],[LEVEL]]="5",Table681620[[#This Row],[L5]],
IF(Table681620[[#This Row],[LEVEL]]="4",Table681620[[#This Row],[L4]],
IF(Table681620[[#This Row],[LEVEL]]="3",Table681620[[#This Row],[L3]],
IF(Table681620[[#This Row],[LEVEL]]="2",Table681620[[#This Row],[L2]],
IF(Table681620[[#This Row],[LEVEL]]="1",Table681620[[#This Row],[L1]],"")))))</f>
        <v>Wall Tiles - Amenities</v>
      </c>
      <c r="U188" s="47" t="s">
        <v>246</v>
      </c>
      <c r="V188" s="72" t="s">
        <v>44</v>
      </c>
      <c r="W188" s="72"/>
      <c r="X188" s="48"/>
      <c r="Y188" s="62">
        <f>Table681620[[#This Row],[Qty]]*Table681620[[#This Row],[Rate]]</f>
        <v>0</v>
      </c>
      <c r="Z188" s="51"/>
      <c r="AA188" s="48" t="s">
        <v>581</v>
      </c>
      <c r="AB188" s="48" t="s">
        <v>684</v>
      </c>
      <c r="AC188" s="7"/>
      <c r="AD188" s="72"/>
      <c r="AE188" s="67"/>
      <c r="AF188" s="7"/>
      <c r="AG188" s="72"/>
      <c r="AH188" s="67"/>
      <c r="AI188" s="7"/>
      <c r="AJ188" s="72"/>
      <c r="AK188" s="67"/>
    </row>
    <row r="189" spans="1:37" x14ac:dyDescent="0.3">
      <c r="A189" s="43" t="str">
        <f>INDEX(Table_Numbering[L1],MATCH(Table681620[[#This Row],[L1]],Table_Numbering[L1 Description (Cost Area)],0))</f>
        <v>A</v>
      </c>
      <c r="B189" s="43" t="str">
        <f>IFERROR(INDEX(Table_Numbering[L2],MATCH(Table681620[[#This Row],[L2]],Table_Numbering[L2 Description (Area)],0)),"0")</f>
        <v>3</v>
      </c>
      <c r="C189" s="43" t="str">
        <f>IFERROR(INDEX(Table_Numbering[L3],MATCH(Table681620[[#This Row],[L3]],Table_Numbering[L3 Description (Sub Area)],0)),"0")</f>
        <v>10</v>
      </c>
      <c r="D189" s="43" t="str">
        <f>Table681620[[#This Row],[N1]]&amp;Table681620[[#This Row],[N2]]&amp;Table681620[[#This Row],[N3]]</f>
        <v>A310</v>
      </c>
      <c r="E189" s="43" t="str">
        <f>TEXT(COUNTIF(C$7:C187,Table681620[[#This Row],[N3]]),"00")</f>
        <v>04</v>
      </c>
      <c r="F189" s="43">
        <f>COUNTIFS(J$7:J189,J189,K$7:K189,K189,L$7:L189,L189,M$7:M189,M189)</f>
        <v>1</v>
      </c>
      <c r="G189" s="43" t="str">
        <f>TEXT(COUNTIFS(A$7:A189,A189,B$7:B189,B189,E$7:E189,E189,F$7:F189,1),"00")</f>
        <v>01</v>
      </c>
      <c r="H189" s="43" t="str">
        <f t="shared" si="6"/>
        <v>00</v>
      </c>
      <c r="I189" s="44" t="str">
        <f t="shared" si="7"/>
        <v>4</v>
      </c>
      <c r="J189" s="45" t="s">
        <v>38</v>
      </c>
      <c r="K189" s="45" t="s">
        <v>391</v>
      </c>
      <c r="L189" s="45" t="s">
        <v>323</v>
      </c>
      <c r="M189" s="45" t="s">
        <v>354</v>
      </c>
      <c r="N189" s="45"/>
      <c r="O18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A3.10.04</v>
      </c>
      <c r="P189" s="59" t="s">
        <v>329</v>
      </c>
      <c r="Q189" s="59" t="s">
        <v>78</v>
      </c>
      <c r="R189" s="59" t="s">
        <v>613</v>
      </c>
      <c r="S189" s="59" t="s">
        <v>1903</v>
      </c>
      <c r="T189" s="58" t="str">
        <f>IF(Table681620[[#This Row],[LEVEL]]="5",Table681620[[#This Row],[L5]],
IF(Table681620[[#This Row],[LEVEL]]="4",Table681620[[#This Row],[L4]],
IF(Table681620[[#This Row],[LEVEL]]="3",Table681620[[#This Row],[L3]],
IF(Table681620[[#This Row],[LEVEL]]="2",Table681620[[#This Row],[L2]],
IF(Table681620[[#This Row],[LEVEL]]="1",Table681620[[#This Row],[L1]],"")))))</f>
        <v>Internal Painting</v>
      </c>
      <c r="U189" s="47" t="s">
        <v>246</v>
      </c>
      <c r="V189" s="72" t="s">
        <v>44</v>
      </c>
      <c r="W189" s="72"/>
      <c r="X189" s="48"/>
      <c r="Y189" s="62">
        <f>Table681620[[#This Row],[Qty]]*Table681620[[#This Row],[Rate]]</f>
        <v>0</v>
      </c>
      <c r="Z189" s="51"/>
      <c r="AA189" s="48" t="s">
        <v>581</v>
      </c>
      <c r="AB189" s="48" t="s">
        <v>618</v>
      </c>
      <c r="AC189" s="7"/>
      <c r="AD189" s="72"/>
      <c r="AE189" s="67"/>
      <c r="AF189" s="7"/>
      <c r="AG189" s="72"/>
      <c r="AH189" s="67"/>
      <c r="AI189" s="7"/>
      <c r="AJ189" s="72"/>
      <c r="AK189" s="67"/>
    </row>
    <row r="190" spans="1:37" x14ac:dyDescent="0.3">
      <c r="A190" s="43" t="str">
        <f>INDEX(Table_Numbering[L1],MATCH(Table681620[[#This Row],[L1]],Table_Numbering[L1 Description (Cost Area)],0))</f>
        <v>A</v>
      </c>
      <c r="B190" s="43" t="str">
        <f>IFERROR(INDEX(Table_Numbering[L2],MATCH(Table681620[[#This Row],[L2]],Table_Numbering[L2 Description (Area)],0)),"0")</f>
        <v>3</v>
      </c>
      <c r="C190" s="43" t="str">
        <f>IFERROR(INDEX(Table_Numbering[L3],MATCH(Table681620[[#This Row],[L3]],Table_Numbering[L3 Description (Sub Area)],0)),"0")</f>
        <v>10</v>
      </c>
      <c r="D190" s="43" t="str">
        <f>Table681620[[#This Row],[N1]]&amp;Table681620[[#This Row],[N2]]&amp;Table681620[[#This Row],[N3]]</f>
        <v>A310</v>
      </c>
      <c r="E190" s="43" t="str">
        <f>TEXT(COUNTIF(C$7:C188,Table681620[[#This Row],[N3]]),"00")</f>
        <v>05</v>
      </c>
      <c r="F190" s="43">
        <f>COUNTIFS(J$7:J190,J190,K$7:K190,K190,L$7:L190,L190,M$7:M190,M190)</f>
        <v>1</v>
      </c>
      <c r="G190" s="43" t="str">
        <f>TEXT(COUNTIFS(A$7:A190,A190,B$7:B190,B190,E$7:E190,E190,F$7:F190,1),"00")</f>
        <v>05</v>
      </c>
      <c r="H190" s="43" t="str">
        <f t="shared" si="6"/>
        <v>00</v>
      </c>
      <c r="I190" s="44" t="str">
        <f t="shared" si="7"/>
        <v>4</v>
      </c>
      <c r="J190" s="45" t="s">
        <v>38</v>
      </c>
      <c r="K190" s="45" t="s">
        <v>391</v>
      </c>
      <c r="L190" s="45" t="s">
        <v>323</v>
      </c>
      <c r="M190" s="45" t="s">
        <v>688</v>
      </c>
      <c r="N190" s="45"/>
      <c r="O19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A3.10.05</v>
      </c>
      <c r="P190" s="59" t="s">
        <v>329</v>
      </c>
      <c r="Q190" s="59" t="s">
        <v>78</v>
      </c>
      <c r="R190" s="59" t="s">
        <v>613</v>
      </c>
      <c r="S190" s="59" t="s">
        <v>1904</v>
      </c>
      <c r="T190" s="58" t="str">
        <f>IF(Table681620[[#This Row],[LEVEL]]="5",Table681620[[#This Row],[L5]],
IF(Table681620[[#This Row],[LEVEL]]="4",Table681620[[#This Row],[L4]],
IF(Table681620[[#This Row],[LEVEL]]="3",Table681620[[#This Row],[L3]],
IF(Table681620[[#This Row],[LEVEL]]="2",Table681620[[#This Row],[L2]],
IF(Table681620[[#This Row],[LEVEL]]="1",Table681620[[#This Row],[L1]],"")))))</f>
        <v>Skirtings &amp; Architraves</v>
      </c>
      <c r="U190" s="47" t="s">
        <v>253</v>
      </c>
      <c r="V190" s="72" t="s">
        <v>44</v>
      </c>
      <c r="W190" s="72"/>
      <c r="X190" s="48"/>
      <c r="Y190" s="62">
        <f>Table681620[[#This Row],[Qty]]*Table681620[[#This Row],[Rate]]</f>
        <v>0</v>
      </c>
      <c r="Z190" s="51"/>
      <c r="AA190" s="48" t="s">
        <v>579</v>
      </c>
      <c r="AB190" s="48" t="s">
        <v>689</v>
      </c>
      <c r="AC190" s="7"/>
      <c r="AD190" s="72"/>
      <c r="AE190" s="67"/>
      <c r="AF190" s="7"/>
      <c r="AG190" s="72"/>
      <c r="AH190" s="67"/>
      <c r="AI190" s="7"/>
      <c r="AJ190" s="72"/>
      <c r="AK190" s="67"/>
    </row>
    <row r="191" spans="1:37" x14ac:dyDescent="0.3">
      <c r="A191" s="43" t="str">
        <f>INDEX(Table_Numbering[L1],MATCH(Table681620[[#This Row],[L1]],Table_Numbering[L1 Description (Cost Area)],0))</f>
        <v>A</v>
      </c>
      <c r="B191" s="43" t="str">
        <f>IFERROR(INDEX(Table_Numbering[L2],MATCH(Table681620[[#This Row],[L2]],Table_Numbering[L2 Description (Area)],0)),"0")</f>
        <v>3</v>
      </c>
      <c r="C191" s="43" t="str">
        <f>IFERROR(INDEX(Table_Numbering[L3],MATCH(Table681620[[#This Row],[L3]],Table_Numbering[L3 Description (Sub Area)],0)),"0")</f>
        <v>11</v>
      </c>
      <c r="D191" s="43" t="str">
        <f>Table681620[[#This Row],[N1]]&amp;Table681620[[#This Row],[N2]]&amp;Table681620[[#This Row],[N3]]</f>
        <v>A311</v>
      </c>
      <c r="E191" s="43" t="str">
        <f>TEXT(COUNTIF(C$7:C189,Table681620[[#This Row],[N3]]),"00")</f>
        <v>00</v>
      </c>
      <c r="F191" s="43">
        <f>COUNTIFS(J$7:J191,J191,K$7:K191,K191,L$7:L191,L191,M$7:M191,M191)</f>
        <v>0</v>
      </c>
      <c r="G191" s="43" t="str">
        <f>TEXT(COUNTIFS(A$7:A191,A191,B$7:B191,B191,E$7:E191,E191,F$7:F191,1),"00")</f>
        <v>01</v>
      </c>
      <c r="H191" s="43" t="str">
        <f t="shared" si="6"/>
        <v>00</v>
      </c>
      <c r="I191" s="44" t="str">
        <f t="shared" si="7"/>
        <v>3</v>
      </c>
      <c r="J191" s="45" t="s">
        <v>38</v>
      </c>
      <c r="K191" s="45" t="s">
        <v>391</v>
      </c>
      <c r="L191" s="45" t="s">
        <v>324</v>
      </c>
      <c r="M191" s="45"/>
      <c r="N191" s="45"/>
      <c r="O19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A3.11</v>
      </c>
      <c r="P191" s="59"/>
      <c r="Q191" s="59"/>
      <c r="R191" s="59"/>
      <c r="S191" s="59"/>
      <c r="T191" s="55" t="str">
        <f>IF(Table681620[[#This Row],[LEVEL]]="5",Table681620[[#This Row],[L5]],
IF(Table681620[[#This Row],[LEVEL]]="4",Table681620[[#This Row],[L4]],
IF(Table681620[[#This Row],[LEVEL]]="3",Table681620[[#This Row],[L3]],
IF(Table681620[[#This Row],[LEVEL]]="2",Table681620[[#This Row],[L2]],
IF(Table681620[[#This Row],[LEVEL]]="1",Table681620[[#This Row],[L1]],"")))))</f>
        <v>JOINERY</v>
      </c>
      <c r="U191" s="47"/>
      <c r="V191" s="72"/>
      <c r="W191" s="72"/>
      <c r="X191" s="48"/>
      <c r="Y191" s="50">
        <f>SUBTOTAL(9,Y192:Y195)</f>
        <v>0</v>
      </c>
      <c r="Z191" s="51"/>
      <c r="AA191" s="48"/>
      <c r="AB191" s="48"/>
      <c r="AC191" s="7"/>
      <c r="AD191" s="72"/>
      <c r="AE191" s="67"/>
      <c r="AF191" s="7"/>
      <c r="AG191" s="72"/>
      <c r="AH191" s="67"/>
      <c r="AI191" s="7"/>
      <c r="AJ191" s="72"/>
      <c r="AK191" s="67"/>
    </row>
    <row r="192" spans="1:37" x14ac:dyDescent="0.3">
      <c r="A192" s="43" t="str">
        <f>INDEX(Table_Numbering[L1],MATCH(Table681620[[#This Row],[L1]],Table_Numbering[L1 Description (Cost Area)],0))</f>
        <v>A</v>
      </c>
      <c r="B192" s="43" t="str">
        <f>IFERROR(INDEX(Table_Numbering[L2],MATCH(Table681620[[#This Row],[L2]],Table_Numbering[L2 Description (Area)],0)),"0")</f>
        <v>3</v>
      </c>
      <c r="C192" s="43" t="str">
        <f>IFERROR(INDEX(Table_Numbering[L3],MATCH(Table681620[[#This Row],[L3]],Table_Numbering[L3 Description (Sub Area)],0)),"0")</f>
        <v>11</v>
      </c>
      <c r="D192" s="43" t="str">
        <f>Table681620[[#This Row],[N1]]&amp;Table681620[[#This Row],[N2]]&amp;Table681620[[#This Row],[N3]]</f>
        <v>A311</v>
      </c>
      <c r="E192" s="43" t="str">
        <f>TEXT(COUNTIF(C$7:C190,Table681620[[#This Row],[N3]]),"00")</f>
        <v>00</v>
      </c>
      <c r="F192" s="43">
        <f>COUNTIFS(J$7:J192,J192,K$7:K192,K192,L$7:L192,L192,M$7:M192,M192)</f>
        <v>1</v>
      </c>
      <c r="G192" s="43" t="str">
        <f>TEXT(COUNTIFS(A$7:A192,A192,B$7:B192,B192,E$7:E192,E192,F$7:F192,1),"00")</f>
        <v>02</v>
      </c>
      <c r="H192" s="43" t="str">
        <f t="shared" si="6"/>
        <v>00</v>
      </c>
      <c r="I192" s="44" t="str">
        <f t="shared" si="7"/>
        <v>4</v>
      </c>
      <c r="J192" s="45" t="s">
        <v>38</v>
      </c>
      <c r="K192" s="45" t="s">
        <v>391</v>
      </c>
      <c r="L192" s="45" t="s">
        <v>324</v>
      </c>
      <c r="M192" s="45" t="s">
        <v>690</v>
      </c>
      <c r="N192" s="45"/>
      <c r="O19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A3.11.00</v>
      </c>
      <c r="P192" s="59" t="s">
        <v>329</v>
      </c>
      <c r="Q192" s="59" t="s">
        <v>78</v>
      </c>
      <c r="R192" s="59" t="s">
        <v>613</v>
      </c>
      <c r="S192" s="59" t="s">
        <v>1603</v>
      </c>
      <c r="T192" s="58" t="str">
        <f>IF(Table681620[[#This Row],[LEVEL]]="5",Table681620[[#This Row],[L5]],
IF(Table681620[[#This Row],[LEVEL]]="4",Table681620[[#This Row],[L4]],
IF(Table681620[[#This Row],[LEVEL]]="3",Table681620[[#This Row],[L3]],
IF(Table681620[[#This Row],[LEVEL]]="2",Table681620[[#This Row],[L2]],
IF(Table681620[[#This Row],[LEVEL]]="1",Table681620[[#This Row],[L1]],"")))))</f>
        <v>Kitchenette Joinery</v>
      </c>
      <c r="U192" s="47" t="s">
        <v>574</v>
      </c>
      <c r="V192" s="72" t="s">
        <v>44</v>
      </c>
      <c r="W192" s="72"/>
      <c r="X192" s="48"/>
      <c r="Y192" s="62">
        <f>Table681620[[#This Row],[Qty]]*Table681620[[#This Row],[Rate]]</f>
        <v>0</v>
      </c>
      <c r="Z192" s="51"/>
      <c r="AA192" s="48" t="s">
        <v>691</v>
      </c>
      <c r="AB192" s="48" t="s">
        <v>692</v>
      </c>
      <c r="AC192" s="7"/>
      <c r="AD192" s="72"/>
      <c r="AE192" s="67"/>
      <c r="AF192" s="7"/>
      <c r="AG192" s="72"/>
      <c r="AH192" s="67"/>
      <c r="AI192" s="7"/>
      <c r="AJ192" s="72"/>
      <c r="AK192" s="67"/>
    </row>
    <row r="193" spans="1:37" x14ac:dyDescent="0.3">
      <c r="A193" s="43" t="str">
        <f>INDEX(Table_Numbering[L1],MATCH(Table681620[[#This Row],[L1]],Table_Numbering[L1 Description (Cost Area)],0))</f>
        <v>A</v>
      </c>
      <c r="B193" s="43" t="str">
        <f>IFERROR(INDEX(Table_Numbering[L2],MATCH(Table681620[[#This Row],[L2]],Table_Numbering[L2 Description (Area)],0)),"0")</f>
        <v>3</v>
      </c>
      <c r="C193" s="43" t="str">
        <f>IFERROR(INDEX(Table_Numbering[L3],MATCH(Table681620[[#This Row],[L3]],Table_Numbering[L3 Description (Sub Area)],0)),"0")</f>
        <v>11</v>
      </c>
      <c r="D193" s="43" t="str">
        <f>Table681620[[#This Row],[N1]]&amp;Table681620[[#This Row],[N2]]&amp;Table681620[[#This Row],[N3]]</f>
        <v>A311</v>
      </c>
      <c r="E193" s="43" t="str">
        <f>TEXT(COUNTIF(C$7:C191,Table681620[[#This Row],[N3]]),"00")</f>
        <v>01</v>
      </c>
      <c r="F193" s="43">
        <f>COUNTIFS(J$7:J193,J193,K$7:K193,K193,L$7:L193,L193,M$7:M193,M193)</f>
        <v>1</v>
      </c>
      <c r="G193" s="43" t="str">
        <f>TEXT(COUNTIFS(A$7:A193,A193,B$7:B193,B193,E$7:E193,E193,F$7:F193,1),"00")</f>
        <v>02</v>
      </c>
      <c r="H193" s="43" t="str">
        <f t="shared" si="6"/>
        <v>00</v>
      </c>
      <c r="I193" s="44" t="str">
        <f t="shared" si="7"/>
        <v>4</v>
      </c>
      <c r="J193" s="45" t="s">
        <v>38</v>
      </c>
      <c r="K193" s="45" t="s">
        <v>391</v>
      </c>
      <c r="L193" s="45" t="s">
        <v>324</v>
      </c>
      <c r="M193" s="45" t="s">
        <v>693</v>
      </c>
      <c r="N193" s="45"/>
      <c r="O19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A3.11.01</v>
      </c>
      <c r="P193" s="59" t="s">
        <v>329</v>
      </c>
      <c r="Q193" s="59" t="s">
        <v>78</v>
      </c>
      <c r="R193" s="59" t="s">
        <v>613</v>
      </c>
      <c r="S193" s="59" t="s">
        <v>1604</v>
      </c>
      <c r="T193" s="58" t="str">
        <f>IF(Table681620[[#This Row],[LEVEL]]="5",Table681620[[#This Row],[L5]],
IF(Table681620[[#This Row],[LEVEL]]="4",Table681620[[#This Row],[L4]],
IF(Table681620[[#This Row],[LEVEL]]="3",Table681620[[#This Row],[L3]],
IF(Table681620[[#This Row],[LEVEL]]="2",Table681620[[#This Row],[L2]],
IF(Table681620[[#This Row],[LEVEL]]="1",Table681620[[#This Row],[L1]],"")))))</f>
        <v>Reception Counter</v>
      </c>
      <c r="U193" s="47" t="s">
        <v>574</v>
      </c>
      <c r="V193" s="72" t="s">
        <v>44</v>
      </c>
      <c r="W193" s="72">
        <v>1</v>
      </c>
      <c r="X193" s="48"/>
      <c r="Y193" s="62">
        <f>Table681620[[#This Row],[Qty]]*Table681620[[#This Row],[Rate]]</f>
        <v>0</v>
      </c>
      <c r="Z193" s="51"/>
      <c r="AA193" s="48" t="s">
        <v>694</v>
      </c>
      <c r="AB193" s="48" t="s">
        <v>695</v>
      </c>
      <c r="AC193" s="7"/>
      <c r="AD193" s="72"/>
      <c r="AE193" s="67"/>
      <c r="AF193" s="7"/>
      <c r="AG193" s="72"/>
      <c r="AH193" s="67"/>
      <c r="AI193" s="7"/>
      <c r="AJ193" s="72"/>
      <c r="AK193" s="67"/>
    </row>
    <row r="194" spans="1:37" x14ac:dyDescent="0.3">
      <c r="A194" s="43" t="str">
        <f>INDEX(Table_Numbering[L1],MATCH(Table681620[[#This Row],[L1]],Table_Numbering[L1 Description (Cost Area)],0))</f>
        <v>A</v>
      </c>
      <c r="B194" s="43" t="str">
        <f>IFERROR(INDEX(Table_Numbering[L2],MATCH(Table681620[[#This Row],[L2]],Table_Numbering[L2 Description (Area)],0)),"0")</f>
        <v>3</v>
      </c>
      <c r="C194" s="43" t="str">
        <f>IFERROR(INDEX(Table_Numbering[L3],MATCH(Table681620[[#This Row],[L3]],Table_Numbering[L3 Description (Sub Area)],0)),"0")</f>
        <v>11</v>
      </c>
      <c r="D194" s="43" t="str">
        <f>Table681620[[#This Row],[N1]]&amp;Table681620[[#This Row],[N2]]&amp;Table681620[[#This Row],[N3]]</f>
        <v>A311</v>
      </c>
      <c r="E194" s="43" t="str">
        <f>TEXT(COUNTIF(C$7:C192,Table681620[[#This Row],[N3]]),"00")</f>
        <v>02</v>
      </c>
      <c r="F194" s="43">
        <f>COUNTIFS(J$7:J194,J194,K$7:K194,K194,L$7:L194,L194,M$7:M194,M194)</f>
        <v>1</v>
      </c>
      <c r="G194" s="43" t="str">
        <f>TEXT(COUNTIFS(A$7:A194,A194,B$7:B194,B194,E$7:E194,E194,F$7:F194,1),"00")</f>
        <v>02</v>
      </c>
      <c r="H194" s="43" t="str">
        <f t="shared" si="6"/>
        <v>00</v>
      </c>
      <c r="I194" s="44" t="str">
        <f t="shared" si="7"/>
        <v>4</v>
      </c>
      <c r="J194" s="45" t="s">
        <v>38</v>
      </c>
      <c r="K194" s="45" t="s">
        <v>391</v>
      </c>
      <c r="L194" s="45" t="s">
        <v>324</v>
      </c>
      <c r="M194" s="45" t="s">
        <v>696</v>
      </c>
      <c r="N194" s="45"/>
      <c r="O19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A3.11.02</v>
      </c>
      <c r="P194" s="47" t="s">
        <v>329</v>
      </c>
      <c r="Q194" s="47" t="s">
        <v>78</v>
      </c>
      <c r="R194" s="47" t="s">
        <v>613</v>
      </c>
      <c r="S194" s="47" t="s">
        <v>1605</v>
      </c>
      <c r="T194" s="58" t="str">
        <f>IF(Table681620[[#This Row],[LEVEL]]="5",Table681620[[#This Row],[L5]],
IF(Table681620[[#This Row],[LEVEL]]="4",Table681620[[#This Row],[L4]],
IF(Table681620[[#This Row],[LEVEL]]="3",Table681620[[#This Row],[L3]],
IF(Table681620[[#This Row],[LEVEL]]="2",Table681620[[#This Row],[L2]],
IF(Table681620[[#This Row],[LEVEL]]="1",Table681620[[#This Row],[L1]],"")))))</f>
        <v>Storage Cupboards</v>
      </c>
      <c r="U194" s="47" t="s">
        <v>574</v>
      </c>
      <c r="V194" s="95" t="s">
        <v>44</v>
      </c>
      <c r="W194" s="95"/>
      <c r="X194" s="48"/>
      <c r="Y194" s="62">
        <f>Table681620[[#This Row],[Qty]]*Table681620[[#This Row],[Rate]]</f>
        <v>0</v>
      </c>
      <c r="Z194" s="51"/>
      <c r="AA194" s="48" t="s">
        <v>697</v>
      </c>
      <c r="AB194" s="48" t="s">
        <v>695</v>
      </c>
      <c r="AC194" s="7"/>
      <c r="AD194" s="72"/>
      <c r="AE194" s="67"/>
      <c r="AF194" s="7"/>
      <c r="AG194" s="72"/>
      <c r="AH194" s="67"/>
      <c r="AI194" s="7"/>
      <c r="AJ194" s="72"/>
      <c r="AK194" s="67"/>
    </row>
    <row r="195" spans="1:37" x14ac:dyDescent="0.3">
      <c r="A195" s="43" t="str">
        <f>INDEX(Table_Numbering[L1],MATCH(Table681620[[#This Row],[L1]],Table_Numbering[L1 Description (Cost Area)],0))</f>
        <v>A</v>
      </c>
      <c r="B195" s="43" t="str">
        <f>IFERROR(INDEX(Table_Numbering[L2],MATCH(Table681620[[#This Row],[L2]],Table_Numbering[L2 Description (Area)],0)),"0")</f>
        <v>3</v>
      </c>
      <c r="C195" s="43" t="str">
        <f>IFERROR(INDEX(Table_Numbering[L3],MATCH(Table681620[[#This Row],[L3]],Table_Numbering[L3 Description (Sub Area)],0)),"0")</f>
        <v>11</v>
      </c>
      <c r="D195" s="43" t="str">
        <f>Table681620[[#This Row],[N1]]&amp;Table681620[[#This Row],[N2]]&amp;Table681620[[#This Row],[N3]]</f>
        <v>A311</v>
      </c>
      <c r="E195" s="43" t="str">
        <f>TEXT(COUNTIF(C$7:C193,Table681620[[#This Row],[N3]]),"00")</f>
        <v>03</v>
      </c>
      <c r="F195" s="43">
        <f>COUNTIFS(J$7:J195,J195,K$7:K195,K195,L$7:L195,L195,M$7:M195,M195)</f>
        <v>1</v>
      </c>
      <c r="G195" s="43" t="str">
        <f>TEXT(COUNTIFS(A$7:A195,A195,B$7:B195,B195,E$7:E195,E195,F$7:F195,1),"00")</f>
        <v>02</v>
      </c>
      <c r="H195" s="43" t="str">
        <f t="shared" si="6"/>
        <v>00</v>
      </c>
      <c r="I195" s="44" t="str">
        <f t="shared" si="7"/>
        <v>4</v>
      </c>
      <c r="J195" s="45" t="s">
        <v>38</v>
      </c>
      <c r="K195" s="45" t="s">
        <v>391</v>
      </c>
      <c r="L195" s="45" t="s">
        <v>324</v>
      </c>
      <c r="M195" s="45" t="s">
        <v>698</v>
      </c>
      <c r="N195" s="45"/>
      <c r="O19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A3.11.03</v>
      </c>
      <c r="P195" s="47" t="s">
        <v>329</v>
      </c>
      <c r="Q195" s="47" t="s">
        <v>78</v>
      </c>
      <c r="R195" s="47" t="s">
        <v>613</v>
      </c>
      <c r="S195" s="47" t="s">
        <v>1606</v>
      </c>
      <c r="T195" s="58" t="str">
        <f>IF(Table681620[[#This Row],[LEVEL]]="5",Table681620[[#This Row],[L5]],
IF(Table681620[[#This Row],[LEVEL]]="4",Table681620[[#This Row],[L4]],
IF(Table681620[[#This Row],[LEVEL]]="3",Table681620[[#This Row],[L3]],
IF(Table681620[[#This Row],[LEVEL]]="2",Table681620[[#This Row],[L2]],
IF(Table681620[[#This Row],[LEVEL]]="1",Table681620[[#This Row],[L1]],"")))))</f>
        <v>Vanity Units - Amenities</v>
      </c>
      <c r="U195" s="47" t="s">
        <v>574</v>
      </c>
      <c r="V195" s="95" t="s">
        <v>44</v>
      </c>
      <c r="W195" s="95"/>
      <c r="X195" s="48"/>
      <c r="Y195" s="62">
        <f>Table681620[[#This Row],[Qty]]*Table681620[[#This Row],[Rate]]</f>
        <v>0</v>
      </c>
      <c r="Z195" s="51"/>
      <c r="AA195" s="48" t="s">
        <v>699</v>
      </c>
      <c r="AB195" s="48" t="s">
        <v>692</v>
      </c>
      <c r="AC195" s="7"/>
      <c r="AD195" s="72"/>
      <c r="AE195" s="67"/>
      <c r="AF195" s="7"/>
      <c r="AG195" s="72"/>
      <c r="AH195" s="67"/>
      <c r="AI195" s="7"/>
      <c r="AJ195" s="72"/>
      <c r="AK195" s="67"/>
    </row>
    <row r="196" spans="1:37" x14ac:dyDescent="0.3">
      <c r="A196" s="43" t="str">
        <f>INDEX(Table_Numbering[L1],MATCH(Table681620[[#This Row],[L1]],Table_Numbering[L1 Description (Cost Area)],0))</f>
        <v>A</v>
      </c>
      <c r="B196" s="43" t="str">
        <f>IFERROR(INDEX(Table_Numbering[L2],MATCH(Table681620[[#This Row],[L2]],Table_Numbering[L2 Description (Area)],0)),"0")</f>
        <v>3</v>
      </c>
      <c r="C196" s="43" t="str">
        <f>IFERROR(INDEX(Table_Numbering[L3],MATCH(Table681620[[#This Row],[L3]],Table_Numbering[L3 Description (Sub Area)],0)),"0")</f>
        <v>12</v>
      </c>
      <c r="D196" s="43" t="str">
        <f>Table681620[[#This Row],[N1]]&amp;Table681620[[#This Row],[N2]]&amp;Table681620[[#This Row],[N3]]</f>
        <v>A312</v>
      </c>
      <c r="E196" s="43" t="str">
        <f>TEXT(COUNTIF(C$7:C194,Table681620[[#This Row],[N3]]),"00")</f>
        <v>00</v>
      </c>
      <c r="F196" s="43">
        <f>COUNTIFS(J$7:J196,J196,K$7:K196,K196,L$7:L196,L196,M$7:M196,M196)</f>
        <v>0</v>
      </c>
      <c r="G196" s="43" t="str">
        <f>TEXT(COUNTIFS(A$7:A196,A196,B$7:B196,B196,E$7:E196,E196,F$7:F196,1),"00")</f>
        <v>02</v>
      </c>
      <c r="H196" s="43" t="str">
        <f t="shared" si="6"/>
        <v>00</v>
      </c>
      <c r="I196" s="44" t="str">
        <f t="shared" si="7"/>
        <v>3</v>
      </c>
      <c r="J196" s="45" t="s">
        <v>38</v>
      </c>
      <c r="K196" s="45" t="s">
        <v>391</v>
      </c>
      <c r="L196" s="45" t="s">
        <v>362</v>
      </c>
      <c r="M196" s="45"/>
      <c r="N196" s="45"/>
      <c r="O19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A3.12</v>
      </c>
      <c r="P196" s="47"/>
      <c r="Q196" s="47"/>
      <c r="R196" s="47"/>
      <c r="S196" s="47"/>
      <c r="T196" s="55" t="str">
        <f>IF(Table681620[[#This Row],[LEVEL]]="5",Table681620[[#This Row],[L5]],
IF(Table681620[[#This Row],[LEVEL]]="4",Table681620[[#This Row],[L4]],
IF(Table681620[[#This Row],[LEVEL]]="3",Table681620[[#This Row],[L3]],
IF(Table681620[[#This Row],[LEVEL]]="2",Table681620[[#This Row],[L2]],
IF(Table681620[[#This Row],[LEVEL]]="1",Table681620[[#This Row],[L1]],"")))))</f>
        <v>FFE</v>
      </c>
      <c r="U196" s="47"/>
      <c r="V196" s="95"/>
      <c r="W196" s="95"/>
      <c r="X196" s="48"/>
      <c r="Y196" s="50">
        <f>SUBTOTAL(9,Y197:Y202)</f>
        <v>0</v>
      </c>
      <c r="Z196" s="51"/>
      <c r="AA196" s="48"/>
      <c r="AB196" s="48"/>
      <c r="AC196" s="7"/>
      <c r="AD196" s="72"/>
      <c r="AE196" s="67"/>
      <c r="AF196" s="7"/>
      <c r="AG196" s="72"/>
      <c r="AH196" s="67"/>
      <c r="AI196" s="7"/>
      <c r="AJ196" s="72"/>
      <c r="AK196" s="67"/>
    </row>
    <row r="197" spans="1:37" x14ac:dyDescent="0.3">
      <c r="A197" s="43" t="str">
        <f>INDEX(Table_Numbering[L1],MATCH(Table681620[[#This Row],[L1]],Table_Numbering[L1 Description (Cost Area)],0))</f>
        <v>A</v>
      </c>
      <c r="B197" s="43" t="str">
        <f>IFERROR(INDEX(Table_Numbering[L2],MATCH(Table681620[[#This Row],[L2]],Table_Numbering[L2 Description (Area)],0)),"0")</f>
        <v>3</v>
      </c>
      <c r="C197" s="43" t="str">
        <f>IFERROR(INDEX(Table_Numbering[L3],MATCH(Table681620[[#This Row],[L3]],Table_Numbering[L3 Description (Sub Area)],0)),"0")</f>
        <v>12</v>
      </c>
      <c r="D197" s="43" t="str">
        <f>Table681620[[#This Row],[N1]]&amp;Table681620[[#This Row],[N2]]&amp;Table681620[[#This Row],[N3]]</f>
        <v>A312</v>
      </c>
      <c r="E197" s="43" t="str">
        <f>TEXT(COUNTIF(C$7:C195,Table681620[[#This Row],[N3]]),"00")</f>
        <v>00</v>
      </c>
      <c r="F197" s="43">
        <f>COUNTIFS(J$7:J197,J197,K$7:K197,K197,L$7:L197,L197,M$7:M197,M197)</f>
        <v>1</v>
      </c>
      <c r="G197" s="43" t="str">
        <f>TEXT(COUNTIFS(A$7:A197,A197,B$7:B197,B197,E$7:E197,E197,F$7:F197,1),"00")</f>
        <v>03</v>
      </c>
      <c r="H197" s="43" t="str">
        <f t="shared" si="6"/>
        <v>00</v>
      </c>
      <c r="I197" s="44" t="str">
        <f t="shared" si="7"/>
        <v>4</v>
      </c>
      <c r="J197" s="45" t="s">
        <v>38</v>
      </c>
      <c r="K197" s="45" t="s">
        <v>391</v>
      </c>
      <c r="L197" s="45" t="s">
        <v>362</v>
      </c>
      <c r="M197" s="45" t="s">
        <v>700</v>
      </c>
      <c r="N197" s="45"/>
      <c r="O19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A3.12.00</v>
      </c>
      <c r="P197" s="47" t="s">
        <v>352</v>
      </c>
      <c r="Q197" s="47" t="s">
        <v>78</v>
      </c>
      <c r="R197" s="47" t="s">
        <v>701</v>
      </c>
      <c r="S197" s="47" t="s">
        <v>1607</v>
      </c>
      <c r="T197" s="58" t="str">
        <f>IF(Table681620[[#This Row],[LEVEL]]="5",Table681620[[#This Row],[L5]],
IF(Table681620[[#This Row],[LEVEL]]="4",Table681620[[#This Row],[L4]],
IF(Table681620[[#This Row],[LEVEL]]="3",Table681620[[#This Row],[L3]],
IF(Table681620[[#This Row],[LEVEL]]="2",Table681620[[#This Row],[L2]],
IF(Table681620[[#This Row],[LEVEL]]="1",Table681620[[#This Row],[L1]],"")))))</f>
        <v>Workstations</v>
      </c>
      <c r="U197" s="47" t="s">
        <v>574</v>
      </c>
      <c r="V197" s="95" t="s">
        <v>44</v>
      </c>
      <c r="W197" s="95"/>
      <c r="X197" s="48"/>
      <c r="Y197" s="62">
        <f>Table681620[[#This Row],[Qty]]*Table681620[[#This Row],[Rate]]</f>
        <v>0</v>
      </c>
      <c r="Z197" s="51"/>
      <c r="AA197" s="48" t="s">
        <v>702</v>
      </c>
      <c r="AB197" s="48" t="s">
        <v>703</v>
      </c>
      <c r="AC197" s="7"/>
      <c r="AD197" s="72"/>
      <c r="AE197" s="67"/>
      <c r="AF197" s="7"/>
      <c r="AG197" s="72"/>
      <c r="AH197" s="67"/>
      <c r="AI197" s="7"/>
      <c r="AJ197" s="72"/>
      <c r="AK197" s="67"/>
    </row>
    <row r="198" spans="1:37" x14ac:dyDescent="0.3">
      <c r="A198" s="43" t="str">
        <f>INDEX(Table_Numbering[L1],MATCH(Table681620[[#This Row],[L1]],Table_Numbering[L1 Description (Cost Area)],0))</f>
        <v>A</v>
      </c>
      <c r="B198" s="43" t="str">
        <f>IFERROR(INDEX(Table_Numbering[L2],MATCH(Table681620[[#This Row],[L2]],Table_Numbering[L2 Description (Area)],0)),"0")</f>
        <v>3</v>
      </c>
      <c r="C198" s="43" t="str">
        <f>IFERROR(INDEX(Table_Numbering[L3],MATCH(Table681620[[#This Row],[L3]],Table_Numbering[L3 Description (Sub Area)],0)),"0")</f>
        <v>12</v>
      </c>
      <c r="D198" s="43" t="str">
        <f>Table681620[[#This Row],[N1]]&amp;Table681620[[#This Row],[N2]]&amp;Table681620[[#This Row],[N3]]</f>
        <v>A312</v>
      </c>
      <c r="E198" s="43" t="str">
        <f>TEXT(COUNTIF(C$7:C196,Table681620[[#This Row],[N3]]),"00")</f>
        <v>01</v>
      </c>
      <c r="F198" s="43">
        <f>COUNTIFS(J$7:J198,J198,K$7:K198,K198,L$7:L198,L198,M$7:M198,M198)</f>
        <v>1</v>
      </c>
      <c r="G198" s="43" t="str">
        <f>TEXT(COUNTIFS(A$7:A198,A198,B$7:B198,B198,E$7:E198,E198,F$7:F198,1),"00")</f>
        <v>03</v>
      </c>
      <c r="H198" s="43" t="str">
        <f t="shared" si="6"/>
        <v>00</v>
      </c>
      <c r="I198" s="44" t="str">
        <f t="shared" si="7"/>
        <v>4</v>
      </c>
      <c r="J198" s="45" t="s">
        <v>38</v>
      </c>
      <c r="K198" s="45" t="s">
        <v>391</v>
      </c>
      <c r="L198" s="45" t="s">
        <v>362</v>
      </c>
      <c r="M198" s="45" t="s">
        <v>704</v>
      </c>
      <c r="N198" s="45"/>
      <c r="O19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A3.12.01</v>
      </c>
      <c r="P198" s="47" t="s">
        <v>352</v>
      </c>
      <c r="Q198" s="47" t="s">
        <v>78</v>
      </c>
      <c r="R198" s="47" t="s">
        <v>701</v>
      </c>
      <c r="S198" s="47" t="s">
        <v>1608</v>
      </c>
      <c r="T198" s="58" t="str">
        <f>IF(Table681620[[#This Row],[LEVEL]]="5",Table681620[[#This Row],[L5]],
IF(Table681620[[#This Row],[LEVEL]]="4",Table681620[[#This Row],[L4]],
IF(Table681620[[#This Row],[LEVEL]]="3",Table681620[[#This Row],[L3]],
IF(Table681620[[#This Row],[LEVEL]]="2",Table681620[[#This Row],[L2]],
IF(Table681620[[#This Row],[LEVEL]]="1",Table681620[[#This Row],[L1]],"")))))</f>
        <v>Task Chairs</v>
      </c>
      <c r="U198" s="47" t="s">
        <v>574</v>
      </c>
      <c r="V198" s="95" t="s">
        <v>44</v>
      </c>
      <c r="W198" s="95"/>
      <c r="X198" s="48"/>
      <c r="Y198" s="62">
        <f>Table681620[[#This Row],[Qty]]*Table681620[[#This Row],[Rate]]</f>
        <v>0</v>
      </c>
      <c r="Z198" s="51"/>
      <c r="AA198" s="48" t="s">
        <v>705</v>
      </c>
      <c r="AB198" s="48" t="s">
        <v>706</v>
      </c>
      <c r="AC198" s="7"/>
      <c r="AD198" s="72"/>
      <c r="AE198" s="67"/>
      <c r="AF198" s="7"/>
      <c r="AG198" s="72"/>
      <c r="AH198" s="67"/>
      <c r="AI198" s="7"/>
      <c r="AJ198" s="72"/>
      <c r="AK198" s="67"/>
    </row>
    <row r="199" spans="1:37" x14ac:dyDescent="0.3">
      <c r="A199" s="43" t="str">
        <f>INDEX(Table_Numbering[L1],MATCH(Table681620[[#This Row],[L1]],Table_Numbering[L1 Description (Cost Area)],0))</f>
        <v>A</v>
      </c>
      <c r="B199" s="43" t="str">
        <f>IFERROR(INDEX(Table_Numbering[L2],MATCH(Table681620[[#This Row],[L2]],Table_Numbering[L2 Description (Area)],0)),"0")</f>
        <v>3</v>
      </c>
      <c r="C199" s="43" t="str">
        <f>IFERROR(INDEX(Table_Numbering[L3],MATCH(Table681620[[#This Row],[L3]],Table_Numbering[L3 Description (Sub Area)],0)),"0")</f>
        <v>12</v>
      </c>
      <c r="D199" s="43" t="str">
        <f>Table681620[[#This Row],[N1]]&amp;Table681620[[#This Row],[N2]]&amp;Table681620[[#This Row],[N3]]</f>
        <v>A312</v>
      </c>
      <c r="E199" s="43" t="str">
        <f>TEXT(COUNTIF(C$7:C197,Table681620[[#This Row],[N3]]),"00")</f>
        <v>02</v>
      </c>
      <c r="F199" s="43">
        <f>COUNTIFS(J$7:J199,J199,K$7:K199,K199,L$7:L199,L199,M$7:M199,M199)</f>
        <v>1</v>
      </c>
      <c r="G199" s="43" t="str">
        <f>TEXT(COUNTIFS(A$7:A199,A199,B$7:B199,B199,E$7:E199,E199,F$7:F199,1),"00")</f>
        <v>03</v>
      </c>
      <c r="H199" s="43" t="str">
        <f t="shared" si="6"/>
        <v>00</v>
      </c>
      <c r="I199" s="44" t="str">
        <f t="shared" si="7"/>
        <v>4</v>
      </c>
      <c r="J199" s="45" t="s">
        <v>38</v>
      </c>
      <c r="K199" s="45" t="s">
        <v>391</v>
      </c>
      <c r="L199" s="45" t="s">
        <v>362</v>
      </c>
      <c r="M199" s="45" t="s">
        <v>707</v>
      </c>
      <c r="N199" s="45"/>
      <c r="O19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A3.12.02</v>
      </c>
      <c r="P199" s="47" t="s">
        <v>352</v>
      </c>
      <c r="Q199" s="47" t="s">
        <v>78</v>
      </c>
      <c r="R199" s="47" t="s">
        <v>701</v>
      </c>
      <c r="S199" s="47" t="s">
        <v>1609</v>
      </c>
      <c r="T199" s="58" t="str">
        <f>IF(Table681620[[#This Row],[LEVEL]]="5",Table681620[[#This Row],[L5]],
IF(Table681620[[#This Row],[LEVEL]]="4",Table681620[[#This Row],[L4]],
IF(Table681620[[#This Row],[LEVEL]]="3",Table681620[[#This Row],[L3]],
IF(Table681620[[#This Row],[LEVEL]]="2",Table681620[[#This Row],[L2]],
IF(Table681620[[#This Row],[LEVEL]]="1",Table681620[[#This Row],[L1]],"")))))</f>
        <v>Meeting Room Tables</v>
      </c>
      <c r="U199" s="47" t="s">
        <v>574</v>
      </c>
      <c r="V199" s="95" t="s">
        <v>44</v>
      </c>
      <c r="W199" s="95"/>
      <c r="X199" s="48"/>
      <c r="Y199" s="62">
        <f>Table681620[[#This Row],[Qty]]*Table681620[[#This Row],[Rate]]</f>
        <v>0</v>
      </c>
      <c r="Z199" s="51"/>
      <c r="AA199" s="48" t="s">
        <v>708</v>
      </c>
      <c r="AB199" s="48" t="s">
        <v>703</v>
      </c>
      <c r="AC199" s="7"/>
      <c r="AD199" s="72"/>
      <c r="AE199" s="67"/>
      <c r="AF199" s="7"/>
      <c r="AG199" s="72"/>
      <c r="AH199" s="67"/>
      <c r="AI199" s="7"/>
      <c r="AJ199" s="72"/>
      <c r="AK199" s="67"/>
    </row>
    <row r="200" spans="1:37" x14ac:dyDescent="0.3">
      <c r="A200" s="43" t="str">
        <f>INDEX(Table_Numbering[L1],MATCH(Table681620[[#This Row],[L1]],Table_Numbering[L1 Description (Cost Area)],0))</f>
        <v>A</v>
      </c>
      <c r="B200" s="43" t="str">
        <f>IFERROR(INDEX(Table_Numbering[L2],MATCH(Table681620[[#This Row],[L2]],Table_Numbering[L2 Description (Area)],0)),"0")</f>
        <v>3</v>
      </c>
      <c r="C200" s="43" t="str">
        <f>IFERROR(INDEX(Table_Numbering[L3],MATCH(Table681620[[#This Row],[L3]],Table_Numbering[L3 Description (Sub Area)],0)),"0")</f>
        <v>12</v>
      </c>
      <c r="D200" s="43" t="str">
        <f>Table681620[[#This Row],[N1]]&amp;Table681620[[#This Row],[N2]]&amp;Table681620[[#This Row],[N3]]</f>
        <v>A312</v>
      </c>
      <c r="E200" s="43" t="str">
        <f>TEXT(COUNTIF(C$7:C198,Table681620[[#This Row],[N3]]),"00")</f>
        <v>03</v>
      </c>
      <c r="F200" s="43">
        <f>COUNTIFS(J$7:J200,J200,K$7:K200,K200,L$7:L200,L200,M$7:M200,M200)</f>
        <v>1</v>
      </c>
      <c r="G200" s="43" t="str">
        <f>TEXT(COUNTIFS(A$7:A200,A200,B$7:B200,B200,E$7:E200,E200,F$7:F200,1),"00")</f>
        <v>03</v>
      </c>
      <c r="H200" s="43" t="str">
        <f t="shared" si="6"/>
        <v>00</v>
      </c>
      <c r="I200" s="44" t="str">
        <f t="shared" si="7"/>
        <v>4</v>
      </c>
      <c r="J200" s="45" t="s">
        <v>38</v>
      </c>
      <c r="K200" s="45" t="s">
        <v>391</v>
      </c>
      <c r="L200" s="45" t="s">
        <v>362</v>
      </c>
      <c r="M200" s="45" t="s">
        <v>709</v>
      </c>
      <c r="N200" s="45"/>
      <c r="O20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A3.12.03</v>
      </c>
      <c r="P200" s="47" t="s">
        <v>352</v>
      </c>
      <c r="Q200" s="47" t="s">
        <v>78</v>
      </c>
      <c r="R200" s="47" t="s">
        <v>701</v>
      </c>
      <c r="S200" s="47" t="s">
        <v>1610</v>
      </c>
      <c r="T200" s="58" t="str">
        <f>IF(Table681620[[#This Row],[LEVEL]]="5",Table681620[[#This Row],[L5]],
IF(Table681620[[#This Row],[LEVEL]]="4",Table681620[[#This Row],[L4]],
IF(Table681620[[#This Row],[LEVEL]]="3",Table681620[[#This Row],[L3]],
IF(Table681620[[#This Row],[LEVEL]]="2",Table681620[[#This Row],[L2]],
IF(Table681620[[#This Row],[LEVEL]]="1",Table681620[[#This Row],[L1]],"")))))</f>
        <v>Lockers</v>
      </c>
      <c r="U200" s="47" t="s">
        <v>574</v>
      </c>
      <c r="V200" s="95" t="s">
        <v>44</v>
      </c>
      <c r="W200" s="95"/>
      <c r="X200" s="48"/>
      <c r="Y200" s="62">
        <f>Table681620[[#This Row],[Qty]]*Table681620[[#This Row],[Rate]]</f>
        <v>0</v>
      </c>
      <c r="Z200" s="51"/>
      <c r="AA200" s="48" t="s">
        <v>710</v>
      </c>
      <c r="AB200" s="48" t="s">
        <v>711</v>
      </c>
      <c r="AC200" s="7"/>
      <c r="AD200" s="72"/>
      <c r="AE200" s="67"/>
      <c r="AF200" s="7"/>
      <c r="AG200" s="72"/>
      <c r="AH200" s="67"/>
      <c r="AI200" s="7"/>
      <c r="AJ200" s="72"/>
      <c r="AK200" s="67"/>
    </row>
    <row r="201" spans="1:37" x14ac:dyDescent="0.3">
      <c r="A201" s="43" t="str">
        <f>INDEX(Table_Numbering[L1],MATCH(Table681620[[#This Row],[L1]],Table_Numbering[L1 Description (Cost Area)],0))</f>
        <v>A</v>
      </c>
      <c r="B201" s="43" t="str">
        <f>IFERROR(INDEX(Table_Numbering[L2],MATCH(Table681620[[#This Row],[L2]],Table_Numbering[L2 Description (Area)],0)),"0")</f>
        <v>3</v>
      </c>
      <c r="C201" s="43" t="str">
        <f>IFERROR(INDEX(Table_Numbering[L3],MATCH(Table681620[[#This Row],[L3]],Table_Numbering[L3 Description (Sub Area)],0)),"0")</f>
        <v>12</v>
      </c>
      <c r="D201" s="43" t="str">
        <f>Table681620[[#This Row],[N1]]&amp;Table681620[[#This Row],[N2]]&amp;Table681620[[#This Row],[N3]]</f>
        <v>A312</v>
      </c>
      <c r="E201" s="43" t="str">
        <f>TEXT(COUNTIF(C$7:C199,Table681620[[#This Row],[N3]]),"00")</f>
        <v>04</v>
      </c>
      <c r="F201" s="43">
        <f>COUNTIFS(J$7:J201,J201,K$7:K201,K201,L$7:L201,L201,M$7:M201,M201)</f>
        <v>1</v>
      </c>
      <c r="G201" s="43" t="str">
        <f>TEXT(COUNTIFS(A$7:A201,A201,B$7:B201,B201,E$7:E201,E201,F$7:F201,1),"00")</f>
        <v>02</v>
      </c>
      <c r="H201" s="43" t="str">
        <f t="shared" si="6"/>
        <v>00</v>
      </c>
      <c r="I201" s="44" t="str">
        <f t="shared" si="7"/>
        <v>4</v>
      </c>
      <c r="J201" s="45" t="s">
        <v>38</v>
      </c>
      <c r="K201" s="45" t="s">
        <v>391</v>
      </c>
      <c r="L201" s="45" t="s">
        <v>362</v>
      </c>
      <c r="M201" s="45" t="s">
        <v>712</v>
      </c>
      <c r="N201" s="45"/>
      <c r="O20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A3.12.04</v>
      </c>
      <c r="P201" s="47" t="s">
        <v>352</v>
      </c>
      <c r="Q201" s="47" t="s">
        <v>78</v>
      </c>
      <c r="R201" s="47" t="s">
        <v>701</v>
      </c>
      <c r="S201" s="47" t="s">
        <v>1611</v>
      </c>
      <c r="T201" s="58" t="str">
        <f>IF(Table681620[[#This Row],[LEVEL]]="5",Table681620[[#This Row],[L5]],
IF(Table681620[[#This Row],[LEVEL]]="4",Table681620[[#This Row],[L4]],
IF(Table681620[[#This Row],[LEVEL]]="3",Table681620[[#This Row],[L3]],
IF(Table681620[[#This Row],[LEVEL]]="2",Table681620[[#This Row],[L2]],
IF(Table681620[[#This Row],[LEVEL]]="1",Table681620[[#This Row],[L1]],"")))))</f>
        <v>Whiteboards &amp; Pinboards</v>
      </c>
      <c r="U201" s="47" t="s">
        <v>574</v>
      </c>
      <c r="V201" s="95" t="s">
        <v>44</v>
      </c>
      <c r="W201" s="95"/>
      <c r="X201" s="48"/>
      <c r="Y201" s="62">
        <f>Table681620[[#This Row],[Qty]]*Table681620[[#This Row],[Rate]]</f>
        <v>0</v>
      </c>
      <c r="Z201" s="51"/>
      <c r="AA201" s="48" t="s">
        <v>713</v>
      </c>
      <c r="AB201" s="48" t="s">
        <v>714</v>
      </c>
      <c r="AC201" s="7"/>
      <c r="AD201" s="72"/>
      <c r="AE201" s="67"/>
      <c r="AF201" s="7"/>
      <c r="AG201" s="72"/>
      <c r="AH201" s="67"/>
      <c r="AI201" s="7"/>
      <c r="AJ201" s="72"/>
      <c r="AK201" s="67"/>
    </row>
    <row r="202" spans="1:37" x14ac:dyDescent="0.3">
      <c r="A202" s="43" t="str">
        <f>INDEX(Table_Numbering[L1],MATCH(Table681620[[#This Row],[L1]],Table_Numbering[L1 Description (Cost Area)],0))</f>
        <v>A</v>
      </c>
      <c r="B202" s="43" t="str">
        <f>IFERROR(INDEX(Table_Numbering[L2],MATCH(Table681620[[#This Row],[L2]],Table_Numbering[L2 Description (Area)],0)),"0")</f>
        <v>3</v>
      </c>
      <c r="C202" s="43" t="str">
        <f>IFERROR(INDEX(Table_Numbering[L3],MATCH(Table681620[[#This Row],[L3]],Table_Numbering[L3 Description (Sub Area)],0)),"0")</f>
        <v>12</v>
      </c>
      <c r="D202" s="43" t="str">
        <f>Table681620[[#This Row],[N1]]&amp;Table681620[[#This Row],[N2]]&amp;Table681620[[#This Row],[N3]]</f>
        <v>A312</v>
      </c>
      <c r="E202" s="43" t="str">
        <f>TEXT(COUNTIF(C$7:C200,Table681620[[#This Row],[N3]]),"00")</f>
        <v>05</v>
      </c>
      <c r="F202" s="43">
        <f>COUNTIFS(J$7:J202,J202,K$7:K202,K202,L$7:L202,L202,M$7:M202,M202)</f>
        <v>1</v>
      </c>
      <c r="G202" s="43" t="str">
        <f>TEXT(COUNTIFS(A$7:A202,A202,B$7:B202,B202,E$7:E202,E202,F$7:F202,1),"00")</f>
        <v>06</v>
      </c>
      <c r="H202" s="43" t="str">
        <f t="shared" ref="H202:H265" si="8">TEXT(IF(ISBLANK(N202),0,IF(ISBLANK(N200),1,H200+1)),"00")</f>
        <v>00</v>
      </c>
      <c r="I202" s="44" t="str">
        <f t="shared" ref="I202:I265" si="9">IF(AND(ISBLANK(J202),ISBLANK(K202),ISBLANK(L202),ISBLANK(M202),ISBLANK(N202)),"0",
IF(AND(ISBLANK(K202),ISBLANK(L202),ISBLANK(M202),ISBLANK(N202)),"1",
IF(AND(ISBLANK(L202),ISBLANK(M202),ISBLANK(N202)),"2",
IF(AND(ISBLANK(M202),ISBLANK(N202)),"3",
IF(AND(ISBLANK(N202)),"4","5")))))</f>
        <v>4</v>
      </c>
      <c r="J202" s="45" t="s">
        <v>38</v>
      </c>
      <c r="K202" s="45" t="s">
        <v>391</v>
      </c>
      <c r="L202" s="45" t="s">
        <v>362</v>
      </c>
      <c r="M202" s="45" t="s">
        <v>715</v>
      </c>
      <c r="N202" s="45"/>
      <c r="O20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A3.12.05</v>
      </c>
      <c r="P202" s="47" t="s">
        <v>352</v>
      </c>
      <c r="Q202" s="47" t="s">
        <v>78</v>
      </c>
      <c r="R202" s="47" t="s">
        <v>701</v>
      </c>
      <c r="S202" s="47" t="s">
        <v>1612</v>
      </c>
      <c r="T202" s="58" t="str">
        <f>IF(Table681620[[#This Row],[LEVEL]]="5",Table681620[[#This Row],[L5]],
IF(Table681620[[#This Row],[LEVEL]]="4",Table681620[[#This Row],[L4]],
IF(Table681620[[#This Row],[LEVEL]]="3",Table681620[[#This Row],[L3]],
IF(Table681620[[#This Row],[LEVEL]]="2",Table681620[[#This Row],[L2]],
IF(Table681620[[#This Row],[LEVEL]]="1",Table681620[[#This Row],[L1]],"")))))</f>
        <v>Kitchen Appliances</v>
      </c>
      <c r="U202" s="47" t="s">
        <v>62</v>
      </c>
      <c r="V202" s="95" t="s">
        <v>44</v>
      </c>
      <c r="W202" s="95">
        <v>1</v>
      </c>
      <c r="X202" s="48"/>
      <c r="Y202" s="62">
        <f>Table681620[[#This Row],[Qty]]*Table681620[[#This Row],[Rate]]</f>
        <v>0</v>
      </c>
      <c r="Z202" s="51"/>
      <c r="AA202" s="48" t="s">
        <v>716</v>
      </c>
      <c r="AB202" s="48" t="s">
        <v>717</v>
      </c>
      <c r="AC202" s="7"/>
      <c r="AD202" s="72"/>
      <c r="AE202" s="67"/>
      <c r="AF202" s="7"/>
      <c r="AG202" s="72"/>
      <c r="AH202" s="67"/>
      <c r="AI202" s="7"/>
      <c r="AJ202" s="72"/>
      <c r="AK202" s="67"/>
    </row>
    <row r="203" spans="1:37" x14ac:dyDescent="0.3">
      <c r="A203" s="43" t="str">
        <f>INDEX(Table_Numbering[L1],MATCH(Table681620[[#This Row],[L1]],Table_Numbering[L1 Description (Cost Area)],0))</f>
        <v>A</v>
      </c>
      <c r="B203" s="43" t="str">
        <f>IFERROR(INDEX(Table_Numbering[L2],MATCH(Table681620[[#This Row],[L2]],Table_Numbering[L2 Description (Area)],0)),"0")</f>
        <v>3</v>
      </c>
      <c r="C203" s="43" t="str">
        <f>IFERROR(INDEX(Table_Numbering[L3],MATCH(Table681620[[#This Row],[L3]],Table_Numbering[L3 Description (Sub Area)],0)),"0")</f>
        <v>13</v>
      </c>
      <c r="D203" s="43" t="str">
        <f>Table681620[[#This Row],[N1]]&amp;Table681620[[#This Row],[N2]]&amp;Table681620[[#This Row],[N3]]</f>
        <v>A313</v>
      </c>
      <c r="E203" s="43" t="str">
        <f>TEXT(COUNTIF(C$7:C201,Table681620[[#This Row],[N3]]),"00")</f>
        <v>00</v>
      </c>
      <c r="F203" s="43">
        <f>COUNTIFS(J$7:J203,J203,K$7:K203,K203,L$7:L203,L203,M$7:M203,M203)</f>
        <v>0</v>
      </c>
      <c r="G203" s="43" t="str">
        <f>TEXT(COUNTIFS(A$7:A203,A203,B$7:B203,B203,E$7:E203,E203,F$7:F203,1),"00")</f>
        <v>03</v>
      </c>
      <c r="H203" s="43" t="str">
        <f t="shared" si="8"/>
        <v>00</v>
      </c>
      <c r="I203" s="44" t="str">
        <f t="shared" si="9"/>
        <v>3</v>
      </c>
      <c r="J203" s="45" t="s">
        <v>38</v>
      </c>
      <c r="K203" s="45" t="s">
        <v>391</v>
      </c>
      <c r="L203" s="45" t="s">
        <v>312</v>
      </c>
      <c r="M203" s="45"/>
      <c r="N203" s="45"/>
      <c r="O20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v>
      </c>
      <c r="P203" s="47"/>
      <c r="Q203" s="47"/>
      <c r="R203" s="47"/>
      <c r="S203" s="47"/>
      <c r="T203" s="55" t="str">
        <f>IF(Table681620[[#This Row],[LEVEL]]="5",Table681620[[#This Row],[L5]],
IF(Table681620[[#This Row],[LEVEL]]="4",Table681620[[#This Row],[L4]],
IF(Table681620[[#This Row],[LEVEL]]="3",Table681620[[#This Row],[L3]],
IF(Table681620[[#This Row],[LEVEL]]="2",Table681620[[#This Row],[L2]],
IF(Table681620[[#This Row],[LEVEL]]="1",Table681620[[#This Row],[L1]],"")))))</f>
        <v>EXTERNAL WORKS</v>
      </c>
      <c r="U203" s="47"/>
      <c r="V203" s="95"/>
      <c r="W203" s="95"/>
      <c r="X203" s="48"/>
      <c r="Y203" s="50">
        <f>SUBTOTAL(9,Y204:Y222)</f>
        <v>0</v>
      </c>
      <c r="Z203" s="51"/>
      <c r="AA203" s="48"/>
      <c r="AB203" s="48"/>
      <c r="AC203" s="7"/>
      <c r="AD203" s="72"/>
      <c r="AE203" s="67"/>
      <c r="AF203" s="7"/>
      <c r="AG203" s="72"/>
      <c r="AH203" s="67"/>
      <c r="AI203" s="7"/>
      <c r="AJ203" s="72"/>
      <c r="AK203" s="67"/>
    </row>
    <row r="204" spans="1:37" x14ac:dyDescent="0.3">
      <c r="A204" s="43" t="str">
        <f>INDEX(Table_Numbering[L1],MATCH(Table681620[[#This Row],[L1]],Table_Numbering[L1 Description (Cost Area)],0))</f>
        <v>A</v>
      </c>
      <c r="B204" s="43" t="str">
        <f>IFERROR(INDEX(Table_Numbering[L2],MATCH(Table681620[[#This Row],[L2]],Table_Numbering[L2 Description (Area)],0)),"0")</f>
        <v>3</v>
      </c>
      <c r="C204" s="43" t="str">
        <f>IFERROR(INDEX(Table_Numbering[L3],MATCH(Table681620[[#This Row],[L3]],Table_Numbering[L3 Description (Sub Area)],0)),"0")</f>
        <v>13</v>
      </c>
      <c r="D204" s="43" t="str">
        <f>Table681620[[#This Row],[N1]]&amp;Table681620[[#This Row],[N2]]&amp;Table681620[[#This Row],[N3]]</f>
        <v>A313</v>
      </c>
      <c r="E204" s="43" t="str">
        <f>TEXT(COUNTIF(C$7:C202,Table681620[[#This Row],[N3]]),"00")</f>
        <v>00</v>
      </c>
      <c r="F204" s="43">
        <f>COUNTIFS(J$7:J204,J204,K$7:K204,K204,L$7:L204,L204,M$7:M204,M204)</f>
        <v>1</v>
      </c>
      <c r="G204" s="43" t="str">
        <f>TEXT(COUNTIFS(A$7:A204,A204,B$7:B204,B204,E$7:E204,E204,F$7:F204,1),"00")</f>
        <v>04</v>
      </c>
      <c r="H204" s="43" t="str">
        <f t="shared" si="8"/>
        <v>00</v>
      </c>
      <c r="I204" s="44" t="str">
        <f t="shared" si="9"/>
        <v>4</v>
      </c>
      <c r="J204" s="45" t="s">
        <v>38</v>
      </c>
      <c r="K204" s="45" t="s">
        <v>391</v>
      </c>
      <c r="L204" s="45" t="s">
        <v>312</v>
      </c>
      <c r="M204" s="45" t="s">
        <v>1413</v>
      </c>
      <c r="N204" s="45"/>
      <c r="O20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A3.13.00</v>
      </c>
      <c r="P204" s="47" t="s">
        <v>480</v>
      </c>
      <c r="Q204" s="47" t="s">
        <v>78</v>
      </c>
      <c r="R204" s="47" t="s">
        <v>1353</v>
      </c>
      <c r="S204" s="47" t="s">
        <v>1613</v>
      </c>
      <c r="T204" s="58" t="str">
        <f>IF(Table681620[[#This Row],[LEVEL]]="5",Table681620[[#This Row],[L5]],
IF(Table681620[[#This Row],[LEVEL]]="4",Table681620[[#This Row],[L4]],
IF(Table681620[[#This Row],[LEVEL]]="3",Table681620[[#This Row],[L3]],
IF(Table681620[[#This Row],[LEVEL]]="2",Table681620[[#This Row],[L2]],
IF(Table681620[[#This Row],[LEVEL]]="1",Table681620[[#This Row],[L1]],"")))))</f>
        <v>New Office Parking Area - Subbase</v>
      </c>
      <c r="U204" s="47" t="s">
        <v>246</v>
      </c>
      <c r="V204" s="95" t="s">
        <v>44</v>
      </c>
      <c r="W204" s="95"/>
      <c r="X204" s="48"/>
      <c r="Y204" s="62">
        <f>Table681620[[#This Row],[Qty]]*Table681620[[#This Row],[Rate]]</f>
        <v>0</v>
      </c>
      <c r="Z204" s="51"/>
      <c r="AA204" s="48" t="s">
        <v>581</v>
      </c>
      <c r="AB204" s="48" t="s">
        <v>1414</v>
      </c>
      <c r="AC204" s="7"/>
      <c r="AD204" s="72"/>
      <c r="AE204" s="67"/>
      <c r="AF204" s="7"/>
      <c r="AG204" s="72"/>
      <c r="AH204" s="67"/>
      <c r="AI204" s="7"/>
      <c r="AJ204" s="72"/>
      <c r="AK204" s="67"/>
    </row>
    <row r="205" spans="1:37" x14ac:dyDescent="0.3">
      <c r="A205" s="43" t="str">
        <f>INDEX(Table_Numbering[L1],MATCH(Table681620[[#This Row],[L1]],Table_Numbering[L1 Description (Cost Area)],0))</f>
        <v>A</v>
      </c>
      <c r="B205" s="43" t="str">
        <f>IFERROR(INDEX(Table_Numbering[L2],MATCH(Table681620[[#This Row],[L2]],Table_Numbering[L2 Description (Area)],0)),"0")</f>
        <v>3</v>
      </c>
      <c r="C205" s="43" t="str">
        <f>IFERROR(INDEX(Table_Numbering[L3],MATCH(Table681620[[#This Row],[L3]],Table_Numbering[L3 Description (Sub Area)],0)),"0")</f>
        <v>13</v>
      </c>
      <c r="D205" s="43" t="str">
        <f>Table681620[[#This Row],[N1]]&amp;Table681620[[#This Row],[N2]]&amp;Table681620[[#This Row],[N3]]</f>
        <v>A313</v>
      </c>
      <c r="E205" s="43" t="str">
        <f>TEXT(COUNTIF(C$7:C203,Table681620[[#This Row],[N3]]),"00")</f>
        <v>01</v>
      </c>
      <c r="F205" s="43">
        <f>COUNTIFS(J$7:J205,J205,K$7:K205,K205,L$7:L205,L205,M$7:M205,M205)</f>
        <v>1</v>
      </c>
      <c r="G205" s="43" t="str">
        <f>TEXT(COUNTIFS(A$7:A205,A205,B$7:B205,B205,E$7:E205,E205,F$7:F205,1),"00")</f>
        <v>04</v>
      </c>
      <c r="H205" s="43" t="str">
        <f t="shared" si="8"/>
        <v>00</v>
      </c>
      <c r="I205" s="44" t="str">
        <f t="shared" si="9"/>
        <v>4</v>
      </c>
      <c r="J205" s="45" t="s">
        <v>38</v>
      </c>
      <c r="K205" s="45" t="s">
        <v>391</v>
      </c>
      <c r="L205" s="45" t="s">
        <v>312</v>
      </c>
      <c r="M205" s="45" t="s">
        <v>1415</v>
      </c>
      <c r="N205" s="45"/>
      <c r="O20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A3.13.01</v>
      </c>
      <c r="P205" s="47" t="s">
        <v>480</v>
      </c>
      <c r="Q205" s="47" t="s">
        <v>78</v>
      </c>
      <c r="R205" s="47" t="s">
        <v>1353</v>
      </c>
      <c r="S205" s="47" t="s">
        <v>1614</v>
      </c>
      <c r="T205" s="58" t="str">
        <f>IF(Table681620[[#This Row],[LEVEL]]="5",Table681620[[#This Row],[L5]],
IF(Table681620[[#This Row],[LEVEL]]="4",Table681620[[#This Row],[L4]],
IF(Table681620[[#This Row],[LEVEL]]="3",Table681620[[#This Row],[L3]],
IF(Table681620[[#This Row],[LEVEL]]="2",Table681620[[#This Row],[L2]],
IF(Table681620[[#This Row],[LEVEL]]="1",Table681620[[#This Row],[L1]],"")))))</f>
        <v>New Office Parking Area - Paving</v>
      </c>
      <c r="U205" s="47" t="s">
        <v>246</v>
      </c>
      <c r="V205" s="95" t="s">
        <v>44</v>
      </c>
      <c r="W205" s="95"/>
      <c r="X205" s="48"/>
      <c r="Y205" s="62">
        <f>Table681620[[#This Row],[Qty]]*Table681620[[#This Row],[Rate]]</f>
        <v>0</v>
      </c>
      <c r="Z205" s="51"/>
      <c r="AA205" s="48" t="s">
        <v>581</v>
      </c>
      <c r="AB205" s="48" t="s">
        <v>1416</v>
      </c>
      <c r="AC205" s="7"/>
      <c r="AD205" s="72"/>
      <c r="AE205" s="67"/>
      <c r="AF205" s="7"/>
      <c r="AG205" s="72"/>
      <c r="AH205" s="67"/>
      <c r="AI205" s="7"/>
      <c r="AJ205" s="72"/>
      <c r="AK205" s="67"/>
    </row>
    <row r="206" spans="1:37" x14ac:dyDescent="0.3">
      <c r="A206" s="43" t="str">
        <f>INDEX(Table_Numbering[L1],MATCH(Table681620[[#This Row],[L1]],Table_Numbering[L1 Description (Cost Area)],0))</f>
        <v>A</v>
      </c>
      <c r="B206" s="43" t="str">
        <f>IFERROR(INDEX(Table_Numbering[L2],MATCH(Table681620[[#This Row],[L2]],Table_Numbering[L2 Description (Area)],0)),"0")</f>
        <v>3</v>
      </c>
      <c r="C206" s="43" t="str">
        <f>IFERROR(INDEX(Table_Numbering[L3],MATCH(Table681620[[#This Row],[L3]],Table_Numbering[L3 Description (Sub Area)],0)),"0")</f>
        <v>13</v>
      </c>
      <c r="D206" s="43" t="str">
        <f>Table681620[[#This Row],[N1]]&amp;Table681620[[#This Row],[N2]]&amp;Table681620[[#This Row],[N3]]</f>
        <v>A313</v>
      </c>
      <c r="E206" s="43" t="str">
        <f>TEXT(COUNTIF(C$7:C204,Table681620[[#This Row],[N3]]),"00")</f>
        <v>02</v>
      </c>
      <c r="F206" s="43">
        <f>COUNTIFS(J$7:J206,J206,K$7:K206,K206,L$7:L206,L206,M$7:M206,M206)</f>
        <v>1</v>
      </c>
      <c r="G206" s="43" t="str">
        <f>TEXT(COUNTIFS(A$7:A206,A206,B$7:B206,B206,E$7:E206,E206,F$7:F206,1),"00")</f>
        <v>04</v>
      </c>
      <c r="H206" s="43" t="str">
        <f t="shared" si="8"/>
        <v>00</v>
      </c>
      <c r="I206" s="44" t="str">
        <f t="shared" si="9"/>
        <v>4</v>
      </c>
      <c r="J206" s="45" t="s">
        <v>38</v>
      </c>
      <c r="K206" s="45" t="s">
        <v>391</v>
      </c>
      <c r="L206" s="45" t="s">
        <v>312</v>
      </c>
      <c r="M206" s="45" t="s">
        <v>1417</v>
      </c>
      <c r="N206" s="45"/>
      <c r="O20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A3.13.02</v>
      </c>
      <c r="P206" s="47" t="s">
        <v>480</v>
      </c>
      <c r="Q206" s="47" t="s">
        <v>78</v>
      </c>
      <c r="R206" s="47" t="s">
        <v>1300</v>
      </c>
      <c r="S206" s="47" t="s">
        <v>1615</v>
      </c>
      <c r="T206" s="58" t="str">
        <f>IF(Table681620[[#This Row],[LEVEL]]="5",Table681620[[#This Row],[L5]],
IF(Table681620[[#This Row],[LEVEL]]="4",Table681620[[#This Row],[L4]],
IF(Table681620[[#This Row],[LEVEL]]="3",Table681620[[#This Row],[L3]],
IF(Table681620[[#This Row],[LEVEL]]="2",Table681620[[#This Row],[L2]],
IF(Table681620[[#This Row],[LEVEL]]="1",Table681620[[#This Row],[L1]],"")))))</f>
        <v>Carpark Line Marking &amp; Signage</v>
      </c>
      <c r="U206" s="47" t="s">
        <v>62</v>
      </c>
      <c r="V206" s="95" t="s">
        <v>44</v>
      </c>
      <c r="W206" s="95">
        <v>1</v>
      </c>
      <c r="X206" s="48"/>
      <c r="Y206" s="62">
        <f>Table681620[[#This Row],[Qty]]*Table681620[[#This Row],[Rate]]</f>
        <v>0</v>
      </c>
      <c r="Z206" s="51"/>
      <c r="AA206" s="48" t="s">
        <v>1374</v>
      </c>
      <c r="AB206" s="48" t="s">
        <v>1350</v>
      </c>
      <c r="AC206" s="7"/>
      <c r="AD206" s="72"/>
      <c r="AE206" s="67"/>
      <c r="AF206" s="7"/>
      <c r="AG206" s="72"/>
      <c r="AH206" s="67"/>
      <c r="AI206" s="7"/>
      <c r="AJ206" s="72"/>
      <c r="AK206" s="67"/>
    </row>
    <row r="207" spans="1:37" x14ac:dyDescent="0.3">
      <c r="A207" s="43" t="str">
        <f>INDEX(Table_Numbering[L1],MATCH(Table681620[[#This Row],[L1]],Table_Numbering[L1 Description (Cost Area)],0))</f>
        <v>A</v>
      </c>
      <c r="B207" s="43" t="str">
        <f>IFERROR(INDEX(Table_Numbering[L2],MATCH(Table681620[[#This Row],[L2]],Table_Numbering[L2 Description (Area)],0)),"0")</f>
        <v>3</v>
      </c>
      <c r="C207" s="43" t="str">
        <f>IFERROR(INDEX(Table_Numbering[L3],MATCH(Table681620[[#This Row],[L3]],Table_Numbering[L3 Description (Sub Area)],0)),"0")</f>
        <v>13</v>
      </c>
      <c r="D207" s="43" t="str">
        <f>Table681620[[#This Row],[N1]]&amp;Table681620[[#This Row],[N2]]&amp;Table681620[[#This Row],[N3]]</f>
        <v>A313</v>
      </c>
      <c r="E207" s="43" t="str">
        <f>TEXT(COUNTIF(C$7:C205,Table681620[[#This Row],[N3]]),"00")</f>
        <v>03</v>
      </c>
      <c r="F207" s="43">
        <f>COUNTIFS(J$7:J207,J207,K$7:K207,K207,L$7:L207,L207,M$7:M207,M207)</f>
        <v>1</v>
      </c>
      <c r="G207" s="43" t="str">
        <f>TEXT(COUNTIFS(A$7:A207,A207,B$7:B207,B207,E$7:E207,E207,F$7:F207,1),"00")</f>
        <v>04</v>
      </c>
      <c r="H207" s="43" t="str">
        <f t="shared" si="8"/>
        <v>00</v>
      </c>
      <c r="I207" s="44" t="str">
        <f t="shared" si="9"/>
        <v>4</v>
      </c>
      <c r="J207" s="45" t="s">
        <v>38</v>
      </c>
      <c r="K207" s="45" t="s">
        <v>391</v>
      </c>
      <c r="L207" s="45" t="s">
        <v>312</v>
      </c>
      <c r="M207" s="45" t="s">
        <v>1351</v>
      </c>
      <c r="N207" s="45"/>
      <c r="O20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A3.13.03</v>
      </c>
      <c r="P207" s="47" t="s">
        <v>480</v>
      </c>
      <c r="Q207" s="47" t="s">
        <v>78</v>
      </c>
      <c r="R207" s="47" t="s">
        <v>1300</v>
      </c>
      <c r="S207" s="47" t="s">
        <v>1616</v>
      </c>
      <c r="T207" s="58" t="str">
        <f>IF(Table681620[[#This Row],[LEVEL]]="5",Table681620[[#This Row],[L5]],
IF(Table681620[[#This Row],[LEVEL]]="4",Table681620[[#This Row],[L4]],
IF(Table681620[[#This Row],[LEVEL]]="3",Table681620[[#This Row],[L3]],
IF(Table681620[[#This Row],[LEVEL]]="2",Table681620[[#This Row],[L2]],
IF(Table681620[[#This Row],[LEVEL]]="1",Table681620[[#This Row],[L1]],"")))))</f>
        <v>Wheel Stops &amp; Bollards</v>
      </c>
      <c r="U207" s="47" t="s">
        <v>574</v>
      </c>
      <c r="V207" s="95" t="s">
        <v>44</v>
      </c>
      <c r="W207" s="95"/>
      <c r="X207" s="48"/>
      <c r="Y207" s="62">
        <f>Table681620[[#This Row],[Qty]]*Table681620[[#This Row],[Rate]]</f>
        <v>0</v>
      </c>
      <c r="Z207" s="51"/>
      <c r="AA207" s="48" t="s">
        <v>1295</v>
      </c>
      <c r="AB207" s="48" t="s">
        <v>1418</v>
      </c>
      <c r="AC207" s="7"/>
      <c r="AD207" s="72"/>
      <c r="AE207" s="67"/>
      <c r="AF207" s="7"/>
      <c r="AG207" s="72"/>
      <c r="AH207" s="67"/>
      <c r="AI207" s="7"/>
      <c r="AJ207" s="72"/>
      <c r="AK207" s="67"/>
    </row>
    <row r="208" spans="1:37" x14ac:dyDescent="0.3">
      <c r="A208" s="43" t="str">
        <f>INDEX(Table_Numbering[L1],MATCH(Table681620[[#This Row],[L1]],Table_Numbering[L1 Description (Cost Area)],0))</f>
        <v>A</v>
      </c>
      <c r="B208" s="43" t="str">
        <f>IFERROR(INDEX(Table_Numbering[L2],MATCH(Table681620[[#This Row],[L2]],Table_Numbering[L2 Description (Area)],0)),"0")</f>
        <v>3</v>
      </c>
      <c r="C208" s="43" t="str">
        <f>IFERROR(INDEX(Table_Numbering[L3],MATCH(Table681620[[#This Row],[L3]],Table_Numbering[L3 Description (Sub Area)],0)),"0")</f>
        <v>13</v>
      </c>
      <c r="D208" s="43" t="str">
        <f>Table681620[[#This Row],[N1]]&amp;Table681620[[#This Row],[N2]]&amp;Table681620[[#This Row],[N3]]</f>
        <v>A313</v>
      </c>
      <c r="E208" s="43" t="str">
        <f>TEXT(COUNTIF(C$7:C206,Table681620[[#This Row],[N3]]),"00")</f>
        <v>04</v>
      </c>
      <c r="F208" s="43">
        <f>COUNTIFS(J$7:J208,J208,K$7:K208,K208,L$7:L208,L208,M$7:M208,M208)</f>
        <v>1</v>
      </c>
      <c r="G208" s="43" t="str">
        <f>TEXT(COUNTIFS(A$7:A208,A208,B$7:B208,B208,E$7:E208,E208,F$7:F208,1),"00")</f>
        <v>03</v>
      </c>
      <c r="H208" s="43" t="str">
        <f t="shared" si="8"/>
        <v>00</v>
      </c>
      <c r="I208" s="44" t="str">
        <f t="shared" si="9"/>
        <v>4</v>
      </c>
      <c r="J208" s="45" t="s">
        <v>38</v>
      </c>
      <c r="K208" s="45" t="s">
        <v>391</v>
      </c>
      <c r="L208" s="45" t="s">
        <v>312</v>
      </c>
      <c r="M208" s="45" t="s">
        <v>1354</v>
      </c>
      <c r="N208" s="45"/>
      <c r="O20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A3.13.04</v>
      </c>
      <c r="P208" s="47" t="s">
        <v>1352</v>
      </c>
      <c r="Q208" s="47" t="s">
        <v>78</v>
      </c>
      <c r="R208" s="47" t="s">
        <v>1353</v>
      </c>
      <c r="S208" s="47" t="s">
        <v>1617</v>
      </c>
      <c r="T208" s="58" t="str">
        <f>IF(Table681620[[#This Row],[LEVEL]]="5",Table681620[[#This Row],[L5]],
IF(Table681620[[#This Row],[LEVEL]]="4",Table681620[[#This Row],[L4]],
IF(Table681620[[#This Row],[LEVEL]]="3",Table681620[[#This Row],[L3]],
IF(Table681620[[#This Row],[LEVEL]]="2",Table681620[[#This Row],[L2]],
IF(Table681620[[#This Row],[LEVEL]]="1",Table681620[[#This Row],[L1]],"")))))</f>
        <v>Concrete Footpaths</v>
      </c>
      <c r="U208" s="47" t="s">
        <v>246</v>
      </c>
      <c r="V208" s="95" t="s">
        <v>44</v>
      </c>
      <c r="W208" s="95"/>
      <c r="X208" s="48"/>
      <c r="Y208" s="62">
        <f>Table681620[[#This Row],[Qty]]*Table681620[[#This Row],[Rate]]</f>
        <v>0</v>
      </c>
      <c r="Z208" s="51"/>
      <c r="AA208" s="48" t="s">
        <v>581</v>
      </c>
      <c r="AB208" s="48" t="s">
        <v>1419</v>
      </c>
      <c r="AC208" s="7"/>
      <c r="AD208" s="72"/>
      <c r="AE208" s="67"/>
      <c r="AF208" s="7"/>
      <c r="AG208" s="72"/>
      <c r="AH208" s="67"/>
      <c r="AI208" s="7"/>
      <c r="AJ208" s="72"/>
      <c r="AK208" s="67"/>
    </row>
    <row r="209" spans="1:37" x14ac:dyDescent="0.3">
      <c r="A209" s="43" t="str">
        <f>INDEX(Table_Numbering[L1],MATCH(Table681620[[#This Row],[L1]],Table_Numbering[L1 Description (Cost Area)],0))</f>
        <v>A</v>
      </c>
      <c r="B209" s="43" t="str">
        <f>IFERROR(INDEX(Table_Numbering[L2],MATCH(Table681620[[#This Row],[L2]],Table_Numbering[L2 Description (Area)],0)),"0")</f>
        <v>3</v>
      </c>
      <c r="C209" s="43" t="str">
        <f>IFERROR(INDEX(Table_Numbering[L3],MATCH(Table681620[[#This Row],[L3]],Table_Numbering[L3 Description (Sub Area)],0)),"0")</f>
        <v>13</v>
      </c>
      <c r="D209" s="43" t="str">
        <f>Table681620[[#This Row],[N1]]&amp;Table681620[[#This Row],[N2]]&amp;Table681620[[#This Row],[N3]]</f>
        <v>A313</v>
      </c>
      <c r="E209" s="43" t="str">
        <f>TEXT(COUNTIF(C$7:C207,Table681620[[#This Row],[N3]]),"00")</f>
        <v>05</v>
      </c>
      <c r="F209" s="43">
        <f>COUNTIFS(J$7:J209,J209,K$7:K209,K209,L$7:L209,L209,M$7:M209,M209)</f>
        <v>1</v>
      </c>
      <c r="G209" s="43" t="str">
        <f>TEXT(COUNTIFS(A$7:A209,A209,B$7:B209,B209,E$7:E209,E209,F$7:F209,1),"00")</f>
        <v>07</v>
      </c>
      <c r="H209" s="43" t="str">
        <f t="shared" si="8"/>
        <v>00</v>
      </c>
      <c r="I209" s="44" t="str">
        <f t="shared" si="9"/>
        <v>4</v>
      </c>
      <c r="J209" s="45" t="s">
        <v>38</v>
      </c>
      <c r="K209" s="45" t="s">
        <v>391</v>
      </c>
      <c r="L209" s="45" t="s">
        <v>312</v>
      </c>
      <c r="M209" s="45" t="s">
        <v>1420</v>
      </c>
      <c r="N209" s="45"/>
      <c r="O20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A3.13.05</v>
      </c>
      <c r="P209" s="47" t="s">
        <v>1355</v>
      </c>
      <c r="Q209" s="47" t="s">
        <v>78</v>
      </c>
      <c r="R209" s="47" t="s">
        <v>1353</v>
      </c>
      <c r="S209" s="47" t="s">
        <v>1618</v>
      </c>
      <c r="T209" s="58" t="str">
        <f>IF(Table681620[[#This Row],[LEVEL]]="5",Table681620[[#This Row],[L5]],
IF(Table681620[[#This Row],[LEVEL]]="4",Table681620[[#This Row],[L4]],
IF(Table681620[[#This Row],[LEVEL]]="3",Table681620[[#This Row],[L3]],
IF(Table681620[[#This Row],[LEVEL]]="2",Table681620[[#This Row],[L2]],
IF(Table681620[[#This Row],[LEVEL]]="1",Table681620[[#This Row],[L1]],"")))))</f>
        <v>Feature Paver Footpaths - Entry</v>
      </c>
      <c r="U209" s="47" t="s">
        <v>246</v>
      </c>
      <c r="V209" s="95" t="s">
        <v>44</v>
      </c>
      <c r="W209" s="95"/>
      <c r="X209" s="48"/>
      <c r="Y209" s="62">
        <f>Table681620[[#This Row],[Qty]]*Table681620[[#This Row],[Rate]]</f>
        <v>0</v>
      </c>
      <c r="Z209" s="51"/>
      <c r="AA209" s="48" t="s">
        <v>581</v>
      </c>
      <c r="AB209" s="48" t="s">
        <v>1421</v>
      </c>
      <c r="AC209" s="7"/>
      <c r="AD209" s="72"/>
      <c r="AE209" s="67"/>
      <c r="AF209" s="7"/>
      <c r="AG209" s="72"/>
      <c r="AH209" s="67"/>
      <c r="AI209" s="7"/>
      <c r="AJ209" s="72"/>
      <c r="AK209" s="67"/>
    </row>
    <row r="210" spans="1:37" x14ac:dyDescent="0.3">
      <c r="A210" s="43" t="str">
        <f>INDEX(Table_Numbering[L1],MATCH(Table681620[[#This Row],[L1]],Table_Numbering[L1 Description (Cost Area)],0))</f>
        <v>A</v>
      </c>
      <c r="B210" s="43" t="str">
        <f>IFERROR(INDEX(Table_Numbering[L2],MATCH(Table681620[[#This Row],[L2]],Table_Numbering[L2 Description (Area)],0)),"0")</f>
        <v>3</v>
      </c>
      <c r="C210" s="43" t="str">
        <f>IFERROR(INDEX(Table_Numbering[L3],MATCH(Table681620[[#This Row],[L3]],Table_Numbering[L3 Description (Sub Area)],0)),"0")</f>
        <v>13</v>
      </c>
      <c r="D210" s="43" t="str">
        <f>Table681620[[#This Row],[N1]]&amp;Table681620[[#This Row],[N2]]&amp;Table681620[[#This Row],[N3]]</f>
        <v>A313</v>
      </c>
      <c r="E210" s="43" t="str">
        <f>TEXT(COUNTIF(C$7:C208,Table681620[[#This Row],[N3]]),"00")</f>
        <v>06</v>
      </c>
      <c r="F210" s="43">
        <f>COUNTIFS(J$7:J210,J210,K$7:K210,K210,L$7:L210,L210,M$7:M210,M210)</f>
        <v>1</v>
      </c>
      <c r="G210" s="43" t="str">
        <f>TEXT(COUNTIFS(A$7:A210,A210,B$7:B210,B210,E$7:E210,E210,F$7:F210,1),"00")</f>
        <v>05</v>
      </c>
      <c r="H210" s="43" t="str">
        <f t="shared" si="8"/>
        <v>00</v>
      </c>
      <c r="I210" s="44" t="str">
        <f t="shared" si="9"/>
        <v>4</v>
      </c>
      <c r="J210" s="45" t="s">
        <v>38</v>
      </c>
      <c r="K210" s="45" t="s">
        <v>391</v>
      </c>
      <c r="L210" s="45" t="s">
        <v>312</v>
      </c>
      <c r="M210" s="45" t="s">
        <v>1356</v>
      </c>
      <c r="N210" s="45"/>
      <c r="O21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A3.13.06</v>
      </c>
      <c r="P210" s="47" t="s">
        <v>1352</v>
      </c>
      <c r="Q210" s="47" t="s">
        <v>78</v>
      </c>
      <c r="R210" s="47" t="s">
        <v>1353</v>
      </c>
      <c r="S210" s="47" t="s">
        <v>1619</v>
      </c>
      <c r="T210" s="58" t="str">
        <f>IF(Table681620[[#This Row],[LEVEL]]="5",Table681620[[#This Row],[L5]],
IF(Table681620[[#This Row],[LEVEL]]="4",Table681620[[#This Row],[L4]],
IF(Table681620[[#This Row],[LEVEL]]="3",Table681620[[#This Row],[L3]],
IF(Table681620[[#This Row],[LEVEL]]="2",Table681620[[#This Row],[L2]],
IF(Table681620[[#This Row],[LEVEL]]="1",Table681620[[#This Row],[L1]],"")))))</f>
        <v>Access Ramps (DDA Compliant)</v>
      </c>
      <c r="U210" s="47" t="s">
        <v>574</v>
      </c>
      <c r="V210" s="95" t="s">
        <v>44</v>
      </c>
      <c r="W210" s="95"/>
      <c r="X210" s="48"/>
      <c r="Y210" s="62">
        <f>Table681620[[#This Row],[Qty]]*Table681620[[#This Row],[Rate]]</f>
        <v>0</v>
      </c>
      <c r="Z210" s="51"/>
      <c r="AA210" s="48" t="s">
        <v>1357</v>
      </c>
      <c r="AB210" s="48" t="s">
        <v>1405</v>
      </c>
      <c r="AC210" s="7"/>
      <c r="AD210" s="72"/>
      <c r="AE210" s="67"/>
      <c r="AF210" s="7"/>
      <c r="AG210" s="72"/>
      <c r="AH210" s="67"/>
      <c r="AI210" s="7"/>
      <c r="AJ210" s="72"/>
      <c r="AK210" s="67"/>
    </row>
    <row r="211" spans="1:37" x14ac:dyDescent="0.3">
      <c r="A211" s="43" t="str">
        <f>INDEX(Table_Numbering[L1],MATCH(Table681620[[#This Row],[L1]],Table_Numbering[L1 Description (Cost Area)],0))</f>
        <v>A</v>
      </c>
      <c r="B211" s="43" t="str">
        <f>IFERROR(INDEX(Table_Numbering[L2],MATCH(Table681620[[#This Row],[L2]],Table_Numbering[L2 Description (Area)],0)),"0")</f>
        <v>3</v>
      </c>
      <c r="C211" s="43" t="str">
        <f>IFERROR(INDEX(Table_Numbering[L3],MATCH(Table681620[[#This Row],[L3]],Table_Numbering[L3 Description (Sub Area)],0)),"0")</f>
        <v>13</v>
      </c>
      <c r="D211" s="43" t="str">
        <f>Table681620[[#This Row],[N1]]&amp;Table681620[[#This Row],[N2]]&amp;Table681620[[#This Row],[N3]]</f>
        <v>A313</v>
      </c>
      <c r="E211" s="43" t="str">
        <f>TEXT(COUNTIF(C$7:C209,Table681620[[#This Row],[N3]]),"00")</f>
        <v>07</v>
      </c>
      <c r="F211" s="43">
        <f>COUNTIFS(J$7:J211,J211,K$7:K211,K211,L$7:L211,L211,M$7:M211,M211)</f>
        <v>1</v>
      </c>
      <c r="G211" s="43" t="str">
        <f>TEXT(COUNTIFS(A$7:A211,A211,B$7:B211,B211,E$7:E211,E211,F$7:F211,1),"00")</f>
        <v>05</v>
      </c>
      <c r="H211" s="43" t="str">
        <f t="shared" si="8"/>
        <v>00</v>
      </c>
      <c r="I211" s="44" t="str">
        <f t="shared" si="9"/>
        <v>4</v>
      </c>
      <c r="J211" s="45" t="s">
        <v>38</v>
      </c>
      <c r="K211" s="45" t="s">
        <v>391</v>
      </c>
      <c r="L211" s="45" t="s">
        <v>312</v>
      </c>
      <c r="M211" s="45" t="s">
        <v>1422</v>
      </c>
      <c r="N211" s="45"/>
      <c r="O21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A3.13.07</v>
      </c>
      <c r="P211" s="47" t="s">
        <v>1352</v>
      </c>
      <c r="Q211" s="47" t="s">
        <v>78</v>
      </c>
      <c r="R211" s="47" t="s">
        <v>1353</v>
      </c>
      <c r="S211" s="47" t="s">
        <v>1905</v>
      </c>
      <c r="T211" s="58" t="str">
        <f>IF(Table681620[[#This Row],[LEVEL]]="5",Table681620[[#This Row],[L5]],
IF(Table681620[[#This Row],[LEVEL]]="4",Table681620[[#This Row],[L4]],
IF(Table681620[[#This Row],[LEVEL]]="3",Table681620[[#This Row],[L3]],
IF(Table681620[[#This Row],[LEVEL]]="2",Table681620[[#This Row],[L2]],
IF(Table681620[[#This Row],[LEVEL]]="1",Table681620[[#This Row],[L1]],"")))))</f>
        <v>External Stairs &amp; Landings</v>
      </c>
      <c r="U211" s="47" t="s">
        <v>574</v>
      </c>
      <c r="V211" s="95" t="s">
        <v>44</v>
      </c>
      <c r="W211" s="95"/>
      <c r="X211" s="48"/>
      <c r="Y211" s="62">
        <f>Table681620[[#This Row],[Qty]]*Table681620[[#This Row],[Rate]]</f>
        <v>0</v>
      </c>
      <c r="Z211" s="51"/>
      <c r="AA211" s="48" t="s">
        <v>1423</v>
      </c>
      <c r="AB211" s="48" t="s">
        <v>1424</v>
      </c>
      <c r="AC211" s="7"/>
      <c r="AD211" s="72"/>
      <c r="AE211" s="67"/>
      <c r="AF211" s="7"/>
      <c r="AG211" s="72"/>
      <c r="AH211" s="67"/>
      <c r="AI211" s="7"/>
      <c r="AJ211" s="72"/>
      <c r="AK211" s="67"/>
    </row>
    <row r="212" spans="1:37" x14ac:dyDescent="0.3">
      <c r="A212" s="43" t="str">
        <f>INDEX(Table_Numbering[L1],MATCH(Table681620[[#This Row],[L1]],Table_Numbering[L1 Description (Cost Area)],0))</f>
        <v>A</v>
      </c>
      <c r="B212" s="43" t="str">
        <f>IFERROR(INDEX(Table_Numbering[L2],MATCH(Table681620[[#This Row],[L2]],Table_Numbering[L2 Description (Area)],0)),"0")</f>
        <v>3</v>
      </c>
      <c r="C212" s="43" t="str">
        <f>IFERROR(INDEX(Table_Numbering[L3],MATCH(Table681620[[#This Row],[L3]],Table_Numbering[L3 Description (Sub Area)],0)),"0")</f>
        <v>13</v>
      </c>
      <c r="D212" s="43" t="str">
        <f>Table681620[[#This Row],[N1]]&amp;Table681620[[#This Row],[N2]]&amp;Table681620[[#This Row],[N3]]</f>
        <v>A313</v>
      </c>
      <c r="E212" s="43" t="str">
        <f>TEXT(COUNTIF(C$7:C210,Table681620[[#This Row],[N3]]),"00")</f>
        <v>08</v>
      </c>
      <c r="F212" s="43">
        <f>COUNTIFS(J$7:J212,J212,K$7:K212,K212,L$7:L212,L212,M$7:M212,M212)</f>
        <v>1</v>
      </c>
      <c r="G212" s="43" t="str">
        <f>TEXT(COUNTIFS(A$7:A212,A212,B$7:B212,B212,E$7:E212,E212,F$7:F212,1),"00")</f>
        <v>05</v>
      </c>
      <c r="H212" s="43" t="str">
        <f t="shared" si="8"/>
        <v>00</v>
      </c>
      <c r="I212" s="44" t="str">
        <f t="shared" si="9"/>
        <v>4</v>
      </c>
      <c r="J212" s="45" t="s">
        <v>38</v>
      </c>
      <c r="K212" s="45" t="s">
        <v>391</v>
      </c>
      <c r="L212" s="45" t="s">
        <v>312</v>
      </c>
      <c r="M212" s="45" t="s">
        <v>1372</v>
      </c>
      <c r="N212" s="45"/>
      <c r="O21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A3.13.08</v>
      </c>
      <c r="P212" s="59" t="s">
        <v>1364</v>
      </c>
      <c r="Q212" s="59" t="s">
        <v>78</v>
      </c>
      <c r="R212" s="59" t="s">
        <v>1365</v>
      </c>
      <c r="S212" s="59" t="s">
        <v>1906</v>
      </c>
      <c r="T212" s="58" t="str">
        <f>IF(Table681620[[#This Row],[LEVEL]]="5",Table681620[[#This Row],[L5]],
IF(Table681620[[#This Row],[LEVEL]]="4",Table681620[[#This Row],[L4]],
IF(Table681620[[#This Row],[LEVEL]]="3",Table681620[[#This Row],[L3]],
IF(Table681620[[#This Row],[LEVEL]]="2",Table681620[[#This Row],[L2]],
IF(Table681620[[#This Row],[LEVEL]]="1",Table681620[[#This Row],[L1]],"")))))</f>
        <v>Courtyard Retaining Wall</v>
      </c>
      <c r="U212" s="47" t="s">
        <v>1105</v>
      </c>
      <c r="V212" s="72" t="s">
        <v>44</v>
      </c>
      <c r="W212" s="72"/>
      <c r="X212" s="48"/>
      <c r="Y212" s="62">
        <f>Table681620[[#This Row],[Qty]]*Table681620[[#This Row],[Rate]]</f>
        <v>0</v>
      </c>
      <c r="Z212" s="51"/>
      <c r="AA212" s="48" t="s">
        <v>1425</v>
      </c>
      <c r="AB212" s="48" t="s">
        <v>1366</v>
      </c>
      <c r="AC212" s="7"/>
      <c r="AD212" s="72"/>
      <c r="AE212" s="67"/>
      <c r="AF212" s="7"/>
      <c r="AG212" s="72"/>
      <c r="AH212" s="67"/>
      <c r="AI212" s="7"/>
      <c r="AJ212" s="72"/>
      <c r="AK212" s="67"/>
    </row>
    <row r="213" spans="1:37" x14ac:dyDescent="0.3">
      <c r="A213" s="43" t="str">
        <f>INDEX(Table_Numbering[L1],MATCH(Table681620[[#This Row],[L1]],Table_Numbering[L1 Description (Cost Area)],0))</f>
        <v>A</v>
      </c>
      <c r="B213" s="43" t="str">
        <f>IFERROR(INDEX(Table_Numbering[L2],MATCH(Table681620[[#This Row],[L2]],Table_Numbering[L2 Description (Area)],0)),"0")</f>
        <v>3</v>
      </c>
      <c r="C213" s="43" t="str">
        <f>IFERROR(INDEX(Table_Numbering[L3],MATCH(Table681620[[#This Row],[L3]],Table_Numbering[L3 Description (Sub Area)],0)),"0")</f>
        <v>13</v>
      </c>
      <c r="D213" s="43" t="str">
        <f>Table681620[[#This Row],[N1]]&amp;Table681620[[#This Row],[N2]]&amp;Table681620[[#This Row],[N3]]</f>
        <v>A313</v>
      </c>
      <c r="E213" s="43" t="str">
        <f>TEXT(COUNTIF(C$7:C211,Table681620[[#This Row],[N3]]),"00")</f>
        <v>09</v>
      </c>
      <c r="F213" s="43">
        <f>COUNTIFS(J$7:J213,J213,K$7:K213,K213,L$7:L213,L213,M$7:M213,M213)</f>
        <v>1</v>
      </c>
      <c r="G213" s="43" t="str">
        <f>TEXT(COUNTIFS(A$7:A213,A213,B$7:B213,B213,E$7:E213,E213,F$7:F213,1),"00")</f>
        <v>05</v>
      </c>
      <c r="H213" s="43" t="str">
        <f t="shared" si="8"/>
        <v>00</v>
      </c>
      <c r="I213" s="44" t="str">
        <f t="shared" si="9"/>
        <v>4</v>
      </c>
      <c r="J213" s="45" t="s">
        <v>38</v>
      </c>
      <c r="K213" s="45" t="s">
        <v>391</v>
      </c>
      <c r="L213" s="45" t="s">
        <v>312</v>
      </c>
      <c r="M213" s="45" t="s">
        <v>1359</v>
      </c>
      <c r="N213" s="45"/>
      <c r="O21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A3.13.09</v>
      </c>
      <c r="P213" s="59" t="s">
        <v>1358</v>
      </c>
      <c r="Q213" s="59" t="s">
        <v>78</v>
      </c>
      <c r="R213" s="59" t="s">
        <v>1300</v>
      </c>
      <c r="S213" s="59" t="s">
        <v>1907</v>
      </c>
      <c r="T213" s="58" t="str">
        <f>IF(Table681620[[#This Row],[LEVEL]]="5",Table681620[[#This Row],[L5]],
IF(Table681620[[#This Row],[LEVEL]]="4",Table681620[[#This Row],[L4]],
IF(Table681620[[#This Row],[LEVEL]]="3",Table681620[[#This Row],[L3]],
IF(Table681620[[#This Row],[LEVEL]]="2",Table681620[[#This Row],[L2]],
IF(Table681620[[#This Row],[LEVEL]]="1",Table681620[[#This Row],[L1]],"")))))</f>
        <v>Security Fencing</v>
      </c>
      <c r="U213" s="47" t="s">
        <v>1105</v>
      </c>
      <c r="V213" s="72" t="s">
        <v>44</v>
      </c>
      <c r="W213" s="72"/>
      <c r="X213" s="48"/>
      <c r="Y213" s="62">
        <f>Table681620[[#This Row],[Qty]]*Table681620[[#This Row],[Rate]]</f>
        <v>0</v>
      </c>
      <c r="Z213" s="51"/>
      <c r="AA213" s="48" t="s">
        <v>1375</v>
      </c>
      <c r="AB213" s="48" t="s">
        <v>1385</v>
      </c>
      <c r="AC213" s="7"/>
      <c r="AD213" s="72"/>
      <c r="AE213" s="67"/>
      <c r="AF213" s="7"/>
      <c r="AG213" s="72"/>
      <c r="AH213" s="67"/>
      <c r="AI213" s="7"/>
      <c r="AJ213" s="72"/>
      <c r="AK213" s="67"/>
    </row>
    <row r="214" spans="1:37" x14ac:dyDescent="0.3">
      <c r="A214" s="43" t="str">
        <f>INDEX(Table_Numbering[L1],MATCH(Table681620[[#This Row],[L1]],Table_Numbering[L1 Description (Cost Area)],0))</f>
        <v>A</v>
      </c>
      <c r="B214" s="43" t="str">
        <f>IFERROR(INDEX(Table_Numbering[L2],MATCH(Table681620[[#This Row],[L2]],Table_Numbering[L2 Description (Area)],0)),"0")</f>
        <v>3</v>
      </c>
      <c r="C214" s="43" t="str">
        <f>IFERROR(INDEX(Table_Numbering[L3],MATCH(Table681620[[#This Row],[L3]],Table_Numbering[L3 Description (Sub Area)],0)),"0")</f>
        <v>13</v>
      </c>
      <c r="D214" s="43" t="str">
        <f>Table681620[[#This Row],[N1]]&amp;Table681620[[#This Row],[N2]]&amp;Table681620[[#This Row],[N3]]</f>
        <v>A313</v>
      </c>
      <c r="E214" s="43" t="str">
        <f>TEXT(COUNTIF(C$7:C212,Table681620[[#This Row],[N3]]),"00")</f>
        <v>10</v>
      </c>
      <c r="F214" s="43">
        <f>COUNTIFS(J$7:J214,J214,K$7:K214,K214,L$7:L214,L214,M$7:M214,M214)</f>
        <v>1</v>
      </c>
      <c r="G214" s="43" t="str">
        <f>TEXT(COUNTIFS(A$7:A214,A214,B$7:B214,B214,E$7:E214,E214,F$7:F214,1),"00")</f>
        <v>03</v>
      </c>
      <c r="H214" s="43" t="str">
        <f t="shared" si="8"/>
        <v>00</v>
      </c>
      <c r="I214" s="44" t="str">
        <f t="shared" si="9"/>
        <v>4</v>
      </c>
      <c r="J214" s="45" t="s">
        <v>38</v>
      </c>
      <c r="K214" s="45" t="s">
        <v>391</v>
      </c>
      <c r="L214" s="45" t="s">
        <v>312</v>
      </c>
      <c r="M214" s="45" t="s">
        <v>1426</v>
      </c>
      <c r="N214" s="45"/>
      <c r="O21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A3.13.10</v>
      </c>
      <c r="P214" s="59" t="s">
        <v>1358</v>
      </c>
      <c r="Q214" s="59" t="s">
        <v>78</v>
      </c>
      <c r="R214" s="59" t="s">
        <v>1300</v>
      </c>
      <c r="S214" s="59" t="s">
        <v>1908</v>
      </c>
      <c r="T214" s="58" t="str">
        <f>IF(Table681620[[#This Row],[LEVEL]]="5",Table681620[[#This Row],[L5]],
IF(Table681620[[#This Row],[LEVEL]]="4",Table681620[[#This Row],[L4]],
IF(Table681620[[#This Row],[LEVEL]]="3",Table681620[[#This Row],[L3]],
IF(Table681620[[#This Row],[LEVEL]]="2",Table681620[[#This Row],[L2]],
IF(Table681620[[#This Row],[LEVEL]]="1",Table681620[[#This Row],[L1]],"")))))</f>
        <v>Pedestrian &amp; Vehicle Gates</v>
      </c>
      <c r="U214" s="47" t="s">
        <v>574</v>
      </c>
      <c r="V214" s="72" t="s">
        <v>44</v>
      </c>
      <c r="W214" s="72"/>
      <c r="X214" s="48"/>
      <c r="Y214" s="62">
        <f>Table681620[[#This Row],[Qty]]*Table681620[[#This Row],[Rate]]</f>
        <v>0</v>
      </c>
      <c r="Z214" s="51"/>
      <c r="AA214" s="48" t="s">
        <v>1360</v>
      </c>
      <c r="AB214" s="48" t="s">
        <v>1361</v>
      </c>
      <c r="AC214" s="7"/>
      <c r="AD214" s="72"/>
      <c r="AE214" s="67"/>
      <c r="AF214" s="7"/>
      <c r="AG214" s="72"/>
      <c r="AH214" s="67"/>
      <c r="AI214" s="7"/>
      <c r="AJ214" s="72"/>
      <c r="AK214" s="67"/>
    </row>
    <row r="215" spans="1:37" x14ac:dyDescent="0.3">
      <c r="A215" s="43" t="str">
        <f>INDEX(Table_Numbering[L1],MATCH(Table681620[[#This Row],[L1]],Table_Numbering[L1 Description (Cost Area)],0))</f>
        <v>A</v>
      </c>
      <c r="B215" s="43" t="str">
        <f>IFERROR(INDEX(Table_Numbering[L2],MATCH(Table681620[[#This Row],[L2]],Table_Numbering[L2 Description (Area)],0)),"0")</f>
        <v>3</v>
      </c>
      <c r="C215" s="43" t="str">
        <f>IFERROR(INDEX(Table_Numbering[L3],MATCH(Table681620[[#This Row],[L3]],Table_Numbering[L3 Description (Sub Area)],0)),"0")</f>
        <v>13</v>
      </c>
      <c r="D215" s="43" t="str">
        <f>Table681620[[#This Row],[N1]]&amp;Table681620[[#This Row],[N2]]&amp;Table681620[[#This Row],[N3]]</f>
        <v>A313</v>
      </c>
      <c r="E215" s="43" t="str">
        <f>TEXT(COUNTIF(C$7:C213,Table681620[[#This Row],[N3]]),"00")</f>
        <v>11</v>
      </c>
      <c r="F215" s="43">
        <f>COUNTIFS(J$7:J215,J215,K$7:K215,K215,L$7:L215,L215,M$7:M215,M215)</f>
        <v>1</v>
      </c>
      <c r="G215" s="43" t="str">
        <f>TEXT(COUNTIFS(A$7:A215,A215,B$7:B215,B215,E$7:E215,E215,F$7:F215,1),"00")</f>
        <v>02</v>
      </c>
      <c r="H215" s="43" t="str">
        <f t="shared" si="8"/>
        <v>00</v>
      </c>
      <c r="I215" s="44" t="str">
        <f t="shared" si="9"/>
        <v>4</v>
      </c>
      <c r="J215" s="45" t="s">
        <v>38</v>
      </c>
      <c r="K215" s="45" t="s">
        <v>391</v>
      </c>
      <c r="L215" s="45" t="s">
        <v>312</v>
      </c>
      <c r="M215" s="45" t="s">
        <v>1362</v>
      </c>
      <c r="N215" s="45"/>
      <c r="O21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A3.13.11</v>
      </c>
      <c r="P215" s="59" t="s">
        <v>1358</v>
      </c>
      <c r="Q215" s="59" t="s">
        <v>78</v>
      </c>
      <c r="R215" s="59" t="s">
        <v>1353</v>
      </c>
      <c r="S215" s="59" t="s">
        <v>1909</v>
      </c>
      <c r="T215" s="58" t="str">
        <f>IF(Table681620[[#This Row],[LEVEL]]="5",Table681620[[#This Row],[L5]],
IF(Table681620[[#This Row],[LEVEL]]="4",Table681620[[#This Row],[L4]],
IF(Table681620[[#This Row],[LEVEL]]="3",Table681620[[#This Row],[L3]],
IF(Table681620[[#This Row],[LEVEL]]="2",Table681620[[#This Row],[L2]],
IF(Table681620[[#This Row],[LEVEL]]="1",Table681620[[#This Row],[L1]],"")))))</f>
        <v>External Handrails &amp; Balustrades</v>
      </c>
      <c r="U215" s="47" t="s">
        <v>1105</v>
      </c>
      <c r="V215" s="72" t="s">
        <v>44</v>
      </c>
      <c r="W215" s="72"/>
      <c r="X215" s="48"/>
      <c r="Y215" s="62">
        <f>Table681620[[#This Row],[Qty]]*Table681620[[#This Row],[Rate]]</f>
        <v>0</v>
      </c>
      <c r="Z215" s="51"/>
      <c r="AA215" s="48" t="s">
        <v>1375</v>
      </c>
      <c r="AB215" s="48" t="s">
        <v>1363</v>
      </c>
      <c r="AC215" s="7"/>
      <c r="AD215" s="72"/>
      <c r="AE215" s="67"/>
      <c r="AF215" s="7"/>
      <c r="AG215" s="72"/>
      <c r="AH215" s="67"/>
      <c r="AI215" s="7"/>
      <c r="AJ215" s="72"/>
      <c r="AK215" s="67"/>
    </row>
    <row r="216" spans="1:37" x14ac:dyDescent="0.3">
      <c r="A216" s="43" t="str">
        <f>INDEX(Table_Numbering[L1],MATCH(Table681620[[#This Row],[L1]],Table_Numbering[L1 Description (Cost Area)],0))</f>
        <v>A</v>
      </c>
      <c r="B216" s="43" t="str">
        <f>IFERROR(INDEX(Table_Numbering[L2],MATCH(Table681620[[#This Row],[L2]],Table_Numbering[L2 Description (Area)],0)),"0")</f>
        <v>3</v>
      </c>
      <c r="C216" s="43" t="str">
        <f>IFERROR(INDEX(Table_Numbering[L3],MATCH(Table681620[[#This Row],[L3]],Table_Numbering[L3 Description (Sub Area)],0)),"0")</f>
        <v>13</v>
      </c>
      <c r="D216" s="43" t="str">
        <f>Table681620[[#This Row],[N1]]&amp;Table681620[[#This Row],[N2]]&amp;Table681620[[#This Row],[N3]]</f>
        <v>A313</v>
      </c>
      <c r="E216" s="43" t="str">
        <f>TEXT(COUNTIF(C$7:C214,Table681620[[#This Row],[N3]]),"00")</f>
        <v>12</v>
      </c>
      <c r="F216" s="43">
        <f>COUNTIFS(J$7:J216,J216,K$7:K216,K216,L$7:L216,L216,M$7:M216,M216)</f>
        <v>1</v>
      </c>
      <c r="G216" s="43" t="str">
        <f>TEXT(COUNTIFS(A$7:A216,A216,B$7:B216,B216,E$7:E216,E216,F$7:F216,1),"00")</f>
        <v>05</v>
      </c>
      <c r="H216" s="43" t="str">
        <f t="shared" si="8"/>
        <v>00</v>
      </c>
      <c r="I216" s="44" t="str">
        <f t="shared" si="9"/>
        <v>4</v>
      </c>
      <c r="J216" s="45" t="s">
        <v>38</v>
      </c>
      <c r="K216" s="45" t="s">
        <v>391</v>
      </c>
      <c r="L216" s="45" t="s">
        <v>312</v>
      </c>
      <c r="M216" s="45" t="s">
        <v>1427</v>
      </c>
      <c r="N216" s="45"/>
      <c r="O21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A3.13.12</v>
      </c>
      <c r="P216" s="59" t="s">
        <v>1367</v>
      </c>
      <c r="Q216" s="59" t="s">
        <v>78</v>
      </c>
      <c r="R216" s="59" t="s">
        <v>1353</v>
      </c>
      <c r="S216" s="59" t="s">
        <v>1910</v>
      </c>
      <c r="T216" s="58" t="str">
        <f>IF(Table681620[[#This Row],[LEVEL]]="5",Table681620[[#This Row],[L5]],
IF(Table681620[[#This Row],[LEVEL]]="4",Table681620[[#This Row],[L4]],
IF(Table681620[[#This Row],[LEVEL]]="3",Table681620[[#This Row],[L3]],
IF(Table681620[[#This Row],[LEVEL]]="2",Table681620[[#This Row],[L2]],
IF(Table681620[[#This Row],[LEVEL]]="1",Table681620[[#This Row],[L1]],"")))))</f>
        <v>Courtyard Hardscape Paving</v>
      </c>
      <c r="U216" s="47" t="s">
        <v>246</v>
      </c>
      <c r="V216" s="72" t="s">
        <v>44</v>
      </c>
      <c r="W216" s="72"/>
      <c r="X216" s="48"/>
      <c r="Y216" s="62">
        <f>Table681620[[#This Row],[Qty]]*Table681620[[#This Row],[Rate]]</f>
        <v>0</v>
      </c>
      <c r="Z216" s="51"/>
      <c r="AA216" s="48" t="s">
        <v>581</v>
      </c>
      <c r="AB216" s="48" t="s">
        <v>1428</v>
      </c>
      <c r="AC216" s="7"/>
      <c r="AD216" s="72"/>
      <c r="AE216" s="67"/>
      <c r="AF216" s="7"/>
      <c r="AG216" s="72"/>
      <c r="AH216" s="67"/>
      <c r="AI216" s="7"/>
      <c r="AJ216" s="72"/>
      <c r="AK216" s="67"/>
    </row>
    <row r="217" spans="1:37" x14ac:dyDescent="0.3">
      <c r="A217" s="43" t="str">
        <f>INDEX(Table_Numbering[L1],MATCH(Table681620[[#This Row],[L1]],Table_Numbering[L1 Description (Cost Area)],0))</f>
        <v>A</v>
      </c>
      <c r="B217" s="43" t="str">
        <f>IFERROR(INDEX(Table_Numbering[L2],MATCH(Table681620[[#This Row],[L2]],Table_Numbering[L2 Description (Area)],0)),"0")</f>
        <v>3</v>
      </c>
      <c r="C217" s="43" t="str">
        <f>IFERROR(INDEX(Table_Numbering[L3],MATCH(Table681620[[#This Row],[L3]],Table_Numbering[L3 Description (Sub Area)],0)),"0")</f>
        <v>13</v>
      </c>
      <c r="D217" s="43" t="str">
        <f>Table681620[[#This Row],[N1]]&amp;Table681620[[#This Row],[N2]]&amp;Table681620[[#This Row],[N3]]</f>
        <v>A313</v>
      </c>
      <c r="E217" s="43" t="str">
        <f>TEXT(COUNTIF(C$7:C215,Table681620[[#This Row],[N3]]),"00")</f>
        <v>13</v>
      </c>
      <c r="F217" s="43">
        <f>COUNTIFS(J$7:J217,J217,K$7:K217,K217,L$7:L217,L217,M$7:M217,M217)</f>
        <v>1</v>
      </c>
      <c r="G217" s="43" t="str">
        <f>TEXT(COUNTIFS(A$7:A217,A217,B$7:B217,B217,E$7:E217,E217,F$7:F217,1),"00")</f>
        <v>04</v>
      </c>
      <c r="H217" s="43" t="str">
        <f t="shared" si="8"/>
        <v>00</v>
      </c>
      <c r="I217" s="44" t="str">
        <f t="shared" si="9"/>
        <v>4</v>
      </c>
      <c r="J217" s="45" t="s">
        <v>38</v>
      </c>
      <c r="K217" s="45" t="s">
        <v>391</v>
      </c>
      <c r="L217" s="45" t="s">
        <v>312</v>
      </c>
      <c r="M217" s="45" t="s">
        <v>1429</v>
      </c>
      <c r="N217" s="45"/>
      <c r="O21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A3.13.13</v>
      </c>
      <c r="P217" s="59" t="s">
        <v>1368</v>
      </c>
      <c r="Q217" s="59" t="s">
        <v>78</v>
      </c>
      <c r="R217" s="59" t="s">
        <v>1300</v>
      </c>
      <c r="S217" s="59" t="s">
        <v>1911</v>
      </c>
      <c r="T217" s="58" t="str">
        <f>IF(Table681620[[#This Row],[LEVEL]]="5",Table681620[[#This Row],[L5]],
IF(Table681620[[#This Row],[LEVEL]]="4",Table681620[[#This Row],[L4]],
IF(Table681620[[#This Row],[LEVEL]]="3",Table681620[[#This Row],[L3]],
IF(Table681620[[#This Row],[LEVEL]]="2",Table681620[[#This Row],[L2]],
IF(Table681620[[#This Row],[LEVEL]]="1",Table681620[[#This Row],[L1]],"")))))</f>
        <v>Turf Areas</v>
      </c>
      <c r="U217" s="47" t="s">
        <v>246</v>
      </c>
      <c r="V217" s="72" t="s">
        <v>44</v>
      </c>
      <c r="W217" s="72"/>
      <c r="X217" s="48"/>
      <c r="Y217" s="62">
        <f>Table681620[[#This Row],[Qty]]*Table681620[[#This Row],[Rate]]</f>
        <v>0</v>
      </c>
      <c r="Z217" s="51"/>
      <c r="AA217" s="48" t="s">
        <v>591</v>
      </c>
      <c r="AB217" s="48" t="s">
        <v>1430</v>
      </c>
      <c r="AC217" s="7"/>
      <c r="AD217" s="72"/>
      <c r="AE217" s="67"/>
      <c r="AF217" s="7"/>
      <c r="AG217" s="72"/>
      <c r="AH217" s="67"/>
      <c r="AI217" s="7"/>
      <c r="AJ217" s="72"/>
      <c r="AK217" s="67"/>
    </row>
    <row r="218" spans="1:37" x14ac:dyDescent="0.3">
      <c r="A218" s="43" t="str">
        <f>INDEX(Table_Numbering[L1],MATCH(Table681620[[#This Row],[L1]],Table_Numbering[L1 Description (Cost Area)],0))</f>
        <v>A</v>
      </c>
      <c r="B218" s="43" t="str">
        <f>IFERROR(INDEX(Table_Numbering[L2],MATCH(Table681620[[#This Row],[L2]],Table_Numbering[L2 Description (Area)],0)),"0")</f>
        <v>3</v>
      </c>
      <c r="C218" s="43" t="str">
        <f>IFERROR(INDEX(Table_Numbering[L3],MATCH(Table681620[[#This Row],[L3]],Table_Numbering[L3 Description (Sub Area)],0)),"0")</f>
        <v>13</v>
      </c>
      <c r="D218" s="43" t="str">
        <f>Table681620[[#This Row],[N1]]&amp;Table681620[[#This Row],[N2]]&amp;Table681620[[#This Row],[N3]]</f>
        <v>A313</v>
      </c>
      <c r="E218" s="43" t="str">
        <f>TEXT(COUNTIF(C$7:C216,Table681620[[#This Row],[N3]]),"00")</f>
        <v>14</v>
      </c>
      <c r="F218" s="43">
        <f>COUNTIFS(J$7:J218,J218,K$7:K218,K218,L$7:L218,L218,M$7:M218,M218)</f>
        <v>1</v>
      </c>
      <c r="G218" s="43" t="str">
        <f>TEXT(COUNTIFS(A$7:A218,A218,B$7:B218,B218,E$7:E218,E218,F$7:F218,1),"00")</f>
        <v>04</v>
      </c>
      <c r="H218" s="43" t="str">
        <f t="shared" si="8"/>
        <v>00</v>
      </c>
      <c r="I218" s="44" t="str">
        <f t="shared" si="9"/>
        <v>4</v>
      </c>
      <c r="J218" s="45" t="s">
        <v>38</v>
      </c>
      <c r="K218" s="45" t="s">
        <v>391</v>
      </c>
      <c r="L218" s="45" t="s">
        <v>312</v>
      </c>
      <c r="M218" s="45" t="s">
        <v>1431</v>
      </c>
      <c r="N218" s="45"/>
      <c r="O21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A3.13.14</v>
      </c>
      <c r="P218" s="59" t="s">
        <v>1368</v>
      </c>
      <c r="Q218" s="59" t="s">
        <v>78</v>
      </c>
      <c r="R218" s="59" t="s">
        <v>1300</v>
      </c>
      <c r="S218" s="59" t="s">
        <v>1912</v>
      </c>
      <c r="T218" s="58" t="str">
        <f>IF(Table681620[[#This Row],[LEVEL]]="5",Table681620[[#This Row],[L5]],
IF(Table681620[[#This Row],[LEVEL]]="4",Table681620[[#This Row],[L4]],
IF(Table681620[[#This Row],[LEVEL]]="3",Table681620[[#This Row],[L3]],
IF(Table681620[[#This Row],[LEVEL]]="2",Table681620[[#This Row],[L2]],
IF(Table681620[[#This Row],[LEVEL]]="1",Table681620[[#This Row],[L1]],"")))))</f>
        <v>Garden Beds - Shrubs &amp; Groundcover</v>
      </c>
      <c r="U218" s="47" t="s">
        <v>246</v>
      </c>
      <c r="V218" s="72" t="s">
        <v>44</v>
      </c>
      <c r="W218" s="72"/>
      <c r="X218" s="48"/>
      <c r="Y218" s="62">
        <f>Table681620[[#This Row],[Qty]]*Table681620[[#This Row],[Rate]]</f>
        <v>0</v>
      </c>
      <c r="Z218" s="51"/>
      <c r="AA218" s="48" t="s">
        <v>581</v>
      </c>
      <c r="AB218" s="48" t="s">
        <v>1432</v>
      </c>
      <c r="AC218" s="7"/>
      <c r="AD218" s="72"/>
      <c r="AE218" s="67"/>
      <c r="AF218" s="7"/>
      <c r="AG218" s="72"/>
      <c r="AH218" s="67"/>
      <c r="AI218" s="7"/>
      <c r="AJ218" s="72"/>
      <c r="AK218" s="67"/>
    </row>
    <row r="219" spans="1:37" x14ac:dyDescent="0.3">
      <c r="A219" s="43" t="str">
        <f>INDEX(Table_Numbering[L1],MATCH(Table681620[[#This Row],[L1]],Table_Numbering[L1 Description (Cost Area)],0))</f>
        <v>A</v>
      </c>
      <c r="B219" s="43" t="str">
        <f>IFERROR(INDEX(Table_Numbering[L2],MATCH(Table681620[[#This Row],[L2]],Table_Numbering[L2 Description (Area)],0)),"0")</f>
        <v>3</v>
      </c>
      <c r="C219" s="43" t="str">
        <f>IFERROR(INDEX(Table_Numbering[L3],MATCH(Table681620[[#This Row],[L3]],Table_Numbering[L3 Description (Sub Area)],0)),"0")</f>
        <v>13</v>
      </c>
      <c r="D219" s="43" t="str">
        <f>Table681620[[#This Row],[N1]]&amp;Table681620[[#This Row],[N2]]&amp;Table681620[[#This Row],[N3]]</f>
        <v>A313</v>
      </c>
      <c r="E219" s="43" t="str">
        <f>TEXT(COUNTIF(C$7:C217,Table681620[[#This Row],[N3]]),"00")</f>
        <v>15</v>
      </c>
      <c r="F219" s="43">
        <f>COUNTIFS(J$7:J219,J219,K$7:K219,K219,L$7:L219,L219,M$7:M219,M219)</f>
        <v>1</v>
      </c>
      <c r="G219" s="43" t="str">
        <f>TEXT(COUNTIFS(A$7:A219,A219,B$7:B219,B219,E$7:E219,E219,F$7:F219,1),"00")</f>
        <v>05</v>
      </c>
      <c r="H219" s="43" t="str">
        <f t="shared" si="8"/>
        <v>00</v>
      </c>
      <c r="I219" s="44" t="str">
        <f t="shared" si="9"/>
        <v>4</v>
      </c>
      <c r="J219" s="45" t="s">
        <v>38</v>
      </c>
      <c r="K219" s="45" t="s">
        <v>391</v>
      </c>
      <c r="L219" s="45" t="s">
        <v>312</v>
      </c>
      <c r="M219" s="45" t="s">
        <v>1433</v>
      </c>
      <c r="N219" s="45"/>
      <c r="O21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A3.13.15</v>
      </c>
      <c r="P219" s="59" t="s">
        <v>1368</v>
      </c>
      <c r="Q219" s="59" t="s">
        <v>78</v>
      </c>
      <c r="R219" s="59" t="s">
        <v>1300</v>
      </c>
      <c r="S219" s="59" t="s">
        <v>1913</v>
      </c>
      <c r="T219" s="58" t="str">
        <f>IF(Table681620[[#This Row],[LEVEL]]="5",Table681620[[#This Row],[L5]],
IF(Table681620[[#This Row],[LEVEL]]="4",Table681620[[#This Row],[L4]],
IF(Table681620[[#This Row],[LEVEL]]="3",Table681620[[#This Row],[L3]],
IF(Table681620[[#This Row],[LEVEL]]="2",Table681620[[#This Row],[L2]],
IF(Table681620[[#This Row],[LEVEL]]="1",Table681620[[#This Row],[L1]],"")))))</f>
        <v>Feature Trees</v>
      </c>
      <c r="U219" s="47" t="s">
        <v>574</v>
      </c>
      <c r="V219" s="72" t="s">
        <v>44</v>
      </c>
      <c r="W219" s="72"/>
      <c r="X219" s="48"/>
      <c r="Y219" s="62">
        <f>Table681620[[#This Row],[Qty]]*Table681620[[#This Row],[Rate]]</f>
        <v>0</v>
      </c>
      <c r="Z219" s="51"/>
      <c r="AA219" s="48" t="s">
        <v>1369</v>
      </c>
      <c r="AB219" s="48" t="s">
        <v>1434</v>
      </c>
      <c r="AC219" s="7"/>
      <c r="AD219" s="72"/>
      <c r="AE219" s="67"/>
      <c r="AF219" s="7"/>
      <c r="AG219" s="72"/>
      <c r="AH219" s="67"/>
      <c r="AI219" s="7"/>
      <c r="AJ219" s="72"/>
      <c r="AK219" s="67"/>
    </row>
    <row r="220" spans="1:37" x14ac:dyDescent="0.3">
      <c r="A220" s="43" t="str">
        <f>INDEX(Table_Numbering[L1],MATCH(Table681620[[#This Row],[L1]],Table_Numbering[L1 Description (Cost Area)],0))</f>
        <v>A</v>
      </c>
      <c r="B220" s="43" t="str">
        <f>IFERROR(INDEX(Table_Numbering[L2],MATCH(Table681620[[#This Row],[L2]],Table_Numbering[L2 Description (Area)],0)),"0")</f>
        <v>3</v>
      </c>
      <c r="C220" s="43" t="str">
        <f>IFERROR(INDEX(Table_Numbering[L3],MATCH(Table681620[[#This Row],[L3]],Table_Numbering[L3 Description (Sub Area)],0)),"0")</f>
        <v>13</v>
      </c>
      <c r="D220" s="43" t="str">
        <f>Table681620[[#This Row],[N1]]&amp;Table681620[[#This Row],[N2]]&amp;Table681620[[#This Row],[N3]]</f>
        <v>A313</v>
      </c>
      <c r="E220" s="43" t="str">
        <f>TEXT(COUNTIF(C$7:C218,Table681620[[#This Row],[N3]]),"00")</f>
        <v>16</v>
      </c>
      <c r="F220" s="43">
        <f>COUNTIFS(J$7:J220,J220,K$7:K220,K220,L$7:L220,L220,M$7:M220,M220)</f>
        <v>1</v>
      </c>
      <c r="G220" s="43" t="str">
        <f>TEXT(COUNTIFS(A$7:A220,A220,B$7:B220,B220,E$7:E220,E220,F$7:F220,1),"00")</f>
        <v>04</v>
      </c>
      <c r="H220" s="43" t="str">
        <f t="shared" si="8"/>
        <v>00</v>
      </c>
      <c r="I220" s="44" t="str">
        <f t="shared" si="9"/>
        <v>4</v>
      </c>
      <c r="J220" s="45" t="s">
        <v>38</v>
      </c>
      <c r="K220" s="45" t="s">
        <v>391</v>
      </c>
      <c r="L220" s="45" t="s">
        <v>312</v>
      </c>
      <c r="M220" s="45" t="s">
        <v>1373</v>
      </c>
      <c r="N220" s="45"/>
      <c r="O22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A3.13.16</v>
      </c>
      <c r="P220" s="59" t="s">
        <v>1368</v>
      </c>
      <c r="Q220" s="59" t="s">
        <v>78</v>
      </c>
      <c r="R220" s="59" t="s">
        <v>534</v>
      </c>
      <c r="S220" s="59" t="s">
        <v>1914</v>
      </c>
      <c r="T220" s="58" t="str">
        <f>IF(Table681620[[#This Row],[LEVEL]]="5",Table681620[[#This Row],[L5]],
IF(Table681620[[#This Row],[LEVEL]]="4",Table681620[[#This Row],[L4]],
IF(Table681620[[#This Row],[LEVEL]]="3",Table681620[[#This Row],[L3]],
IF(Table681620[[#This Row],[LEVEL]]="2",Table681620[[#This Row],[L2]],
IF(Table681620[[#This Row],[LEVEL]]="1",Table681620[[#This Row],[L1]],"")))))</f>
        <v>Irrigation System</v>
      </c>
      <c r="U220" s="47" t="s">
        <v>62</v>
      </c>
      <c r="V220" s="72" t="s">
        <v>44</v>
      </c>
      <c r="W220" s="72">
        <v>1</v>
      </c>
      <c r="X220" s="48"/>
      <c r="Y220" s="62">
        <f>Table681620[[#This Row],[Qty]]*Table681620[[#This Row],[Rate]]</f>
        <v>0</v>
      </c>
      <c r="Z220" s="51"/>
      <c r="AA220" s="48" t="s">
        <v>1374</v>
      </c>
      <c r="AB220" s="48" t="s">
        <v>1435</v>
      </c>
      <c r="AC220" s="7"/>
      <c r="AD220" s="72"/>
      <c r="AE220" s="67"/>
      <c r="AF220" s="7"/>
      <c r="AG220" s="72"/>
      <c r="AH220" s="67"/>
      <c r="AI220" s="7"/>
      <c r="AJ220" s="72"/>
      <c r="AK220" s="67"/>
    </row>
    <row r="221" spans="1:37" x14ac:dyDescent="0.3">
      <c r="A221" s="43" t="str">
        <f>INDEX(Table_Numbering[L1],MATCH(Table681620[[#This Row],[L1]],Table_Numbering[L1 Description (Cost Area)],0))</f>
        <v>A</v>
      </c>
      <c r="B221" s="43" t="str">
        <f>IFERROR(INDEX(Table_Numbering[L2],MATCH(Table681620[[#This Row],[L2]],Table_Numbering[L2 Description (Area)],0)),"0")</f>
        <v>3</v>
      </c>
      <c r="C221" s="43" t="str">
        <f>IFERROR(INDEX(Table_Numbering[L3],MATCH(Table681620[[#This Row],[L3]],Table_Numbering[L3 Description (Sub Area)],0)),"0")</f>
        <v>13</v>
      </c>
      <c r="D221" s="43" t="str">
        <f>Table681620[[#This Row],[N1]]&amp;Table681620[[#This Row],[N2]]&amp;Table681620[[#This Row],[N3]]</f>
        <v>A313</v>
      </c>
      <c r="E221" s="43" t="str">
        <f>TEXT(COUNTIF(C$7:C219,Table681620[[#This Row],[N3]]),"00")</f>
        <v>17</v>
      </c>
      <c r="F221" s="43">
        <f>COUNTIFS(J$7:J221,J221,K$7:K221,K221,L$7:L221,L221,M$7:M221,M221)</f>
        <v>1</v>
      </c>
      <c r="G221" s="43" t="str">
        <f>TEXT(COUNTIFS(A$7:A221,A221,B$7:B221,B221,E$7:E221,E221,F$7:F221,1),"00")</f>
        <v>04</v>
      </c>
      <c r="H221" s="43" t="str">
        <f t="shared" si="8"/>
        <v>00</v>
      </c>
      <c r="I221" s="44" t="str">
        <f t="shared" si="9"/>
        <v>4</v>
      </c>
      <c r="J221" s="45" t="s">
        <v>38</v>
      </c>
      <c r="K221" s="45" t="s">
        <v>391</v>
      </c>
      <c r="L221" s="45" t="s">
        <v>312</v>
      </c>
      <c r="M221" s="45" t="s">
        <v>1436</v>
      </c>
      <c r="N221" s="45"/>
      <c r="O22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A3.13.17</v>
      </c>
      <c r="P221" s="59" t="s">
        <v>350</v>
      </c>
      <c r="Q221" s="59" t="s">
        <v>78</v>
      </c>
      <c r="R221" s="59" t="s">
        <v>532</v>
      </c>
      <c r="S221" s="59" t="s">
        <v>1915</v>
      </c>
      <c r="T221" s="58" t="str">
        <f>IF(Table681620[[#This Row],[LEVEL]]="5",Table681620[[#This Row],[L5]],
IF(Table681620[[#This Row],[LEVEL]]="4",Table681620[[#This Row],[L4]],
IF(Table681620[[#This Row],[LEVEL]]="3",Table681620[[#This Row],[L3]],
IF(Table681620[[#This Row],[LEVEL]]="2",Table681620[[#This Row],[L2]],
IF(Table681620[[#This Row],[LEVEL]]="1",Table681620[[#This Row],[L1]],"")))))</f>
        <v>External &amp; Landscape Lighting</v>
      </c>
      <c r="U221" s="47" t="s">
        <v>574</v>
      </c>
      <c r="V221" s="72" t="s">
        <v>44</v>
      </c>
      <c r="W221" s="72"/>
      <c r="X221" s="48"/>
      <c r="Y221" s="62">
        <f>Table681620[[#This Row],[Qty]]*Table681620[[#This Row],[Rate]]</f>
        <v>0</v>
      </c>
      <c r="Z221" s="51"/>
      <c r="AA221" s="48" t="s">
        <v>1395</v>
      </c>
      <c r="AB221" s="48" t="s">
        <v>1396</v>
      </c>
      <c r="AC221" s="7"/>
      <c r="AD221" s="72"/>
      <c r="AE221" s="67"/>
      <c r="AF221" s="7"/>
      <c r="AG221" s="72"/>
      <c r="AH221" s="67"/>
      <c r="AI221" s="7"/>
      <c r="AJ221" s="72"/>
      <c r="AK221" s="67"/>
    </row>
    <row r="222" spans="1:37" x14ac:dyDescent="0.3">
      <c r="A222" s="43" t="str">
        <f>INDEX(Table_Numbering[L1],MATCH(Table681620[[#This Row],[L1]],Table_Numbering[L1 Description (Cost Area)],0))</f>
        <v>A</v>
      </c>
      <c r="B222" s="43" t="str">
        <f>IFERROR(INDEX(Table_Numbering[L2],MATCH(Table681620[[#This Row],[L2]],Table_Numbering[L2 Description (Area)],0)),"0")</f>
        <v>3</v>
      </c>
      <c r="C222" s="43" t="str">
        <f>IFERROR(INDEX(Table_Numbering[L3],MATCH(Table681620[[#This Row],[L3]],Table_Numbering[L3 Description (Sub Area)],0)),"0")</f>
        <v>13</v>
      </c>
      <c r="D222" s="43" t="str">
        <f>Table681620[[#This Row],[N1]]&amp;Table681620[[#This Row],[N2]]&amp;Table681620[[#This Row],[N3]]</f>
        <v>A313</v>
      </c>
      <c r="E222" s="43" t="str">
        <f>TEXT(COUNTIF(C$7:C220,Table681620[[#This Row],[N3]]),"00")</f>
        <v>18</v>
      </c>
      <c r="F222" s="43">
        <f>COUNTIFS(J$7:J222,J222,K$7:K222,K222,L$7:L222,L222,M$7:M222,M222)</f>
        <v>1</v>
      </c>
      <c r="G222" s="43" t="str">
        <f>TEXT(COUNTIFS(A$7:A222,A222,B$7:B222,B222,E$7:E222,E222,F$7:F222,1),"00")</f>
        <v>04</v>
      </c>
      <c r="H222" s="43" t="str">
        <f t="shared" si="8"/>
        <v>00</v>
      </c>
      <c r="I222" s="44" t="str">
        <f t="shared" si="9"/>
        <v>4</v>
      </c>
      <c r="J222" s="45" t="s">
        <v>38</v>
      </c>
      <c r="K222" s="45" t="s">
        <v>391</v>
      </c>
      <c r="L222" s="45" t="s">
        <v>312</v>
      </c>
      <c r="M222" s="45" t="s">
        <v>1437</v>
      </c>
      <c r="N222" s="45"/>
      <c r="O22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A3.13.18</v>
      </c>
      <c r="P222" s="59" t="s">
        <v>1370</v>
      </c>
      <c r="Q222" s="59" t="s">
        <v>78</v>
      </c>
      <c r="R222" s="59" t="s">
        <v>1353</v>
      </c>
      <c r="S222" s="59" t="s">
        <v>1916</v>
      </c>
      <c r="T222" s="58" t="str">
        <f>IF(Table681620[[#This Row],[LEVEL]]="5",Table681620[[#This Row],[L5]],
IF(Table681620[[#This Row],[LEVEL]]="4",Table681620[[#This Row],[L4]],
IF(Table681620[[#This Row],[LEVEL]]="3",Table681620[[#This Row],[L3]],
IF(Table681620[[#This Row],[LEVEL]]="2",Table681620[[#This Row],[L2]],
IF(Table681620[[#This Row],[LEVEL]]="1",Table681620[[#This Row],[L1]],"")))))</f>
        <v>Shade Structures - Courtyard</v>
      </c>
      <c r="U222" s="47" t="s">
        <v>574</v>
      </c>
      <c r="V222" s="72" t="s">
        <v>44</v>
      </c>
      <c r="W222" s="72"/>
      <c r="X222" s="48"/>
      <c r="Y222" s="62">
        <f>Table681620[[#This Row],[Qty]]*Table681620[[#This Row],[Rate]]</f>
        <v>0</v>
      </c>
      <c r="Z222" s="51"/>
      <c r="AA222" s="48" t="s">
        <v>1371</v>
      </c>
      <c r="AB222" s="48" t="s">
        <v>1438</v>
      </c>
      <c r="AC222" s="7"/>
      <c r="AD222" s="72"/>
      <c r="AE222" s="67"/>
      <c r="AF222" s="7"/>
      <c r="AG222" s="72"/>
      <c r="AH222" s="67"/>
      <c r="AI222" s="7"/>
      <c r="AJ222" s="72"/>
      <c r="AK222" s="67"/>
    </row>
    <row r="223" spans="1:37" x14ac:dyDescent="0.3">
      <c r="A223" s="43" t="str">
        <f>INDEX(Table_Numbering[L1],MATCH(Table681620[[#This Row],[L1]],Table_Numbering[L1 Description (Cost Area)],0))</f>
        <v>A</v>
      </c>
      <c r="B223" s="43" t="str">
        <f>IFERROR(INDEX(Table_Numbering[L2],MATCH(Table681620[[#This Row],[L2]],Table_Numbering[L2 Description (Area)],0)),"0")</f>
        <v>4</v>
      </c>
      <c r="C223" s="43" t="str">
        <f>IFERROR(INDEX(Table_Numbering[L3],MATCH(Table681620[[#This Row],[L3]],Table_Numbering[L3 Description (Sub Area)],0)),"0")</f>
        <v>0</v>
      </c>
      <c r="D223" s="43" t="str">
        <f>Table681620[[#This Row],[N1]]&amp;Table681620[[#This Row],[N2]]&amp;Table681620[[#This Row],[N3]]</f>
        <v>A40</v>
      </c>
      <c r="E223" s="43" t="str">
        <f>TEXT(COUNTIF(C$7:C221,Table681620[[#This Row],[N3]]),"00")</f>
        <v>05</v>
      </c>
      <c r="F223" s="43">
        <f>COUNTIFS(J$7:J223,J223,K$7:K223,K223,L$7:L223,L223,M$7:M223,M223)</f>
        <v>0</v>
      </c>
      <c r="G223" s="43" t="str">
        <f>TEXT(COUNTIFS(A$7:A223,A223,B$7:B223,B223,E$7:E223,E223,F$7:F223,1),"00")</f>
        <v>00</v>
      </c>
      <c r="H223" s="43" t="str">
        <f t="shared" si="8"/>
        <v>00</v>
      </c>
      <c r="I223" s="44" t="str">
        <f t="shared" si="9"/>
        <v>2</v>
      </c>
      <c r="J223" s="45" t="s">
        <v>38</v>
      </c>
      <c r="K223" s="45" t="s">
        <v>718</v>
      </c>
      <c r="L223" s="45"/>
      <c r="M223" s="45"/>
      <c r="N223" s="45"/>
      <c r="O22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v>
      </c>
      <c r="P223" s="59"/>
      <c r="Q223" s="59"/>
      <c r="R223" s="59"/>
      <c r="S223" s="59"/>
      <c r="T223" s="46" t="str">
        <f>IF(Table681620[[#This Row],[LEVEL]]="5",Table681620[[#This Row],[L5]],
IF(Table681620[[#This Row],[LEVEL]]="4",Table681620[[#This Row],[L4]],
IF(Table681620[[#This Row],[LEVEL]]="3",Table681620[[#This Row],[L3]],
IF(Table681620[[#This Row],[LEVEL]]="2",Table681620[[#This Row],[L2]],
IF(Table681620[[#This Row],[LEVEL]]="1",Table681620[[#This Row],[L1]],"")))))</f>
        <v>REGISTRY BUILDING</v>
      </c>
      <c r="U223" s="47"/>
      <c r="V223" s="72"/>
      <c r="W223" s="72"/>
      <c r="X223" s="48"/>
      <c r="Y223" s="50">
        <f>SUBTOTAL(9,Y224:Y249)</f>
        <v>0</v>
      </c>
      <c r="Z223" s="51"/>
      <c r="AA223" s="48"/>
      <c r="AB223" s="48"/>
      <c r="AC223" s="7"/>
      <c r="AD223" s="72"/>
      <c r="AE223" s="67"/>
      <c r="AF223" s="7"/>
      <c r="AG223" s="72"/>
      <c r="AH223" s="67"/>
      <c r="AI223" s="7"/>
      <c r="AJ223" s="72"/>
      <c r="AK223" s="67"/>
    </row>
    <row r="224" spans="1:37" x14ac:dyDescent="0.3">
      <c r="A224" s="43" t="str">
        <f>INDEX(Table_Numbering[L1],MATCH(Table681620[[#This Row],[L1]],Table_Numbering[L1 Description (Cost Area)],0))</f>
        <v>A</v>
      </c>
      <c r="B224" s="43" t="str">
        <f>IFERROR(INDEX(Table_Numbering[L2],MATCH(Table681620[[#This Row],[L2]],Table_Numbering[L2 Description (Area)],0)),"0")</f>
        <v>4</v>
      </c>
      <c r="C224" s="43" t="str">
        <f>IFERROR(INDEX(Table_Numbering[L3],MATCH(Table681620[[#This Row],[L3]],Table_Numbering[L3 Description (Sub Area)],0)),"0")</f>
        <v>01</v>
      </c>
      <c r="D224" s="43" t="str">
        <f>Table681620[[#This Row],[N1]]&amp;Table681620[[#This Row],[N2]]&amp;Table681620[[#This Row],[N3]]</f>
        <v>A401</v>
      </c>
      <c r="E224" s="43" t="str">
        <f>TEXT(COUNTIF(C$7:C222,Table681620[[#This Row],[N3]]),"00")</f>
        <v>44</v>
      </c>
      <c r="F224" s="43">
        <f>COUNTIFS(J$7:J224,J224,K$7:K224,K224,L$7:L224,L224,M$7:M224,M224)</f>
        <v>0</v>
      </c>
      <c r="G224" s="43" t="str">
        <f>TEXT(COUNTIFS(A$7:A224,A224,B$7:B224,B224,E$7:E224,E224,F$7:F224,1),"00")</f>
        <v>00</v>
      </c>
      <c r="H224" s="43" t="str">
        <f t="shared" si="8"/>
        <v>00</v>
      </c>
      <c r="I224" s="44" t="str">
        <f t="shared" si="9"/>
        <v>3</v>
      </c>
      <c r="J224" s="45" t="s">
        <v>38</v>
      </c>
      <c r="K224" s="45" t="s">
        <v>718</v>
      </c>
      <c r="L224" s="45" t="s">
        <v>557</v>
      </c>
      <c r="M224" s="45"/>
      <c r="N224" s="45"/>
      <c r="O22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A4.01</v>
      </c>
      <c r="P224" s="59"/>
      <c r="Q224" s="59"/>
      <c r="R224" s="59"/>
      <c r="S224" s="59"/>
      <c r="T224" s="55" t="str">
        <f>IF(Table681620[[#This Row],[LEVEL]]="5",Table681620[[#This Row],[L5]],
IF(Table681620[[#This Row],[LEVEL]]="4",Table681620[[#This Row],[L4]],
IF(Table681620[[#This Row],[LEVEL]]="3",Table681620[[#This Row],[L3]],
IF(Table681620[[#This Row],[LEVEL]]="2",Table681620[[#This Row],[L2]],
IF(Table681620[[#This Row],[LEVEL]]="1",Table681620[[#This Row],[L1]],"")))))</f>
        <v>DEMOLITION</v>
      </c>
      <c r="U224" s="47"/>
      <c r="V224" s="72"/>
      <c r="W224" s="72"/>
      <c r="X224" s="48"/>
      <c r="Y224" s="50">
        <f>SUBTOTAL(9,Y225:Y226)</f>
        <v>0</v>
      </c>
      <c r="Z224" s="51"/>
      <c r="AA224" s="48"/>
      <c r="AB224" s="48"/>
      <c r="AC224" s="7"/>
      <c r="AD224" s="72"/>
      <c r="AE224" s="67"/>
      <c r="AF224" s="7"/>
      <c r="AG224" s="72"/>
      <c r="AH224" s="67"/>
      <c r="AI224" s="7"/>
      <c r="AJ224" s="72"/>
      <c r="AK224" s="67"/>
    </row>
    <row r="225" spans="1:37" x14ac:dyDescent="0.3">
      <c r="A225" s="43" t="str">
        <f>INDEX(Table_Numbering[L1],MATCH(Table681620[[#This Row],[L1]],Table_Numbering[L1 Description (Cost Area)],0))</f>
        <v>A</v>
      </c>
      <c r="B225" s="43" t="str">
        <f>IFERROR(INDEX(Table_Numbering[L2],MATCH(Table681620[[#This Row],[L2]],Table_Numbering[L2 Description (Area)],0)),"0")</f>
        <v>4</v>
      </c>
      <c r="C225" s="43" t="str">
        <f>IFERROR(INDEX(Table_Numbering[L3],MATCH(Table681620[[#This Row],[L3]],Table_Numbering[L3 Description (Sub Area)],0)),"0")</f>
        <v>01</v>
      </c>
      <c r="D225" s="43" t="str">
        <f>Table681620[[#This Row],[N1]]&amp;Table681620[[#This Row],[N2]]&amp;Table681620[[#This Row],[N3]]</f>
        <v>A401</v>
      </c>
      <c r="E225" s="43" t="str">
        <f>TEXT(COUNTIF(C$7:C223,Table681620[[#This Row],[N3]]),"00")</f>
        <v>44</v>
      </c>
      <c r="F225" s="43">
        <f>COUNTIFS(J$7:J225,J225,K$7:K225,K225,L$7:L225,L225,M$7:M225,M225)</f>
        <v>1</v>
      </c>
      <c r="G225" s="43" t="str">
        <f>TEXT(COUNTIFS(A$7:A225,A225,B$7:B225,B225,E$7:E225,E225,F$7:F225,1),"00")</f>
        <v>01</v>
      </c>
      <c r="H225" s="43" t="str">
        <f t="shared" si="8"/>
        <v>00</v>
      </c>
      <c r="I225" s="44" t="str">
        <f t="shared" si="9"/>
        <v>4</v>
      </c>
      <c r="J225" s="45" t="s">
        <v>38</v>
      </c>
      <c r="K225" s="45" t="s">
        <v>718</v>
      </c>
      <c r="L225" s="45" t="s">
        <v>557</v>
      </c>
      <c r="M225" s="45" t="s">
        <v>298</v>
      </c>
      <c r="N225" s="45"/>
      <c r="O22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A4.01.44</v>
      </c>
      <c r="P225" s="59" t="s">
        <v>426</v>
      </c>
      <c r="Q225" s="59" t="s">
        <v>345</v>
      </c>
      <c r="R225" s="59" t="s">
        <v>450</v>
      </c>
      <c r="S225" s="59" t="s">
        <v>1844</v>
      </c>
      <c r="T225" s="58" t="str">
        <f>IF(Table681620[[#This Row],[LEVEL]]="5",Table681620[[#This Row],[L5]],
IF(Table681620[[#This Row],[LEVEL]]="4",Table681620[[#This Row],[L4]],
IF(Table681620[[#This Row],[LEVEL]]="3",Table681620[[#This Row],[L3]],
IF(Table681620[[#This Row],[LEVEL]]="2",Table681620[[#This Row],[L2]],
IF(Table681620[[#This Row],[LEVEL]]="1",Table681620[[#This Row],[L1]],"")))))</f>
        <v>Strip Out Existing Finishes</v>
      </c>
      <c r="U225" s="47" t="s">
        <v>246</v>
      </c>
      <c r="V225" s="72" t="s">
        <v>44</v>
      </c>
      <c r="W225" s="72"/>
      <c r="X225" s="48"/>
      <c r="Y225" s="62">
        <f>Table681620[[#This Row],[Qty]]*Table681620[[#This Row],[Rate]]</f>
        <v>0</v>
      </c>
      <c r="Z225" s="51"/>
      <c r="AA225" s="48" t="s">
        <v>560</v>
      </c>
      <c r="AB225" s="48" t="s">
        <v>561</v>
      </c>
      <c r="AC225" s="7"/>
      <c r="AD225" s="72"/>
      <c r="AE225" s="67"/>
      <c r="AF225" s="7"/>
      <c r="AG225" s="72"/>
      <c r="AH225" s="67"/>
      <c r="AI225" s="7"/>
      <c r="AJ225" s="72"/>
      <c r="AK225" s="67"/>
    </row>
    <row r="226" spans="1:37" x14ac:dyDescent="0.3">
      <c r="A226" s="43" t="str">
        <f>INDEX(Table_Numbering[L1],MATCH(Table681620[[#This Row],[L1]],Table_Numbering[L1 Description (Cost Area)],0))</f>
        <v>A</v>
      </c>
      <c r="B226" s="43" t="str">
        <f>IFERROR(INDEX(Table_Numbering[L2],MATCH(Table681620[[#This Row],[L2]],Table_Numbering[L2 Description (Area)],0)),"0")</f>
        <v>4</v>
      </c>
      <c r="C226" s="43" t="str">
        <f>IFERROR(INDEX(Table_Numbering[L3],MATCH(Table681620[[#This Row],[L3]],Table_Numbering[L3 Description (Sub Area)],0)),"0")</f>
        <v>01</v>
      </c>
      <c r="D226" s="43" t="str">
        <f>Table681620[[#This Row],[N1]]&amp;Table681620[[#This Row],[N2]]&amp;Table681620[[#This Row],[N3]]</f>
        <v>A401</v>
      </c>
      <c r="E226" s="43" t="str">
        <f>TEXT(COUNTIF(C$7:C224,Table681620[[#This Row],[N3]]),"00")</f>
        <v>45</v>
      </c>
      <c r="F226" s="43">
        <f>COUNTIFS(J$7:J226,J226,K$7:K226,K226,L$7:L226,L226,M$7:M226,M226)</f>
        <v>1</v>
      </c>
      <c r="G226" s="43" t="str">
        <f>TEXT(COUNTIFS(A$7:A226,A226,B$7:B226,B226,E$7:E226,E226,F$7:F226,1),"00")</f>
        <v>01</v>
      </c>
      <c r="H226" s="43" t="str">
        <f t="shared" si="8"/>
        <v>00</v>
      </c>
      <c r="I226" s="44" t="str">
        <f t="shared" si="9"/>
        <v>4</v>
      </c>
      <c r="J226" s="45" t="s">
        <v>38</v>
      </c>
      <c r="K226" s="45" t="s">
        <v>718</v>
      </c>
      <c r="L226" s="45" t="s">
        <v>557</v>
      </c>
      <c r="M226" s="45" t="s">
        <v>719</v>
      </c>
      <c r="N226" s="45"/>
      <c r="O22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A4.01.45</v>
      </c>
      <c r="P226" s="59" t="s">
        <v>346</v>
      </c>
      <c r="Q226" s="59" t="s">
        <v>86</v>
      </c>
      <c r="R226" s="59" t="s">
        <v>450</v>
      </c>
      <c r="S226" s="59" t="s">
        <v>1917</v>
      </c>
      <c r="T226" s="58" t="str">
        <f>IF(Table681620[[#This Row],[LEVEL]]="5",Table681620[[#This Row],[L5]],
IF(Table681620[[#This Row],[LEVEL]]="4",Table681620[[#This Row],[L4]],
IF(Table681620[[#This Row],[LEVEL]]="3",Table681620[[#This Row],[L3]],
IF(Table681620[[#This Row],[LEVEL]]="2",Table681620[[#This Row],[L2]],
IF(Table681620[[#This Row],[LEVEL]]="1",Table681620[[#This Row],[L1]],"")))))</f>
        <v>Hazardous Materials Removal</v>
      </c>
      <c r="U226" s="47" t="s">
        <v>62</v>
      </c>
      <c r="V226" s="72" t="s">
        <v>44</v>
      </c>
      <c r="W226" s="72">
        <v>1</v>
      </c>
      <c r="X226" s="48"/>
      <c r="Y226" s="62">
        <f>Table681620[[#This Row],[Qty]]*Table681620[[#This Row],[Rate]]</f>
        <v>0</v>
      </c>
      <c r="Z226" s="51"/>
      <c r="AA226" s="48" t="s">
        <v>79</v>
      </c>
      <c r="AB226" s="48" t="s">
        <v>720</v>
      </c>
      <c r="AC226" s="7"/>
      <c r="AD226" s="72"/>
      <c r="AE226" s="67"/>
      <c r="AF226" s="7"/>
      <c r="AG226" s="72"/>
      <c r="AH226" s="67"/>
      <c r="AI226" s="7"/>
      <c r="AJ226" s="72"/>
      <c r="AK226" s="67"/>
    </row>
    <row r="227" spans="1:37" x14ac:dyDescent="0.3">
      <c r="A227" s="43" t="str">
        <f>INDEX(Table_Numbering[L1],MATCH(Table681620[[#This Row],[L1]],Table_Numbering[L1 Description (Cost Area)],0))</f>
        <v>A</v>
      </c>
      <c r="B227" s="43" t="str">
        <f>IFERROR(INDEX(Table_Numbering[L2],MATCH(Table681620[[#This Row],[L2]],Table_Numbering[L2 Description (Area)],0)),"0")</f>
        <v>4</v>
      </c>
      <c r="C227" s="43" t="str">
        <f>IFERROR(INDEX(Table_Numbering[L3],MATCH(Table681620[[#This Row],[L3]],Table_Numbering[L3 Description (Sub Area)],0)),"0")</f>
        <v>02</v>
      </c>
      <c r="D227" s="43" t="str">
        <f>Table681620[[#This Row],[N1]]&amp;Table681620[[#This Row],[N2]]&amp;Table681620[[#This Row],[N3]]</f>
        <v>A402</v>
      </c>
      <c r="E227" s="43" t="str">
        <f>TEXT(COUNTIF(C$7:C225,Table681620[[#This Row],[N3]]),"00")</f>
        <v>21</v>
      </c>
      <c r="F227" s="43">
        <f>COUNTIFS(J$7:J227,J227,K$7:K227,K227,L$7:L227,L227,M$7:M227,M227)</f>
        <v>0</v>
      </c>
      <c r="G227" s="43" t="str">
        <f>TEXT(COUNTIFS(A$7:A227,A227,B$7:B227,B227,E$7:E227,E227,F$7:F227,1),"00")</f>
        <v>00</v>
      </c>
      <c r="H227" s="43" t="str">
        <f t="shared" si="8"/>
        <v>00</v>
      </c>
      <c r="I227" s="44" t="str">
        <f t="shared" si="9"/>
        <v>3</v>
      </c>
      <c r="J227" s="45" t="s">
        <v>38</v>
      </c>
      <c r="K227" s="45" t="s">
        <v>718</v>
      </c>
      <c r="L227" s="45" t="s">
        <v>568</v>
      </c>
      <c r="M227" s="45"/>
      <c r="N227" s="45"/>
      <c r="O22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A4.02</v>
      </c>
      <c r="P227" s="59"/>
      <c r="Q227" s="59"/>
      <c r="R227" s="59"/>
      <c r="S227" s="59"/>
      <c r="T227" s="55" t="str">
        <f>IF(Table681620[[#This Row],[LEVEL]]="5",Table681620[[#This Row],[L5]],
IF(Table681620[[#This Row],[LEVEL]]="4",Table681620[[#This Row],[L4]],
IF(Table681620[[#This Row],[LEVEL]]="3",Table681620[[#This Row],[L3]],
IF(Table681620[[#This Row],[LEVEL]]="2",Table681620[[#This Row],[L2]],
IF(Table681620[[#This Row],[LEVEL]]="1",Table681620[[#This Row],[L1]],"")))))</f>
        <v>STRUCTURE</v>
      </c>
      <c r="U227" s="47"/>
      <c r="V227" s="72"/>
      <c r="W227" s="72"/>
      <c r="X227" s="48"/>
      <c r="Y227" s="50">
        <f>SUBTOTAL(9,Y228:Y229)</f>
        <v>0</v>
      </c>
      <c r="Z227" s="51"/>
      <c r="AA227" s="48"/>
      <c r="AB227" s="48"/>
      <c r="AC227" s="7"/>
      <c r="AD227" s="72"/>
      <c r="AE227" s="67"/>
      <c r="AF227" s="7"/>
      <c r="AG227" s="72"/>
      <c r="AH227" s="67"/>
      <c r="AI227" s="7"/>
      <c r="AJ227" s="72"/>
      <c r="AK227" s="67"/>
    </row>
    <row r="228" spans="1:37" x14ac:dyDescent="0.3">
      <c r="A228" s="43" t="str">
        <f>INDEX(Table_Numbering[L1],MATCH(Table681620[[#This Row],[L1]],Table_Numbering[L1 Description (Cost Area)],0))</f>
        <v>A</v>
      </c>
      <c r="B228" s="43" t="str">
        <f>IFERROR(INDEX(Table_Numbering[L2],MATCH(Table681620[[#This Row],[L2]],Table_Numbering[L2 Description (Area)],0)),"0")</f>
        <v>4</v>
      </c>
      <c r="C228" s="43" t="str">
        <f>IFERROR(INDEX(Table_Numbering[L3],MATCH(Table681620[[#This Row],[L3]],Table_Numbering[L3 Description (Sub Area)],0)),"0")</f>
        <v>02</v>
      </c>
      <c r="D228" s="43" t="str">
        <f>Table681620[[#This Row],[N1]]&amp;Table681620[[#This Row],[N2]]&amp;Table681620[[#This Row],[N3]]</f>
        <v>A402</v>
      </c>
      <c r="E228" s="43" t="str">
        <f>TEXT(COUNTIF(C$7:C226,Table681620[[#This Row],[N3]]),"00")</f>
        <v>21</v>
      </c>
      <c r="F228" s="43">
        <f>COUNTIFS(J$7:J228,J228,K$7:K228,K228,L$7:L228,L228,M$7:M228,M228)</f>
        <v>1</v>
      </c>
      <c r="G228" s="43" t="str">
        <f>TEXT(COUNTIFS(A$7:A228,A228,B$7:B228,B228,E$7:E228,E228,F$7:F228,1),"00")</f>
        <v>01</v>
      </c>
      <c r="H228" s="43" t="str">
        <f t="shared" si="8"/>
        <v>00</v>
      </c>
      <c r="I228" s="44" t="str">
        <f t="shared" si="9"/>
        <v>4</v>
      </c>
      <c r="J228" s="45" t="s">
        <v>38</v>
      </c>
      <c r="K228" s="45" t="s">
        <v>718</v>
      </c>
      <c r="L228" s="45" t="s">
        <v>568</v>
      </c>
      <c r="M228" s="45" t="s">
        <v>721</v>
      </c>
      <c r="N228" s="45"/>
      <c r="O22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A4.02.21</v>
      </c>
      <c r="P228" s="59" t="s">
        <v>330</v>
      </c>
      <c r="Q228" s="59" t="s">
        <v>78</v>
      </c>
      <c r="R228" s="59" t="s">
        <v>430</v>
      </c>
      <c r="S228" s="59" t="s">
        <v>1918</v>
      </c>
      <c r="T228" s="58" t="str">
        <f>IF(Table681620[[#This Row],[LEVEL]]="5",Table681620[[#This Row],[L5]],
IF(Table681620[[#This Row],[LEVEL]]="4",Table681620[[#This Row],[L4]],
IF(Table681620[[#This Row],[LEVEL]]="3",Table681620[[#This Row],[L3]],
IF(Table681620[[#This Row],[LEVEL]]="2",Table681620[[#This Row],[L2]],
IF(Table681620[[#This Row],[LEVEL]]="1",Table681620[[#This Row],[L1]],"")))))</f>
        <v>Structural Assessment &amp; Repairs</v>
      </c>
      <c r="U228" s="47" t="s">
        <v>62</v>
      </c>
      <c r="V228" s="72" t="s">
        <v>44</v>
      </c>
      <c r="W228" s="72">
        <v>1</v>
      </c>
      <c r="X228" s="48"/>
      <c r="Y228" s="62">
        <f>Table681620[[#This Row],[Qty]]*Table681620[[#This Row],[Rate]]</f>
        <v>0</v>
      </c>
      <c r="Z228" s="51"/>
      <c r="AA228" s="48" t="s">
        <v>79</v>
      </c>
      <c r="AB228" s="48" t="s">
        <v>722</v>
      </c>
      <c r="AC228" s="7"/>
      <c r="AD228" s="72"/>
      <c r="AE228" s="67"/>
      <c r="AF228" s="7"/>
      <c r="AG228" s="72"/>
      <c r="AH228" s="67"/>
      <c r="AI228" s="7"/>
      <c r="AJ228" s="72"/>
      <c r="AK228" s="67"/>
    </row>
    <row r="229" spans="1:37" x14ac:dyDescent="0.3">
      <c r="A229" s="43" t="str">
        <f>INDEX(Table_Numbering[L1],MATCH(Table681620[[#This Row],[L1]],Table_Numbering[L1 Description (Cost Area)],0))</f>
        <v>A</v>
      </c>
      <c r="B229" s="43" t="str">
        <f>IFERROR(INDEX(Table_Numbering[L2],MATCH(Table681620[[#This Row],[L2]],Table_Numbering[L2 Description (Area)],0)),"0")</f>
        <v>4</v>
      </c>
      <c r="C229" s="43" t="str">
        <f>IFERROR(INDEX(Table_Numbering[L3],MATCH(Table681620[[#This Row],[L3]],Table_Numbering[L3 Description (Sub Area)],0)),"0")</f>
        <v>02</v>
      </c>
      <c r="D229" s="43" t="str">
        <f>Table681620[[#This Row],[N1]]&amp;Table681620[[#This Row],[N2]]&amp;Table681620[[#This Row],[N3]]</f>
        <v>A402</v>
      </c>
      <c r="E229" s="43" t="str">
        <f>TEXT(COUNTIF(C$7:C227,Table681620[[#This Row],[N3]]),"00")</f>
        <v>22</v>
      </c>
      <c r="F229" s="43">
        <f>COUNTIFS(J$7:J229,J229,K$7:K229,K229,L$7:L229,L229,M$7:M229,M229)</f>
        <v>1</v>
      </c>
      <c r="G229" s="43" t="str">
        <f>TEXT(COUNTIFS(A$7:A229,A229,B$7:B229,B229,E$7:E229,E229,F$7:F229,1),"00")</f>
        <v>01</v>
      </c>
      <c r="H229" s="43" t="str">
        <f t="shared" si="8"/>
        <v>00</v>
      </c>
      <c r="I229" s="44" t="str">
        <f t="shared" si="9"/>
        <v>4</v>
      </c>
      <c r="J229" s="45" t="s">
        <v>38</v>
      </c>
      <c r="K229" s="45" t="s">
        <v>718</v>
      </c>
      <c r="L229" s="45" t="s">
        <v>568</v>
      </c>
      <c r="M229" s="45" t="s">
        <v>306</v>
      </c>
      <c r="N229" s="45"/>
      <c r="O22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A4.02.22</v>
      </c>
      <c r="P229" s="59" t="s">
        <v>330</v>
      </c>
      <c r="Q229" s="59" t="s">
        <v>78</v>
      </c>
      <c r="R229" s="59" t="s">
        <v>430</v>
      </c>
      <c r="S229" s="59" t="s">
        <v>1919</v>
      </c>
      <c r="T229" s="58" t="str">
        <f>IF(Table681620[[#This Row],[LEVEL]]="5",Table681620[[#This Row],[L5]],
IF(Table681620[[#This Row],[LEVEL]]="4",Table681620[[#This Row],[L4]],
IF(Table681620[[#This Row],[LEVEL]]="3",Table681620[[#This Row],[L3]],
IF(Table681620[[#This Row],[LEVEL]]="2",Table681620[[#This Row],[L2]],
IF(Table681620[[#This Row],[LEVEL]]="1",Table681620[[#This Row],[L1]],"")))))</f>
        <v>Concrete Slab Repairs</v>
      </c>
      <c r="U229" s="47" t="s">
        <v>246</v>
      </c>
      <c r="V229" s="72" t="s">
        <v>44</v>
      </c>
      <c r="W229" s="72"/>
      <c r="X229" s="48"/>
      <c r="Y229" s="62">
        <f>Table681620[[#This Row],[Qty]]*Table681620[[#This Row],[Rate]]</f>
        <v>0</v>
      </c>
      <c r="Z229" s="51"/>
      <c r="AA229" s="48" t="s">
        <v>723</v>
      </c>
      <c r="AB229" s="48" t="s">
        <v>724</v>
      </c>
      <c r="AC229" s="7"/>
      <c r="AD229" s="72"/>
      <c r="AE229" s="67"/>
      <c r="AF229" s="7"/>
      <c r="AG229" s="72"/>
      <c r="AH229" s="67"/>
      <c r="AI229" s="7"/>
      <c r="AJ229" s="72"/>
      <c r="AK229" s="67"/>
    </row>
    <row r="230" spans="1:37" x14ac:dyDescent="0.3">
      <c r="A230" s="43" t="str">
        <f>INDEX(Table_Numbering[L1],MATCH(Table681620[[#This Row],[L1]],Table_Numbering[L1 Description (Cost Area)],0))</f>
        <v>A</v>
      </c>
      <c r="B230" s="43" t="str">
        <f>IFERROR(INDEX(Table_Numbering[L2],MATCH(Table681620[[#This Row],[L2]],Table_Numbering[L2 Description (Area)],0)),"0")</f>
        <v>4</v>
      </c>
      <c r="C230" s="43" t="str">
        <f>IFERROR(INDEX(Table_Numbering[L3],MATCH(Table681620[[#This Row],[L3]],Table_Numbering[L3 Description (Sub Area)],0)),"0")</f>
        <v>03</v>
      </c>
      <c r="D230" s="43" t="str">
        <f>Table681620[[#This Row],[N1]]&amp;Table681620[[#This Row],[N2]]&amp;Table681620[[#This Row],[N3]]</f>
        <v>A403</v>
      </c>
      <c r="E230" s="43" t="str">
        <f>TEXT(COUNTIF(C$7:C228,Table681620[[#This Row],[N3]]),"00")</f>
        <v>20</v>
      </c>
      <c r="F230" s="43">
        <f>COUNTIFS(J$7:J230,J230,K$7:K230,K230,L$7:L230,L230,M$7:M230,M230)</f>
        <v>0</v>
      </c>
      <c r="G230" s="43" t="str">
        <f>TEXT(COUNTIFS(A$7:A230,A230,B$7:B230,B230,E$7:E230,E230,F$7:F230,1),"00")</f>
        <v>00</v>
      </c>
      <c r="H230" s="43" t="str">
        <f t="shared" si="8"/>
        <v>00</v>
      </c>
      <c r="I230" s="44" t="str">
        <f t="shared" si="9"/>
        <v>3</v>
      </c>
      <c r="J230" s="45" t="s">
        <v>38</v>
      </c>
      <c r="K230" s="45" t="s">
        <v>718</v>
      </c>
      <c r="L230" s="45" t="s">
        <v>596</v>
      </c>
      <c r="M230" s="45"/>
      <c r="N230" s="45"/>
      <c r="O23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A4.03</v>
      </c>
      <c r="P230" s="59"/>
      <c r="Q230" s="59"/>
      <c r="R230" s="59"/>
      <c r="S230" s="59"/>
      <c r="T230" s="55" t="str">
        <f>IF(Table681620[[#This Row],[LEVEL]]="5",Table681620[[#This Row],[L5]],
IF(Table681620[[#This Row],[LEVEL]]="4",Table681620[[#This Row],[L4]],
IF(Table681620[[#This Row],[LEVEL]]="3",Table681620[[#This Row],[L3]],
IF(Table681620[[#This Row],[LEVEL]]="2",Table681620[[#This Row],[L2]],
IF(Table681620[[#This Row],[LEVEL]]="1",Table681620[[#This Row],[L1]],"")))))</f>
        <v>ROOF</v>
      </c>
      <c r="U230" s="47"/>
      <c r="V230" s="72"/>
      <c r="W230" s="72"/>
      <c r="X230" s="48"/>
      <c r="Y230" s="50">
        <f>SUBTOTAL(9,Y231)</f>
        <v>0</v>
      </c>
      <c r="Z230" s="51"/>
      <c r="AA230" s="48"/>
      <c r="AB230" s="48"/>
      <c r="AC230" s="7"/>
      <c r="AD230" s="72"/>
      <c r="AE230" s="67"/>
      <c r="AF230" s="7"/>
      <c r="AG230" s="72"/>
      <c r="AH230" s="67"/>
      <c r="AI230" s="7"/>
      <c r="AJ230" s="72"/>
      <c r="AK230" s="67"/>
    </row>
    <row r="231" spans="1:37" x14ac:dyDescent="0.3">
      <c r="A231" s="43" t="str">
        <f>INDEX(Table_Numbering[L1],MATCH(Table681620[[#This Row],[L1]],Table_Numbering[L1 Description (Cost Area)],0))</f>
        <v>A</v>
      </c>
      <c r="B231" s="43" t="str">
        <f>IFERROR(INDEX(Table_Numbering[L2],MATCH(Table681620[[#This Row],[L2]],Table_Numbering[L2 Description (Area)],0)),"0")</f>
        <v>4</v>
      </c>
      <c r="C231" s="43" t="str">
        <f>IFERROR(INDEX(Table_Numbering[L3],MATCH(Table681620[[#This Row],[L3]],Table_Numbering[L3 Description (Sub Area)],0)),"0")</f>
        <v>03</v>
      </c>
      <c r="D231" s="43" t="str">
        <f>Table681620[[#This Row],[N1]]&amp;Table681620[[#This Row],[N2]]&amp;Table681620[[#This Row],[N3]]</f>
        <v>A403</v>
      </c>
      <c r="E231" s="43" t="str">
        <f>TEXT(COUNTIF(C$7:C229,Table681620[[#This Row],[N3]]),"00")</f>
        <v>20</v>
      </c>
      <c r="F231" s="43">
        <f>COUNTIFS(J$7:J231,J231,K$7:K231,K231,L$7:L231,L231,M$7:M231,M231)</f>
        <v>1</v>
      </c>
      <c r="G231" s="43" t="str">
        <f>TEXT(COUNTIFS(A$7:A231,A231,B$7:B231,B231,E$7:E231,E231,F$7:F231,1),"00")</f>
        <v>01</v>
      </c>
      <c r="H231" s="43" t="str">
        <f t="shared" si="8"/>
        <v>00</v>
      </c>
      <c r="I231" s="44" t="str">
        <f t="shared" si="9"/>
        <v>4</v>
      </c>
      <c r="J231" s="45" t="s">
        <v>38</v>
      </c>
      <c r="K231" s="45" t="s">
        <v>718</v>
      </c>
      <c r="L231" s="45" t="s">
        <v>596</v>
      </c>
      <c r="M231" s="45" t="s">
        <v>726</v>
      </c>
      <c r="N231" s="45"/>
      <c r="O23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A4.03.20</v>
      </c>
      <c r="P231" s="59" t="s">
        <v>348</v>
      </c>
      <c r="Q231" s="59" t="s">
        <v>78</v>
      </c>
      <c r="R231" s="59" t="s">
        <v>725</v>
      </c>
      <c r="S231" s="59" t="s">
        <v>2082</v>
      </c>
      <c r="T231" s="58" t="str">
        <f>IF(Table681620[[#This Row],[LEVEL]]="5",Table681620[[#This Row],[L5]],
IF(Table681620[[#This Row],[LEVEL]]="4",Table681620[[#This Row],[L4]],
IF(Table681620[[#This Row],[LEVEL]]="3",Table681620[[#This Row],[L3]],
IF(Table681620[[#This Row],[LEVEL]]="2",Table681620[[#This Row],[L2]],
IF(Table681620[[#This Row],[LEVEL]]="1",Table681620[[#This Row],[L1]],"")))))</f>
        <v>Roof Refurbishment Package</v>
      </c>
      <c r="U231" s="47" t="s">
        <v>62</v>
      </c>
      <c r="V231" s="72" t="s">
        <v>44</v>
      </c>
      <c r="W231" s="72">
        <v>1</v>
      </c>
      <c r="X231" s="48"/>
      <c r="Y231" s="62">
        <f>Table681620[[#This Row],[Qty]]*Table681620[[#This Row],[Rate]]</f>
        <v>0</v>
      </c>
      <c r="Z231" s="51"/>
      <c r="AA231" s="48" t="s">
        <v>79</v>
      </c>
      <c r="AB231" s="48" t="s">
        <v>727</v>
      </c>
      <c r="AC231" s="7"/>
      <c r="AD231" s="72"/>
      <c r="AE231" s="67"/>
      <c r="AF231" s="7"/>
      <c r="AG231" s="72"/>
      <c r="AH231" s="67"/>
      <c r="AI231" s="7"/>
      <c r="AJ231" s="72"/>
      <c r="AK231" s="67"/>
    </row>
    <row r="232" spans="1:37" x14ac:dyDescent="0.3">
      <c r="A232" s="43" t="str">
        <f>INDEX(Table_Numbering[L1],MATCH(Table681620[[#This Row],[L1]],Table_Numbering[L1 Description (Cost Area)],0))</f>
        <v>A</v>
      </c>
      <c r="B232" s="43" t="str">
        <f>IFERROR(INDEX(Table_Numbering[L2],MATCH(Table681620[[#This Row],[L2]],Table_Numbering[L2 Description (Area)],0)),"0")</f>
        <v>4</v>
      </c>
      <c r="C232" s="43" t="str">
        <f>IFERROR(INDEX(Table_Numbering[L3],MATCH(Table681620[[#This Row],[L3]],Table_Numbering[L3 Description (Sub Area)],0)),"0")</f>
        <v>04</v>
      </c>
      <c r="D232" s="43" t="str">
        <f>Table681620[[#This Row],[N1]]&amp;Table681620[[#This Row],[N2]]&amp;Table681620[[#This Row],[N3]]</f>
        <v>A404</v>
      </c>
      <c r="E232" s="43" t="str">
        <f>TEXT(COUNTIF(C$7:C230,Table681620[[#This Row],[N3]]),"00")</f>
        <v>17</v>
      </c>
      <c r="F232" s="43">
        <f>COUNTIFS(J$7:J232,J232,K$7:K232,K232,L$7:L232,L232,M$7:M232,M232)</f>
        <v>0</v>
      </c>
      <c r="G232" s="43" t="str">
        <f>TEXT(COUNTIFS(A$7:A232,A232,B$7:B232,B232,E$7:E232,E232,F$7:F232,1),"00")</f>
        <v>00</v>
      </c>
      <c r="H232" s="43" t="str">
        <f t="shared" si="8"/>
        <v>00</v>
      </c>
      <c r="I232" s="44" t="str">
        <f t="shared" si="9"/>
        <v>3</v>
      </c>
      <c r="J232" s="45" t="s">
        <v>38</v>
      </c>
      <c r="K232" s="45" t="s">
        <v>718</v>
      </c>
      <c r="L232" s="45" t="s">
        <v>728</v>
      </c>
      <c r="M232" s="45"/>
      <c r="N232" s="45"/>
      <c r="O23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A4.04</v>
      </c>
      <c r="P232" s="59"/>
      <c r="Q232" s="59"/>
      <c r="R232" s="59"/>
      <c r="S232" s="59"/>
      <c r="T232" s="55" t="str">
        <f>IF(Table681620[[#This Row],[LEVEL]]="5",Table681620[[#This Row],[L5]],
IF(Table681620[[#This Row],[LEVEL]]="4",Table681620[[#This Row],[L4]],
IF(Table681620[[#This Row],[LEVEL]]="3",Table681620[[#This Row],[L3]],
IF(Table681620[[#This Row],[LEVEL]]="2",Table681620[[#This Row],[L2]],
IF(Table681620[[#This Row],[LEVEL]]="1",Table681620[[#This Row],[L1]],"")))))</f>
        <v>SERVICES</v>
      </c>
      <c r="U232" s="47"/>
      <c r="V232" s="72"/>
      <c r="W232" s="72"/>
      <c r="X232" s="48"/>
      <c r="Y232" s="50">
        <f>SUBTOTAL(9,Y233:Y236)</f>
        <v>0</v>
      </c>
      <c r="Z232" s="51"/>
      <c r="AA232" s="48"/>
      <c r="AB232" s="48"/>
      <c r="AC232" s="7"/>
      <c r="AD232" s="72"/>
      <c r="AE232" s="67"/>
      <c r="AF232" s="7"/>
      <c r="AG232" s="72"/>
      <c r="AH232" s="67"/>
      <c r="AI232" s="7"/>
      <c r="AJ232" s="72"/>
      <c r="AK232" s="67"/>
    </row>
    <row r="233" spans="1:37" x14ac:dyDescent="0.3">
      <c r="A233" s="43" t="str">
        <f>INDEX(Table_Numbering[L1],MATCH(Table681620[[#This Row],[L1]],Table_Numbering[L1 Description (Cost Area)],0))</f>
        <v>A</v>
      </c>
      <c r="B233" s="43" t="str">
        <f>IFERROR(INDEX(Table_Numbering[L2],MATCH(Table681620[[#This Row],[L2]],Table_Numbering[L2 Description (Area)],0)),"0")</f>
        <v>4</v>
      </c>
      <c r="C233" s="43" t="str">
        <f>IFERROR(INDEX(Table_Numbering[L3],MATCH(Table681620[[#This Row],[L3]],Table_Numbering[L3 Description (Sub Area)],0)),"0")</f>
        <v>04</v>
      </c>
      <c r="D233" s="43" t="str">
        <f>Table681620[[#This Row],[N1]]&amp;Table681620[[#This Row],[N2]]&amp;Table681620[[#This Row],[N3]]</f>
        <v>A404</v>
      </c>
      <c r="E233" s="43" t="str">
        <f>TEXT(COUNTIF(C$7:C231,Table681620[[#This Row],[N3]]),"00")</f>
        <v>17</v>
      </c>
      <c r="F233" s="43">
        <f>COUNTIFS(J$7:J233,J233,K$7:K233,K233,L$7:L233,L233,M$7:M233,M233)</f>
        <v>1</v>
      </c>
      <c r="G233" s="43" t="str">
        <f>TEXT(COUNTIFS(A$7:A233,A233,B$7:B233,B233,E$7:E233,E233,F$7:F233,1),"00")</f>
        <v>01</v>
      </c>
      <c r="H233" s="43" t="str">
        <f t="shared" si="8"/>
        <v>00</v>
      </c>
      <c r="I233" s="44" t="str">
        <f t="shared" si="9"/>
        <v>4</v>
      </c>
      <c r="J233" s="45" t="s">
        <v>38</v>
      </c>
      <c r="K233" s="45" t="s">
        <v>718</v>
      </c>
      <c r="L233" s="45" t="s">
        <v>728</v>
      </c>
      <c r="M233" s="45" t="s">
        <v>730</v>
      </c>
      <c r="N233" s="45"/>
      <c r="O23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A4.04.17</v>
      </c>
      <c r="P233" s="59" t="s">
        <v>349</v>
      </c>
      <c r="Q233" s="59" t="s">
        <v>78</v>
      </c>
      <c r="R233" s="59" t="s">
        <v>729</v>
      </c>
      <c r="S233" s="59" t="s">
        <v>2083</v>
      </c>
      <c r="T233" s="58" t="str">
        <f>IF(Table681620[[#This Row],[LEVEL]]="5",Table681620[[#This Row],[L5]],
IF(Table681620[[#This Row],[LEVEL]]="4",Table681620[[#This Row],[L4]],
IF(Table681620[[#This Row],[LEVEL]]="3",Table681620[[#This Row],[L3]],
IF(Table681620[[#This Row],[LEVEL]]="2",Table681620[[#This Row],[L2]],
IF(Table681620[[#This Row],[LEVEL]]="1",Table681620[[#This Row],[L1]],"")))))</f>
        <v>Mechanical Services Package</v>
      </c>
      <c r="U233" s="47" t="s">
        <v>62</v>
      </c>
      <c r="V233" s="72" t="s">
        <v>44</v>
      </c>
      <c r="W233" s="72">
        <v>1</v>
      </c>
      <c r="X233" s="48"/>
      <c r="Y233" s="62">
        <f>Table681620[[#This Row],[Qty]]*Table681620[[#This Row],[Rate]]</f>
        <v>0</v>
      </c>
      <c r="Z233" s="51"/>
      <c r="AA233" s="48" t="s">
        <v>79</v>
      </c>
      <c r="AB233" s="48" t="s">
        <v>664</v>
      </c>
      <c r="AC233" s="7"/>
      <c r="AD233" s="72"/>
      <c r="AE233" s="67"/>
      <c r="AF233" s="7"/>
      <c r="AG233" s="72"/>
      <c r="AH233" s="67"/>
      <c r="AI233" s="7"/>
      <c r="AJ233" s="72"/>
      <c r="AK233" s="67"/>
    </row>
    <row r="234" spans="1:37" x14ac:dyDescent="0.3">
      <c r="A234" s="43" t="str">
        <f>INDEX(Table_Numbering[L1],MATCH(Table681620[[#This Row],[L1]],Table_Numbering[L1 Description (Cost Area)],0))</f>
        <v>A</v>
      </c>
      <c r="B234" s="43" t="str">
        <f>IFERROR(INDEX(Table_Numbering[L2],MATCH(Table681620[[#This Row],[L2]],Table_Numbering[L2 Description (Area)],0)),"0")</f>
        <v>4</v>
      </c>
      <c r="C234" s="43" t="str">
        <f>IFERROR(INDEX(Table_Numbering[L3],MATCH(Table681620[[#This Row],[L3]],Table_Numbering[L3 Description (Sub Area)],0)),"0")</f>
        <v>04</v>
      </c>
      <c r="D234" s="43" t="str">
        <f>Table681620[[#This Row],[N1]]&amp;Table681620[[#This Row],[N2]]&amp;Table681620[[#This Row],[N3]]</f>
        <v>A404</v>
      </c>
      <c r="E234" s="43" t="str">
        <f>TEXT(COUNTIF(C$7:C232,Table681620[[#This Row],[N3]]),"00")</f>
        <v>18</v>
      </c>
      <c r="F234" s="43">
        <f>COUNTIFS(J$7:J234,J234,K$7:K234,K234,L$7:L234,L234,M$7:M234,M234)</f>
        <v>1</v>
      </c>
      <c r="G234" s="43" t="str">
        <f>TEXT(COUNTIFS(A$7:A234,A234,B$7:B234,B234,E$7:E234,E234,F$7:F234,1),"00")</f>
        <v>01</v>
      </c>
      <c r="H234" s="43" t="str">
        <f t="shared" si="8"/>
        <v>00</v>
      </c>
      <c r="I234" s="44" t="str">
        <f t="shared" si="9"/>
        <v>4</v>
      </c>
      <c r="J234" s="45" t="s">
        <v>38</v>
      </c>
      <c r="K234" s="45" t="s">
        <v>718</v>
      </c>
      <c r="L234" s="45" t="s">
        <v>728</v>
      </c>
      <c r="M234" s="45" t="s">
        <v>732</v>
      </c>
      <c r="N234" s="45"/>
      <c r="O23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A4.04.18</v>
      </c>
      <c r="P234" s="59" t="s">
        <v>350</v>
      </c>
      <c r="Q234" s="59" t="s">
        <v>78</v>
      </c>
      <c r="R234" s="59" t="s">
        <v>731</v>
      </c>
      <c r="S234" s="59" t="s">
        <v>2085</v>
      </c>
      <c r="T234" s="58" t="str">
        <f>IF(Table681620[[#This Row],[LEVEL]]="5",Table681620[[#This Row],[L5]],
IF(Table681620[[#This Row],[LEVEL]]="4",Table681620[[#This Row],[L4]],
IF(Table681620[[#This Row],[LEVEL]]="3",Table681620[[#This Row],[L3]],
IF(Table681620[[#This Row],[LEVEL]]="2",Table681620[[#This Row],[L2]],
IF(Table681620[[#This Row],[LEVEL]]="1",Table681620[[#This Row],[L1]],"")))))</f>
        <v>Electrical Services Package</v>
      </c>
      <c r="U234" s="47" t="s">
        <v>62</v>
      </c>
      <c r="V234" s="72" t="s">
        <v>44</v>
      </c>
      <c r="W234" s="72">
        <v>1</v>
      </c>
      <c r="X234" s="48"/>
      <c r="Y234" s="62">
        <f>Table681620[[#This Row],[Qty]]*Table681620[[#This Row],[Rate]]</f>
        <v>0</v>
      </c>
      <c r="Z234" s="51"/>
      <c r="AA234" s="48" t="s">
        <v>79</v>
      </c>
      <c r="AB234" s="48" t="s">
        <v>654</v>
      </c>
      <c r="AC234" s="7"/>
      <c r="AD234" s="72"/>
      <c r="AE234" s="67"/>
      <c r="AF234" s="7"/>
      <c r="AG234" s="72"/>
      <c r="AH234" s="67"/>
      <c r="AI234" s="7"/>
      <c r="AJ234" s="72"/>
      <c r="AK234" s="67"/>
    </row>
    <row r="235" spans="1:37" x14ac:dyDescent="0.3">
      <c r="A235" s="43" t="str">
        <f>INDEX(Table_Numbering[L1],MATCH(Table681620[[#This Row],[L1]],Table_Numbering[L1 Description (Cost Area)],0))</f>
        <v>A</v>
      </c>
      <c r="B235" s="43" t="str">
        <f>IFERROR(INDEX(Table_Numbering[L2],MATCH(Table681620[[#This Row],[L2]],Table_Numbering[L2 Description (Area)],0)),"0")</f>
        <v>4</v>
      </c>
      <c r="C235" s="43" t="str">
        <f>IFERROR(INDEX(Table_Numbering[L3],MATCH(Table681620[[#This Row],[L3]],Table_Numbering[L3 Description (Sub Area)],0)),"0")</f>
        <v>04</v>
      </c>
      <c r="D235" s="43" t="str">
        <f>Table681620[[#This Row],[N1]]&amp;Table681620[[#This Row],[N2]]&amp;Table681620[[#This Row],[N3]]</f>
        <v>A404</v>
      </c>
      <c r="E235" s="43" t="str">
        <f>TEXT(COUNTIF(C$7:C233,Table681620[[#This Row],[N3]]),"00")</f>
        <v>19</v>
      </c>
      <c r="F235" s="43">
        <f>COUNTIFS(J$7:J235,J235,K$7:K235,K235,L$7:L235,L235,M$7:M235,M235)</f>
        <v>1</v>
      </c>
      <c r="G235" s="43" t="str">
        <f>TEXT(COUNTIFS(A$7:A235,A235,B$7:B235,B235,E$7:E235,E235,F$7:F235,1),"00")</f>
        <v>01</v>
      </c>
      <c r="H235" s="43" t="str">
        <f t="shared" si="8"/>
        <v>00</v>
      </c>
      <c r="I235" s="44" t="str">
        <f t="shared" si="9"/>
        <v>4</v>
      </c>
      <c r="J235" s="45" t="s">
        <v>38</v>
      </c>
      <c r="K235" s="45" t="s">
        <v>718</v>
      </c>
      <c r="L235" s="45" t="s">
        <v>728</v>
      </c>
      <c r="M235" s="45" t="s">
        <v>734</v>
      </c>
      <c r="N235" s="45"/>
      <c r="O23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A4.04.19</v>
      </c>
      <c r="P235" s="59" t="s">
        <v>351</v>
      </c>
      <c r="Q235" s="59" t="s">
        <v>78</v>
      </c>
      <c r="R235" s="59" t="s">
        <v>733</v>
      </c>
      <c r="S235" s="59" t="s">
        <v>1923</v>
      </c>
      <c r="T235" s="58" t="str">
        <f>IF(Table681620[[#This Row],[LEVEL]]="5",Table681620[[#This Row],[L5]],
IF(Table681620[[#This Row],[LEVEL]]="4",Table681620[[#This Row],[L4]],
IF(Table681620[[#This Row],[LEVEL]]="3",Table681620[[#This Row],[L3]],
IF(Table681620[[#This Row],[LEVEL]]="2",Table681620[[#This Row],[L2]],
IF(Table681620[[#This Row],[LEVEL]]="1",Table681620[[#This Row],[L1]],"")))))</f>
        <v>Hydraulic Services Package</v>
      </c>
      <c r="U235" s="47" t="s">
        <v>62</v>
      </c>
      <c r="V235" s="72" t="s">
        <v>44</v>
      </c>
      <c r="W235" s="72">
        <v>1</v>
      </c>
      <c r="X235" s="48"/>
      <c r="Y235" s="62">
        <f>Table681620[[#This Row],[Qty]]*Table681620[[#This Row],[Rate]]</f>
        <v>0</v>
      </c>
      <c r="Z235" s="51"/>
      <c r="AA235" s="48" t="s">
        <v>79</v>
      </c>
      <c r="AB235" s="48" t="s">
        <v>650</v>
      </c>
      <c r="AC235" s="7"/>
      <c r="AD235" s="72"/>
      <c r="AE235" s="67"/>
      <c r="AF235" s="7"/>
      <c r="AG235" s="72"/>
      <c r="AH235" s="67"/>
      <c r="AI235" s="7"/>
      <c r="AJ235" s="72"/>
      <c r="AK235" s="67"/>
    </row>
    <row r="236" spans="1:37" x14ac:dyDescent="0.3">
      <c r="A236" s="43" t="str">
        <f>INDEX(Table_Numbering[L1],MATCH(Table681620[[#This Row],[L1]],Table_Numbering[L1 Description (Cost Area)],0))</f>
        <v>A</v>
      </c>
      <c r="B236" s="43" t="str">
        <f>IFERROR(INDEX(Table_Numbering[L2],MATCH(Table681620[[#This Row],[L2]],Table_Numbering[L2 Description (Area)],0)),"0")</f>
        <v>4</v>
      </c>
      <c r="C236" s="43" t="str">
        <f>IFERROR(INDEX(Table_Numbering[L3],MATCH(Table681620[[#This Row],[L3]],Table_Numbering[L3 Description (Sub Area)],0)),"0")</f>
        <v>04</v>
      </c>
      <c r="D236" s="43" t="str">
        <f>Table681620[[#This Row],[N1]]&amp;Table681620[[#This Row],[N2]]&amp;Table681620[[#This Row],[N3]]</f>
        <v>A404</v>
      </c>
      <c r="E236" s="43" t="str">
        <f>TEXT(COUNTIF(C$7:C234,Table681620[[#This Row],[N3]]),"00")</f>
        <v>20</v>
      </c>
      <c r="F236" s="43">
        <f>COUNTIFS(J$7:J236,J236,K$7:K236,K236,L$7:L236,L236,M$7:M236,M236)</f>
        <v>1</v>
      </c>
      <c r="G236" s="43" t="str">
        <f>TEXT(COUNTIFS(A$7:A236,A236,B$7:B236,B236,E$7:E236,E236,F$7:F236,1),"00")</f>
        <v>02</v>
      </c>
      <c r="H236" s="43" t="str">
        <f t="shared" si="8"/>
        <v>00</v>
      </c>
      <c r="I236" s="44" t="str">
        <f t="shared" si="9"/>
        <v>4</v>
      </c>
      <c r="J236" s="45" t="s">
        <v>38</v>
      </c>
      <c r="K236" s="45" t="s">
        <v>718</v>
      </c>
      <c r="L236" s="45" t="s">
        <v>728</v>
      </c>
      <c r="M236" s="45" t="s">
        <v>735</v>
      </c>
      <c r="N236" s="45"/>
      <c r="O23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A4.04.20</v>
      </c>
      <c r="P236" s="59" t="s">
        <v>351</v>
      </c>
      <c r="Q236" s="59" t="s">
        <v>78</v>
      </c>
      <c r="R236" s="59" t="s">
        <v>733</v>
      </c>
      <c r="S236" s="59" t="s">
        <v>1924</v>
      </c>
      <c r="T236" s="58" t="str">
        <f>IF(Table681620[[#This Row],[LEVEL]]="5",Table681620[[#This Row],[L5]],
IF(Table681620[[#This Row],[LEVEL]]="4",Table681620[[#This Row],[L4]],
IF(Table681620[[#This Row],[LEVEL]]="3",Table681620[[#This Row],[L3]],
IF(Table681620[[#This Row],[LEVEL]]="2",Table681620[[#This Row],[L2]],
IF(Table681620[[#This Row],[LEVEL]]="1",Table681620[[#This Row],[L1]],"")))))</f>
        <v>Fire Services Package</v>
      </c>
      <c r="U236" s="47" t="s">
        <v>62</v>
      </c>
      <c r="V236" s="72" t="s">
        <v>44</v>
      </c>
      <c r="W236" s="72">
        <v>1</v>
      </c>
      <c r="X236" s="48"/>
      <c r="Y236" s="62">
        <f>Table681620[[#This Row],[Qty]]*Table681620[[#This Row],[Rate]]</f>
        <v>0</v>
      </c>
      <c r="Z236" s="51"/>
      <c r="AA236" s="48" t="s">
        <v>79</v>
      </c>
      <c r="AB236" s="48" t="s">
        <v>664</v>
      </c>
      <c r="AC236" s="7"/>
      <c r="AD236" s="72"/>
      <c r="AE236" s="67"/>
      <c r="AF236" s="7"/>
      <c r="AG236" s="72"/>
      <c r="AH236" s="67"/>
      <c r="AI236" s="7"/>
      <c r="AJ236" s="72"/>
      <c r="AK236" s="67"/>
    </row>
    <row r="237" spans="1:37" x14ac:dyDescent="0.3">
      <c r="A237" s="43" t="str">
        <f>INDEX(Table_Numbering[L1],MATCH(Table681620[[#This Row],[L1]],Table_Numbering[L1 Description (Cost Area)],0))</f>
        <v>A</v>
      </c>
      <c r="B237" s="43" t="str">
        <f>IFERROR(INDEX(Table_Numbering[L2],MATCH(Table681620[[#This Row],[L2]],Table_Numbering[L2 Description (Area)],0)),"0")</f>
        <v>4</v>
      </c>
      <c r="C237" s="43" t="str">
        <f>IFERROR(INDEX(Table_Numbering[L3],MATCH(Table681620[[#This Row],[L3]],Table_Numbering[L3 Description (Sub Area)],0)),"0")</f>
        <v>05</v>
      </c>
      <c r="D237" s="43" t="str">
        <f>Table681620[[#This Row],[N1]]&amp;Table681620[[#This Row],[N2]]&amp;Table681620[[#This Row],[N3]]</f>
        <v>A405</v>
      </c>
      <c r="E237" s="43" t="str">
        <f>TEXT(COUNTIF(C$7:C235,Table681620[[#This Row],[N3]]),"00")</f>
        <v>22</v>
      </c>
      <c r="F237" s="43">
        <f>COUNTIFS(J$7:J237,J237,K$7:K237,K237,L$7:L237,L237,M$7:M237,M237)</f>
        <v>0</v>
      </c>
      <c r="G237" s="43" t="str">
        <f>TEXT(COUNTIFS(A$7:A237,A237,B$7:B237,B237,E$7:E237,E237,F$7:F237,1),"00")</f>
        <v>01</v>
      </c>
      <c r="H237" s="43" t="str">
        <f t="shared" si="8"/>
        <v>00</v>
      </c>
      <c r="I237" s="44" t="str">
        <f t="shared" si="9"/>
        <v>3</v>
      </c>
      <c r="J237" s="45" t="s">
        <v>38</v>
      </c>
      <c r="K237" s="45" t="s">
        <v>718</v>
      </c>
      <c r="L237" s="45" t="s">
        <v>619</v>
      </c>
      <c r="M237" s="45"/>
      <c r="N237" s="45"/>
      <c r="O23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A4.05</v>
      </c>
      <c r="P237" s="59"/>
      <c r="Q237" s="59"/>
      <c r="R237" s="59"/>
      <c r="S237" s="59"/>
      <c r="T237" s="55" t="str">
        <f>IF(Table681620[[#This Row],[LEVEL]]="5",Table681620[[#This Row],[L5]],
IF(Table681620[[#This Row],[LEVEL]]="4",Table681620[[#This Row],[L4]],
IF(Table681620[[#This Row],[LEVEL]]="3",Table681620[[#This Row],[L3]],
IF(Table681620[[#This Row],[LEVEL]]="2",Table681620[[#This Row],[L2]],
IF(Table681620[[#This Row],[LEVEL]]="1",Table681620[[#This Row],[L1]],"")))))</f>
        <v>FITOUT</v>
      </c>
      <c r="U237" s="47"/>
      <c r="V237" s="72"/>
      <c r="W237" s="72"/>
      <c r="X237" s="48"/>
      <c r="Y237" s="50">
        <f>SUBTOTAL(9,Y238:Y241)</f>
        <v>0</v>
      </c>
      <c r="Z237" s="51"/>
      <c r="AA237" s="48"/>
      <c r="AB237" s="48"/>
      <c r="AC237" s="7"/>
      <c r="AD237" s="72"/>
      <c r="AE237" s="67"/>
      <c r="AF237" s="7"/>
      <c r="AG237" s="72"/>
      <c r="AH237" s="67"/>
      <c r="AI237" s="7"/>
      <c r="AJ237" s="72"/>
      <c r="AK237" s="67"/>
    </row>
    <row r="238" spans="1:37" x14ac:dyDescent="0.3">
      <c r="A238" s="43" t="str">
        <f>INDEX(Table_Numbering[L1],MATCH(Table681620[[#This Row],[L1]],Table_Numbering[L1 Description (Cost Area)],0))</f>
        <v>A</v>
      </c>
      <c r="B238" s="43" t="str">
        <f>IFERROR(INDEX(Table_Numbering[L2],MATCH(Table681620[[#This Row],[L2]],Table_Numbering[L2 Description (Area)],0)),"0")</f>
        <v>4</v>
      </c>
      <c r="C238" s="43" t="str">
        <f>IFERROR(INDEX(Table_Numbering[L3],MATCH(Table681620[[#This Row],[L3]],Table_Numbering[L3 Description (Sub Area)],0)),"0")</f>
        <v>05</v>
      </c>
      <c r="D238" s="43" t="str">
        <f>Table681620[[#This Row],[N1]]&amp;Table681620[[#This Row],[N2]]&amp;Table681620[[#This Row],[N3]]</f>
        <v>A405</v>
      </c>
      <c r="E238" s="43" t="str">
        <f>TEXT(COUNTIF(C$7:C236,Table681620[[#This Row],[N3]]),"00")</f>
        <v>22</v>
      </c>
      <c r="F238" s="43">
        <f>COUNTIFS(J$7:J238,J238,K$7:K238,K238,L$7:L238,L238,M$7:M238,M238)</f>
        <v>1</v>
      </c>
      <c r="G238" s="43" t="str">
        <f>TEXT(COUNTIFS(A$7:A238,A238,B$7:B238,B238,E$7:E238,E238,F$7:F238,1),"00")</f>
        <v>02</v>
      </c>
      <c r="H238" s="43" t="str">
        <f t="shared" si="8"/>
        <v>00</v>
      </c>
      <c r="I238" s="44" t="str">
        <f t="shared" si="9"/>
        <v>4</v>
      </c>
      <c r="J238" s="45" t="s">
        <v>38</v>
      </c>
      <c r="K238" s="45" t="s">
        <v>718</v>
      </c>
      <c r="L238" s="45" t="s">
        <v>619</v>
      </c>
      <c r="M238" s="45" t="s">
        <v>737</v>
      </c>
      <c r="N238" s="45"/>
      <c r="O23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A4.05.22</v>
      </c>
      <c r="P238" s="59" t="s">
        <v>329</v>
      </c>
      <c r="Q238" s="59" t="s">
        <v>78</v>
      </c>
      <c r="R238" s="59" t="s">
        <v>736</v>
      </c>
      <c r="S238" s="59" t="s">
        <v>1926</v>
      </c>
      <c r="T238" s="58" t="str">
        <f>IF(Table681620[[#This Row],[LEVEL]]="5",Table681620[[#This Row],[L5]],
IF(Table681620[[#This Row],[LEVEL]]="4",Table681620[[#This Row],[L4]],
IF(Table681620[[#This Row],[LEVEL]]="3",Table681620[[#This Row],[L3]],
IF(Table681620[[#This Row],[LEVEL]]="2",Table681620[[#This Row],[L2]],
IF(Table681620[[#This Row],[LEVEL]]="1",Table681620[[#This Row],[L1]],"")))))</f>
        <v>Partitions &amp; Ceilings Package</v>
      </c>
      <c r="U238" s="47" t="s">
        <v>62</v>
      </c>
      <c r="V238" s="72" t="s">
        <v>44</v>
      </c>
      <c r="W238" s="72">
        <v>1</v>
      </c>
      <c r="X238" s="48"/>
      <c r="Y238" s="62">
        <f>Table681620[[#This Row],[Qty]]*Table681620[[#This Row],[Rate]]</f>
        <v>0</v>
      </c>
      <c r="Z238" s="51"/>
      <c r="AA238" s="48" t="s">
        <v>79</v>
      </c>
      <c r="AB238" s="48" t="s">
        <v>621</v>
      </c>
      <c r="AC238" s="7"/>
      <c r="AD238" s="72"/>
      <c r="AE238" s="67"/>
      <c r="AF238" s="7"/>
      <c r="AG238" s="72"/>
      <c r="AH238" s="67"/>
      <c r="AI238" s="7"/>
      <c r="AJ238" s="72"/>
      <c r="AK238" s="67"/>
    </row>
    <row r="239" spans="1:37" x14ac:dyDescent="0.3">
      <c r="A239" s="43" t="str">
        <f>INDEX(Table_Numbering[L1],MATCH(Table681620[[#This Row],[L1]],Table_Numbering[L1 Description (Cost Area)],0))</f>
        <v>A</v>
      </c>
      <c r="B239" s="43" t="str">
        <f>IFERROR(INDEX(Table_Numbering[L2],MATCH(Table681620[[#This Row],[L2]],Table_Numbering[L2 Description (Area)],0)),"0")</f>
        <v>4</v>
      </c>
      <c r="C239" s="43" t="str">
        <f>IFERROR(INDEX(Table_Numbering[L3],MATCH(Table681620[[#This Row],[L3]],Table_Numbering[L3 Description (Sub Area)],0)),"0")</f>
        <v>05</v>
      </c>
      <c r="D239" s="43" t="str">
        <f>Table681620[[#This Row],[N1]]&amp;Table681620[[#This Row],[N2]]&amp;Table681620[[#This Row],[N3]]</f>
        <v>A405</v>
      </c>
      <c r="E239" s="43" t="str">
        <f>TEXT(COUNTIF(C$7:C237,Table681620[[#This Row],[N3]]),"00")</f>
        <v>23</v>
      </c>
      <c r="F239" s="43">
        <f>COUNTIFS(J$7:J239,J239,K$7:K239,K239,L$7:L239,L239,M$7:M239,M239)</f>
        <v>1</v>
      </c>
      <c r="G239" s="43" t="str">
        <f>TEXT(COUNTIFS(A$7:A239,A239,B$7:B239,B239,E$7:E239,E239,F$7:F239,1),"00")</f>
        <v>01</v>
      </c>
      <c r="H239" s="43" t="str">
        <f t="shared" si="8"/>
        <v>00</v>
      </c>
      <c r="I239" s="44" t="str">
        <f t="shared" si="9"/>
        <v>4</v>
      </c>
      <c r="J239" s="45" t="s">
        <v>38</v>
      </c>
      <c r="K239" s="45" t="s">
        <v>718</v>
      </c>
      <c r="L239" s="45" t="s">
        <v>619</v>
      </c>
      <c r="M239" s="45" t="s">
        <v>738</v>
      </c>
      <c r="N239" s="45"/>
      <c r="O23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A4.05.23</v>
      </c>
      <c r="P239" s="59" t="s">
        <v>329</v>
      </c>
      <c r="Q239" s="59" t="s">
        <v>78</v>
      </c>
      <c r="R239" s="59" t="s">
        <v>736</v>
      </c>
      <c r="S239" s="59" t="s">
        <v>1927</v>
      </c>
      <c r="T239" s="58" t="str">
        <f>IF(Table681620[[#This Row],[LEVEL]]="5",Table681620[[#This Row],[L5]],
IF(Table681620[[#This Row],[LEVEL]]="4",Table681620[[#This Row],[L4]],
IF(Table681620[[#This Row],[LEVEL]]="3",Table681620[[#This Row],[L3]],
IF(Table681620[[#This Row],[LEVEL]]="2",Table681620[[#This Row],[L2]],
IF(Table681620[[#This Row],[LEVEL]]="1",Table681620[[#This Row],[L1]],"")))))</f>
        <v>Floor &amp; Wall Finishes Package</v>
      </c>
      <c r="U239" s="47" t="s">
        <v>62</v>
      </c>
      <c r="V239" s="72" t="s">
        <v>44</v>
      </c>
      <c r="W239" s="72">
        <v>1</v>
      </c>
      <c r="X239" s="48"/>
      <c r="Y239" s="62">
        <f>Table681620[[#This Row],[Qty]]*Table681620[[#This Row],[Rate]]</f>
        <v>0</v>
      </c>
      <c r="Z239" s="51"/>
      <c r="AA239" s="48" t="s">
        <v>581</v>
      </c>
      <c r="AB239" s="48" t="s">
        <v>624</v>
      </c>
      <c r="AC239" s="7"/>
      <c r="AD239" s="72"/>
      <c r="AE239" s="67"/>
      <c r="AF239" s="7"/>
      <c r="AG239" s="72"/>
      <c r="AH239" s="67"/>
      <c r="AI239" s="7"/>
      <c r="AJ239" s="72"/>
      <c r="AK239" s="67"/>
    </row>
    <row r="240" spans="1:37" x14ac:dyDescent="0.3">
      <c r="A240" s="43" t="str">
        <f>INDEX(Table_Numbering[L1],MATCH(Table681620[[#This Row],[L1]],Table_Numbering[L1 Description (Cost Area)],0))</f>
        <v>A</v>
      </c>
      <c r="B240" s="43" t="str">
        <f>IFERROR(INDEX(Table_Numbering[L2],MATCH(Table681620[[#This Row],[L2]],Table_Numbering[L2 Description (Area)],0)),"0")</f>
        <v>4</v>
      </c>
      <c r="C240" s="43" t="str">
        <f>IFERROR(INDEX(Table_Numbering[L3],MATCH(Table681620[[#This Row],[L3]],Table_Numbering[L3 Description (Sub Area)],0)),"0")</f>
        <v>05</v>
      </c>
      <c r="D240" s="43" t="str">
        <f>Table681620[[#This Row],[N1]]&amp;Table681620[[#This Row],[N2]]&amp;Table681620[[#This Row],[N3]]</f>
        <v>A405</v>
      </c>
      <c r="E240" s="43" t="str">
        <f>TEXT(COUNTIF(C$7:C238,Table681620[[#This Row],[N3]]),"00")</f>
        <v>24</v>
      </c>
      <c r="F240" s="43">
        <f>COUNTIFS(J$7:J240,J240,K$7:K240,K240,L$7:L240,L240,M$7:M240,M240)</f>
        <v>1</v>
      </c>
      <c r="G240" s="43" t="str">
        <f>TEXT(COUNTIFS(A$7:A240,A240,B$7:B240,B240,E$7:E240,E240,F$7:F240,1),"00")</f>
        <v>01</v>
      </c>
      <c r="H240" s="43" t="str">
        <f t="shared" si="8"/>
        <v>00</v>
      </c>
      <c r="I240" s="44" t="str">
        <f t="shared" si="9"/>
        <v>4</v>
      </c>
      <c r="J240" s="45" t="s">
        <v>38</v>
      </c>
      <c r="K240" s="45" t="s">
        <v>718</v>
      </c>
      <c r="L240" s="45" t="s">
        <v>619</v>
      </c>
      <c r="M240" s="45" t="s">
        <v>739</v>
      </c>
      <c r="N240" s="45"/>
      <c r="O24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A4.05.24</v>
      </c>
      <c r="P240" s="59" t="s">
        <v>329</v>
      </c>
      <c r="Q240" s="59" t="s">
        <v>78</v>
      </c>
      <c r="R240" s="59" t="s">
        <v>736</v>
      </c>
      <c r="S240" s="59" t="s">
        <v>1928</v>
      </c>
      <c r="T240" s="58" t="str">
        <f>IF(Table681620[[#This Row],[LEVEL]]="5",Table681620[[#This Row],[L5]],
IF(Table681620[[#This Row],[LEVEL]]="4",Table681620[[#This Row],[L4]],
IF(Table681620[[#This Row],[LEVEL]]="3",Table681620[[#This Row],[L3]],
IF(Table681620[[#This Row],[LEVEL]]="2",Table681620[[#This Row],[L2]],
IF(Table681620[[#This Row],[LEVEL]]="1",Table681620[[#This Row],[L1]],"")))))</f>
        <v>Joinery Package</v>
      </c>
      <c r="U240" s="47" t="s">
        <v>62</v>
      </c>
      <c r="V240" s="72" t="s">
        <v>44</v>
      </c>
      <c r="W240" s="72">
        <v>1</v>
      </c>
      <c r="X240" s="48"/>
      <c r="Y240" s="62">
        <f>Table681620[[#This Row],[Qty]]*Table681620[[#This Row],[Rate]]</f>
        <v>0</v>
      </c>
      <c r="Z240" s="51"/>
      <c r="AA240" s="48" t="s">
        <v>694</v>
      </c>
      <c r="AB240" s="48" t="s">
        <v>695</v>
      </c>
      <c r="AC240" s="7"/>
      <c r="AD240" s="72"/>
      <c r="AE240" s="67"/>
      <c r="AF240" s="7"/>
      <c r="AG240" s="72"/>
      <c r="AH240" s="67"/>
      <c r="AI240" s="7"/>
      <c r="AJ240" s="72"/>
      <c r="AK240" s="67"/>
    </row>
    <row r="241" spans="1:37" x14ac:dyDescent="0.3">
      <c r="A241" s="43" t="str">
        <f>INDEX(Table_Numbering[L1],MATCH(Table681620[[#This Row],[L1]],Table_Numbering[L1 Description (Cost Area)],0))</f>
        <v>A</v>
      </c>
      <c r="B241" s="43" t="str">
        <f>IFERROR(INDEX(Table_Numbering[L2],MATCH(Table681620[[#This Row],[L2]],Table_Numbering[L2 Description (Area)],0)),"0")</f>
        <v>4</v>
      </c>
      <c r="C241" s="43" t="str">
        <f>IFERROR(INDEX(Table_Numbering[L3],MATCH(Table681620[[#This Row],[L3]],Table_Numbering[L3 Description (Sub Area)],0)),"0")</f>
        <v>05</v>
      </c>
      <c r="D241" s="43" t="str">
        <f>Table681620[[#This Row],[N1]]&amp;Table681620[[#This Row],[N2]]&amp;Table681620[[#This Row],[N3]]</f>
        <v>A405</v>
      </c>
      <c r="E241" s="43" t="str">
        <f>TEXT(COUNTIF(C$7:C239,Table681620[[#This Row],[N3]]),"00")</f>
        <v>25</v>
      </c>
      <c r="F241" s="43">
        <f>COUNTIFS(J$7:J241,J241,K$7:K241,K241,L$7:L241,L241,M$7:M241,M241)</f>
        <v>1</v>
      </c>
      <c r="G241" s="43" t="str">
        <f>TEXT(COUNTIFS(A$7:A241,A241,B$7:B241,B241,E$7:E241,E241,F$7:F241,1),"00")</f>
        <v>01</v>
      </c>
      <c r="H241" s="43" t="str">
        <f t="shared" si="8"/>
        <v>00</v>
      </c>
      <c r="I241" s="44" t="str">
        <f t="shared" si="9"/>
        <v>4</v>
      </c>
      <c r="J241" s="45" t="s">
        <v>38</v>
      </c>
      <c r="K241" s="45" t="s">
        <v>718</v>
      </c>
      <c r="L241" s="45" t="s">
        <v>619</v>
      </c>
      <c r="M241" s="45" t="s">
        <v>741</v>
      </c>
      <c r="N241" s="45"/>
      <c r="O24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A4.05.25</v>
      </c>
      <c r="P241" s="59" t="s">
        <v>352</v>
      </c>
      <c r="Q241" s="59" t="s">
        <v>78</v>
      </c>
      <c r="R241" s="59" t="s">
        <v>740</v>
      </c>
      <c r="S241" s="59" t="s">
        <v>2090</v>
      </c>
      <c r="T241" s="58" t="str">
        <f>IF(Table681620[[#This Row],[LEVEL]]="5",Table681620[[#This Row],[L5]],
IF(Table681620[[#This Row],[LEVEL]]="4",Table681620[[#This Row],[L4]],
IF(Table681620[[#This Row],[LEVEL]]="3",Table681620[[#This Row],[L3]],
IF(Table681620[[#This Row],[LEVEL]]="2",Table681620[[#This Row],[L2]],
IF(Table681620[[#This Row],[LEVEL]]="1",Table681620[[#This Row],[L1]],"")))))</f>
        <v>FFE Package</v>
      </c>
      <c r="U241" s="47" t="s">
        <v>62</v>
      </c>
      <c r="V241" s="72" t="s">
        <v>44</v>
      </c>
      <c r="W241" s="72">
        <v>1</v>
      </c>
      <c r="X241" s="48"/>
      <c r="Y241" s="62">
        <f>Table681620[[#This Row],[Qty]]*Table681620[[#This Row],[Rate]]</f>
        <v>0</v>
      </c>
      <c r="Z241" s="51"/>
      <c r="AA241" s="48" t="s">
        <v>742</v>
      </c>
      <c r="AB241" s="48" t="s">
        <v>703</v>
      </c>
      <c r="AC241" s="7"/>
      <c r="AD241" s="72"/>
      <c r="AE241" s="67"/>
      <c r="AF241" s="7"/>
      <c r="AG241" s="72"/>
      <c r="AH241" s="67"/>
      <c r="AI241" s="7"/>
      <c r="AJ241" s="72"/>
      <c r="AK241" s="67"/>
    </row>
    <row r="242" spans="1:37" x14ac:dyDescent="0.3">
      <c r="A242" s="43" t="str">
        <f>INDEX(Table_Numbering[L1],MATCH(Table681620[[#This Row],[L1]],Table_Numbering[L1 Description (Cost Area)],0))</f>
        <v>A</v>
      </c>
      <c r="B242" s="43" t="str">
        <f>IFERROR(INDEX(Table_Numbering[L2],MATCH(Table681620[[#This Row],[L2]],Table_Numbering[L2 Description (Area)],0)),"0")</f>
        <v>0</v>
      </c>
      <c r="C242" s="43" t="str">
        <f>IFERROR(INDEX(Table_Numbering[L3],MATCH(Table681620[[#This Row],[L3]],Table_Numbering[L3 Description (Sub Area)],0)),"0")</f>
        <v>13</v>
      </c>
      <c r="D242" s="43" t="str">
        <f>Table681620[[#This Row],[N1]]&amp;Table681620[[#This Row],[N2]]&amp;Table681620[[#This Row],[N3]]</f>
        <v>A013</v>
      </c>
      <c r="E242" s="43" t="str">
        <f>TEXT(COUNTIF(C$7:C240,Table681620[[#This Row],[N3]]),"00")</f>
        <v>20</v>
      </c>
      <c r="F242" s="43">
        <f>COUNTIFS(J$7:J242,J242,K$7:K242,K242,L$7:L242,L242,M$7:M242,M242)</f>
        <v>0</v>
      </c>
      <c r="G242" s="43" t="str">
        <f>TEXT(COUNTIFS(A$7:A242,A242,B$7:B242,B242,E$7:E242,E242,F$7:F242,1),"00")</f>
        <v>00</v>
      </c>
      <c r="H242" s="43" t="str">
        <f t="shared" si="8"/>
        <v>00</v>
      </c>
      <c r="I242" s="44" t="str">
        <f t="shared" si="9"/>
        <v>3</v>
      </c>
      <c r="J242" s="45" t="s">
        <v>38</v>
      </c>
      <c r="K242" s="45" t="s">
        <v>1400</v>
      </c>
      <c r="L242" s="45" t="s">
        <v>312</v>
      </c>
      <c r="M242" s="45"/>
      <c r="N242" s="45"/>
      <c r="O24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v>
      </c>
      <c r="P242" s="59"/>
      <c r="Q242" s="59"/>
      <c r="R242" s="59"/>
      <c r="S242" s="59"/>
      <c r="T242" s="55" t="str">
        <f>IF(Table681620[[#This Row],[LEVEL]]="5",Table681620[[#This Row],[L5]],
IF(Table681620[[#This Row],[LEVEL]]="4",Table681620[[#This Row],[L4]],
IF(Table681620[[#This Row],[LEVEL]]="3",Table681620[[#This Row],[L3]],
IF(Table681620[[#This Row],[LEVEL]]="2",Table681620[[#This Row],[L2]],
IF(Table681620[[#This Row],[LEVEL]]="1",Table681620[[#This Row],[L1]],"")))))</f>
        <v>EXTERNAL WORKS</v>
      </c>
      <c r="U242" s="47"/>
      <c r="V242" s="72"/>
      <c r="W242" s="72"/>
      <c r="X242" s="48"/>
      <c r="Y242" s="50">
        <f>SUBTOTAL(9,Y243:Y249)</f>
        <v>0</v>
      </c>
      <c r="Z242" s="51"/>
      <c r="AA242" s="48"/>
      <c r="AB242" s="48"/>
      <c r="AC242" s="7"/>
      <c r="AD242" s="72"/>
      <c r="AE242" s="67"/>
      <c r="AF242" s="7"/>
      <c r="AG242" s="72"/>
      <c r="AH242" s="67"/>
      <c r="AI242" s="7"/>
      <c r="AJ242" s="72"/>
      <c r="AK242" s="67"/>
    </row>
    <row r="243" spans="1:37" x14ac:dyDescent="0.3">
      <c r="A243" s="43" t="str">
        <f>INDEX(Table_Numbering[L1],MATCH(Table681620[[#This Row],[L1]],Table_Numbering[L1 Description (Cost Area)],0))</f>
        <v>A</v>
      </c>
      <c r="B243" s="43" t="str">
        <f>IFERROR(INDEX(Table_Numbering[L2],MATCH(Table681620[[#This Row],[L2]],Table_Numbering[L2 Description (Area)],0)),"0")</f>
        <v>0</v>
      </c>
      <c r="C243" s="43" t="str">
        <f>IFERROR(INDEX(Table_Numbering[L3],MATCH(Table681620[[#This Row],[L3]],Table_Numbering[L3 Description (Sub Area)],0)),"0")</f>
        <v>13</v>
      </c>
      <c r="D243" s="43" t="str">
        <f>Table681620[[#This Row],[N1]]&amp;Table681620[[#This Row],[N2]]&amp;Table681620[[#This Row],[N3]]</f>
        <v>A013</v>
      </c>
      <c r="E243" s="43" t="str">
        <f>TEXT(COUNTIF(C$7:C241,Table681620[[#This Row],[N3]]),"00")</f>
        <v>20</v>
      </c>
      <c r="F243" s="43">
        <f>COUNTIFS(J$7:J243,J243,K$7:K243,K243,L$7:L243,L243,M$7:M243,M243)</f>
        <v>1</v>
      </c>
      <c r="G243" s="43" t="str">
        <f>TEXT(COUNTIFS(A$7:A243,A243,B$7:B243,B243,E$7:E243,E243,F$7:F243,1),"00")</f>
        <v>01</v>
      </c>
      <c r="H243" s="43" t="str">
        <f t="shared" si="8"/>
        <v>00</v>
      </c>
      <c r="I243" s="44" t="str">
        <f t="shared" si="9"/>
        <v>4</v>
      </c>
      <c r="J243" s="45" t="s">
        <v>38</v>
      </c>
      <c r="K243" s="45" t="s">
        <v>1400</v>
      </c>
      <c r="L243" s="45" t="s">
        <v>312</v>
      </c>
      <c r="M243" s="45" t="s">
        <v>1402</v>
      </c>
      <c r="N243" s="45"/>
      <c r="O24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A0.13.20</v>
      </c>
      <c r="P243" s="59" t="s">
        <v>480</v>
      </c>
      <c r="Q243" s="59" t="s">
        <v>78</v>
      </c>
      <c r="R243" s="59" t="s">
        <v>1401</v>
      </c>
      <c r="S243" s="59" t="s">
        <v>1930</v>
      </c>
      <c r="T243" s="58" t="str">
        <f>IF(Table681620[[#This Row],[LEVEL]]="5",Table681620[[#This Row],[L5]],
IF(Table681620[[#This Row],[LEVEL]]="4",Table681620[[#This Row],[L4]],
IF(Table681620[[#This Row],[LEVEL]]="3",Table681620[[#This Row],[L3]],
IF(Table681620[[#This Row],[LEVEL]]="2",Table681620[[#This Row],[L2]],
IF(Table681620[[#This Row],[LEVEL]]="1",Table681620[[#This Row],[L1]],"")))))</f>
        <v>Registry Parking Area</v>
      </c>
      <c r="U243" s="47" t="s">
        <v>246</v>
      </c>
      <c r="V243" s="72" t="s">
        <v>44</v>
      </c>
      <c r="W243" s="72"/>
      <c r="X243" s="48"/>
      <c r="Y243" s="62">
        <f>Table681620[[#This Row],[Qty]]*Table681620[[#This Row],[Rate]]</f>
        <v>0</v>
      </c>
      <c r="Z243" s="51"/>
      <c r="AA243" s="48" t="s">
        <v>581</v>
      </c>
      <c r="AB243" s="48" t="s">
        <v>1379</v>
      </c>
      <c r="AC243" s="7"/>
      <c r="AD243" s="72"/>
      <c r="AE243" s="67"/>
      <c r="AF243" s="7"/>
      <c r="AG243" s="72"/>
      <c r="AH243" s="67"/>
      <c r="AI243" s="7"/>
      <c r="AJ243" s="72"/>
      <c r="AK243" s="67"/>
    </row>
    <row r="244" spans="1:37" x14ac:dyDescent="0.3">
      <c r="A244" s="43" t="str">
        <f>INDEX(Table_Numbering[L1],MATCH(Table681620[[#This Row],[L1]],Table_Numbering[L1 Description (Cost Area)],0))</f>
        <v>A</v>
      </c>
      <c r="B244" s="43" t="str">
        <f>IFERROR(INDEX(Table_Numbering[L2],MATCH(Table681620[[#This Row],[L2]],Table_Numbering[L2 Description (Area)],0)),"0")</f>
        <v>0</v>
      </c>
      <c r="C244" s="43" t="str">
        <f>IFERROR(INDEX(Table_Numbering[L3],MATCH(Table681620[[#This Row],[L3]],Table_Numbering[L3 Description (Sub Area)],0)),"0")</f>
        <v>13</v>
      </c>
      <c r="D244" s="43" t="str">
        <f>Table681620[[#This Row],[N1]]&amp;Table681620[[#This Row],[N2]]&amp;Table681620[[#This Row],[N3]]</f>
        <v>A013</v>
      </c>
      <c r="E244" s="43" t="str">
        <f>TEXT(COUNTIF(C$7:C242,Table681620[[#This Row],[N3]]),"00")</f>
        <v>21</v>
      </c>
      <c r="F244" s="43">
        <f>COUNTIFS(J$7:J244,J244,K$7:K244,K244,L$7:L244,L244,M$7:M244,M244)</f>
        <v>1</v>
      </c>
      <c r="G244" s="43" t="str">
        <f>TEXT(COUNTIFS(A$7:A244,A244,B$7:B244,B244,E$7:E244,E244,F$7:F244,1),"00")</f>
        <v>01</v>
      </c>
      <c r="H244" s="43" t="str">
        <f t="shared" si="8"/>
        <v>00</v>
      </c>
      <c r="I244" s="44" t="str">
        <f t="shared" si="9"/>
        <v>4</v>
      </c>
      <c r="J244" s="45" t="s">
        <v>38</v>
      </c>
      <c r="K244" s="45" t="s">
        <v>1400</v>
      </c>
      <c r="L244" s="45" t="s">
        <v>312</v>
      </c>
      <c r="M244" s="45" t="s">
        <v>1403</v>
      </c>
      <c r="N244" s="45"/>
      <c r="O24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A0.13.21</v>
      </c>
      <c r="P244" s="59" t="s">
        <v>1352</v>
      </c>
      <c r="Q244" s="59" t="s">
        <v>78</v>
      </c>
      <c r="R244" s="59" t="s">
        <v>1401</v>
      </c>
      <c r="S244" s="59" t="s">
        <v>1931</v>
      </c>
      <c r="T244" s="58" t="str">
        <f>IF(Table681620[[#This Row],[LEVEL]]="5",Table681620[[#This Row],[L5]],
IF(Table681620[[#This Row],[LEVEL]]="4",Table681620[[#This Row],[L4]],
IF(Table681620[[#This Row],[LEVEL]]="3",Table681620[[#This Row],[L3]],
IF(Table681620[[#This Row],[LEVEL]]="2",Table681620[[#This Row],[L2]],
IF(Table681620[[#This Row],[LEVEL]]="1",Table681620[[#This Row],[L1]],"")))))</f>
        <v>Registry Footpaths &amp; Entry</v>
      </c>
      <c r="U244" s="47" t="s">
        <v>246</v>
      </c>
      <c r="V244" s="72" t="s">
        <v>44</v>
      </c>
      <c r="W244" s="72"/>
      <c r="X244" s="48"/>
      <c r="Y244" s="62">
        <f>Table681620[[#This Row],[Qty]]*Table681620[[#This Row],[Rate]]</f>
        <v>0</v>
      </c>
      <c r="Z244" s="51"/>
      <c r="AA244" s="48" t="s">
        <v>581</v>
      </c>
      <c r="AB244" s="48" t="s">
        <v>1383</v>
      </c>
      <c r="AC244" s="7"/>
      <c r="AD244" s="72"/>
      <c r="AE244" s="67"/>
      <c r="AF244" s="7"/>
      <c r="AG244" s="72"/>
      <c r="AH244" s="67"/>
      <c r="AI244" s="7"/>
      <c r="AJ244" s="72"/>
      <c r="AK244" s="67"/>
    </row>
    <row r="245" spans="1:37" x14ac:dyDescent="0.3">
      <c r="A245" s="43" t="str">
        <f>INDEX(Table_Numbering[L1],MATCH(Table681620[[#This Row],[L1]],Table_Numbering[L1 Description (Cost Area)],0))</f>
        <v>A</v>
      </c>
      <c r="B245" s="43" t="str">
        <f>IFERROR(INDEX(Table_Numbering[L2],MATCH(Table681620[[#This Row],[L2]],Table_Numbering[L2 Description (Area)],0)),"0")</f>
        <v>0</v>
      </c>
      <c r="C245" s="43" t="str">
        <f>IFERROR(INDEX(Table_Numbering[L3],MATCH(Table681620[[#This Row],[L3]],Table_Numbering[L3 Description (Sub Area)],0)),"0")</f>
        <v>13</v>
      </c>
      <c r="D245" s="43" t="str">
        <f>Table681620[[#This Row],[N1]]&amp;Table681620[[#This Row],[N2]]&amp;Table681620[[#This Row],[N3]]</f>
        <v>A013</v>
      </c>
      <c r="E245" s="43" t="str">
        <f>TEXT(COUNTIF(C$7:C243,Table681620[[#This Row],[N3]]),"00")</f>
        <v>22</v>
      </c>
      <c r="F245" s="43">
        <f>COUNTIFS(J$7:J245,J245,K$7:K245,K245,L$7:L245,L245,M$7:M245,M245)</f>
        <v>1</v>
      </c>
      <c r="G245" s="43" t="str">
        <f>TEXT(COUNTIFS(A$7:A245,A245,B$7:B245,B245,E$7:E245,E245,F$7:F245,1),"00")</f>
        <v>01</v>
      </c>
      <c r="H245" s="43" t="str">
        <f t="shared" si="8"/>
        <v>00</v>
      </c>
      <c r="I245" s="44" t="str">
        <f t="shared" si="9"/>
        <v>4</v>
      </c>
      <c r="J245" s="45" t="s">
        <v>38</v>
      </c>
      <c r="K245" s="45" t="s">
        <v>1400</v>
      </c>
      <c r="L245" s="45" t="s">
        <v>312</v>
      </c>
      <c r="M245" s="45" t="s">
        <v>1404</v>
      </c>
      <c r="N245" s="45"/>
      <c r="O24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A0.13.22</v>
      </c>
      <c r="P245" s="59" t="s">
        <v>1352</v>
      </c>
      <c r="Q245" s="59" t="s">
        <v>78</v>
      </c>
      <c r="R245" s="59" t="s">
        <v>1401</v>
      </c>
      <c r="S245" s="59" t="s">
        <v>1932</v>
      </c>
      <c r="T245" s="58" t="str">
        <f>IF(Table681620[[#This Row],[LEVEL]]="5",Table681620[[#This Row],[L5]],
IF(Table681620[[#This Row],[LEVEL]]="4",Table681620[[#This Row],[L4]],
IF(Table681620[[#This Row],[LEVEL]]="3",Table681620[[#This Row],[L3]],
IF(Table681620[[#This Row],[LEVEL]]="2",Table681620[[#This Row],[L2]],
IF(Table681620[[#This Row],[LEVEL]]="1",Table681620[[#This Row],[L1]],"")))))</f>
        <v>Registry Access Ramps (DDA)</v>
      </c>
      <c r="U245" s="47" t="s">
        <v>574</v>
      </c>
      <c r="V245" s="72" t="s">
        <v>44</v>
      </c>
      <c r="W245" s="72"/>
      <c r="X245" s="48"/>
      <c r="Y245" s="62">
        <f>Table681620[[#This Row],[Qty]]*Table681620[[#This Row],[Rate]]</f>
        <v>0</v>
      </c>
      <c r="Z245" s="51"/>
      <c r="AA245" s="48" t="s">
        <v>1357</v>
      </c>
      <c r="AB245" s="48" t="s">
        <v>1405</v>
      </c>
      <c r="AC245" s="7"/>
      <c r="AD245" s="72"/>
      <c r="AE245" s="67"/>
      <c r="AF245" s="7"/>
      <c r="AG245" s="72"/>
      <c r="AH245" s="67"/>
      <c r="AI245" s="7"/>
      <c r="AJ245" s="72"/>
      <c r="AK245" s="67"/>
    </row>
    <row r="246" spans="1:37" x14ac:dyDescent="0.3">
      <c r="A246" s="43" t="str">
        <f>INDEX(Table_Numbering[L1],MATCH(Table681620[[#This Row],[L1]],Table_Numbering[L1 Description (Cost Area)],0))</f>
        <v>A</v>
      </c>
      <c r="B246" s="43" t="str">
        <f>IFERROR(INDEX(Table_Numbering[L2],MATCH(Table681620[[#This Row],[L2]],Table_Numbering[L2 Description (Area)],0)),"0")</f>
        <v>0</v>
      </c>
      <c r="C246" s="43" t="str">
        <f>IFERROR(INDEX(Table_Numbering[L3],MATCH(Table681620[[#This Row],[L3]],Table_Numbering[L3 Description (Sub Area)],0)),"0")</f>
        <v>13</v>
      </c>
      <c r="D246" s="43" t="str">
        <f>Table681620[[#This Row],[N1]]&amp;Table681620[[#This Row],[N2]]&amp;Table681620[[#This Row],[N3]]</f>
        <v>A013</v>
      </c>
      <c r="E246" s="43" t="str">
        <f>TEXT(COUNTIF(C$7:C244,Table681620[[#This Row],[N3]]),"00")</f>
        <v>23</v>
      </c>
      <c r="F246" s="43">
        <f>COUNTIFS(J$7:J246,J246,K$7:K246,K246,L$7:L246,L246,M$7:M246,M246)</f>
        <v>1</v>
      </c>
      <c r="G246" s="43" t="str">
        <f>TEXT(COUNTIFS(A$7:A246,A246,B$7:B246,B246,E$7:E246,E246,F$7:F246,1),"00")</f>
        <v>01</v>
      </c>
      <c r="H246" s="43" t="str">
        <f t="shared" si="8"/>
        <v>00</v>
      </c>
      <c r="I246" s="44" t="str">
        <f t="shared" si="9"/>
        <v>4</v>
      </c>
      <c r="J246" s="45" t="s">
        <v>38</v>
      </c>
      <c r="K246" s="45" t="s">
        <v>1400</v>
      </c>
      <c r="L246" s="45" t="s">
        <v>312</v>
      </c>
      <c r="M246" s="45" t="s">
        <v>1406</v>
      </c>
      <c r="N246" s="45"/>
      <c r="O24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A0.13.23</v>
      </c>
      <c r="P246" s="59" t="s">
        <v>1397</v>
      </c>
      <c r="Q246" s="59" t="s">
        <v>78</v>
      </c>
      <c r="R246" s="59" t="s">
        <v>1300</v>
      </c>
      <c r="S246" s="59" t="s">
        <v>1933</v>
      </c>
      <c r="T246" s="58" t="str">
        <f>IF(Table681620[[#This Row],[LEVEL]]="5",Table681620[[#This Row],[L5]],
IF(Table681620[[#This Row],[LEVEL]]="4",Table681620[[#This Row],[L4]],
IF(Table681620[[#This Row],[LEVEL]]="3",Table681620[[#This Row],[L3]],
IF(Table681620[[#This Row],[LEVEL]]="2",Table681620[[#This Row],[L2]],
IF(Table681620[[#This Row],[LEVEL]]="1",Table681620[[#This Row],[L1]],"")))))</f>
        <v>Registry Landscaping - Hardscape</v>
      </c>
      <c r="U246" s="47" t="s">
        <v>246</v>
      </c>
      <c r="V246" s="72" t="s">
        <v>44</v>
      </c>
      <c r="W246" s="72"/>
      <c r="X246" s="48"/>
      <c r="Y246" s="62">
        <f>Table681620[[#This Row],[Qty]]*Table681620[[#This Row],[Rate]]</f>
        <v>0</v>
      </c>
      <c r="Z246" s="51"/>
      <c r="AA246" s="48" t="s">
        <v>581</v>
      </c>
      <c r="AB246" s="48" t="s">
        <v>1407</v>
      </c>
      <c r="AC246" s="7"/>
      <c r="AD246" s="72"/>
      <c r="AE246" s="67"/>
      <c r="AF246" s="7"/>
      <c r="AG246" s="72"/>
      <c r="AH246" s="67"/>
      <c r="AI246" s="7"/>
      <c r="AJ246" s="72"/>
      <c r="AK246" s="67"/>
    </row>
    <row r="247" spans="1:37" x14ac:dyDescent="0.3">
      <c r="A247" s="43" t="str">
        <f>INDEX(Table_Numbering[L1],MATCH(Table681620[[#This Row],[L1]],Table_Numbering[L1 Description (Cost Area)],0))</f>
        <v>A</v>
      </c>
      <c r="B247" s="43" t="str">
        <f>IFERROR(INDEX(Table_Numbering[L2],MATCH(Table681620[[#This Row],[L2]],Table_Numbering[L2 Description (Area)],0)),"0")</f>
        <v>0</v>
      </c>
      <c r="C247" s="43" t="str">
        <f>IFERROR(INDEX(Table_Numbering[L3],MATCH(Table681620[[#This Row],[L3]],Table_Numbering[L3 Description (Sub Area)],0)),"0")</f>
        <v>13</v>
      </c>
      <c r="D247" s="43" t="str">
        <f>Table681620[[#This Row],[N1]]&amp;Table681620[[#This Row],[N2]]&amp;Table681620[[#This Row],[N3]]</f>
        <v>A013</v>
      </c>
      <c r="E247" s="43" t="str">
        <f>TEXT(COUNTIF(C$7:C245,Table681620[[#This Row],[N3]]),"00")</f>
        <v>24</v>
      </c>
      <c r="F247" s="43">
        <f>COUNTIFS(J$7:J247,J247,K$7:K247,K247,L$7:L247,L247,M$7:M247,M247)</f>
        <v>1</v>
      </c>
      <c r="G247" s="43" t="str">
        <f>TEXT(COUNTIFS(A$7:A247,A247,B$7:B247,B247,E$7:E247,E247,F$7:F247,1),"00")</f>
        <v>01</v>
      </c>
      <c r="H247" s="43" t="str">
        <f t="shared" si="8"/>
        <v>00</v>
      </c>
      <c r="I247" s="44" t="str">
        <f t="shared" si="9"/>
        <v>4</v>
      </c>
      <c r="J247" s="45" t="s">
        <v>38</v>
      </c>
      <c r="K247" s="45" t="s">
        <v>1400</v>
      </c>
      <c r="L247" s="45" t="s">
        <v>312</v>
      </c>
      <c r="M247" s="45" t="s">
        <v>1408</v>
      </c>
      <c r="N247" s="45"/>
      <c r="O24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A0.13.24</v>
      </c>
      <c r="P247" s="59" t="s">
        <v>1368</v>
      </c>
      <c r="Q247" s="59" t="s">
        <v>78</v>
      </c>
      <c r="R247" s="59" t="s">
        <v>1300</v>
      </c>
      <c r="S247" s="59" t="s">
        <v>1934</v>
      </c>
      <c r="T247" s="58" t="str">
        <f>IF(Table681620[[#This Row],[LEVEL]]="5",Table681620[[#This Row],[L5]],
IF(Table681620[[#This Row],[LEVEL]]="4",Table681620[[#This Row],[L4]],
IF(Table681620[[#This Row],[LEVEL]]="3",Table681620[[#This Row],[L3]],
IF(Table681620[[#This Row],[LEVEL]]="2",Table681620[[#This Row],[L2]],
IF(Table681620[[#This Row],[LEVEL]]="1",Table681620[[#This Row],[L1]],"")))))</f>
        <v>Registry Landscaping - Softscape</v>
      </c>
      <c r="U247" s="47" t="s">
        <v>246</v>
      </c>
      <c r="V247" s="72" t="s">
        <v>44</v>
      </c>
      <c r="W247" s="72"/>
      <c r="X247" s="48"/>
      <c r="Y247" s="62">
        <f>Table681620[[#This Row],[Qty]]*Table681620[[#This Row],[Rate]]</f>
        <v>0</v>
      </c>
      <c r="Z247" s="51"/>
      <c r="AA247" s="48" t="s">
        <v>581</v>
      </c>
      <c r="AB247" s="48" t="s">
        <v>1409</v>
      </c>
      <c r="AC247" s="7"/>
      <c r="AD247" s="72"/>
      <c r="AE247" s="67"/>
      <c r="AF247" s="7"/>
      <c r="AG247" s="72"/>
      <c r="AH247" s="67"/>
      <c r="AI247" s="7"/>
      <c r="AJ247" s="72"/>
      <c r="AK247" s="67"/>
    </row>
    <row r="248" spans="1:37" x14ac:dyDescent="0.3">
      <c r="A248" s="43" t="str">
        <f>INDEX(Table_Numbering[L1],MATCH(Table681620[[#This Row],[L1]],Table_Numbering[L1 Description (Cost Area)],0))</f>
        <v>A</v>
      </c>
      <c r="B248" s="43" t="str">
        <f>IFERROR(INDEX(Table_Numbering[L2],MATCH(Table681620[[#This Row],[L2]],Table_Numbering[L2 Description (Area)],0)),"0")</f>
        <v>0</v>
      </c>
      <c r="C248" s="43" t="str">
        <f>IFERROR(INDEX(Table_Numbering[L3],MATCH(Table681620[[#This Row],[L3]],Table_Numbering[L3 Description (Sub Area)],0)),"0")</f>
        <v>13</v>
      </c>
      <c r="D248" s="43" t="str">
        <f>Table681620[[#This Row],[N1]]&amp;Table681620[[#This Row],[N2]]&amp;Table681620[[#This Row],[N3]]</f>
        <v>A013</v>
      </c>
      <c r="E248" s="43" t="str">
        <f>TEXT(COUNTIF(C$7:C246,Table681620[[#This Row],[N3]]),"00")</f>
        <v>25</v>
      </c>
      <c r="F248" s="43">
        <f>COUNTIFS(J$7:J248,J248,K$7:K248,K248,L$7:L248,L248,M$7:M248,M248)</f>
        <v>1</v>
      </c>
      <c r="G248" s="43" t="str">
        <f>TEXT(COUNTIFS(A$7:A248,A248,B$7:B248,B248,E$7:E248,E248,F$7:F248,1),"00")</f>
        <v>01</v>
      </c>
      <c r="H248" s="43" t="str">
        <f t="shared" si="8"/>
        <v>00</v>
      </c>
      <c r="I248" s="44" t="str">
        <f t="shared" si="9"/>
        <v>4</v>
      </c>
      <c r="J248" s="45" t="s">
        <v>38</v>
      </c>
      <c r="K248" s="45" t="s">
        <v>1400</v>
      </c>
      <c r="L248" s="45" t="s">
        <v>312</v>
      </c>
      <c r="M248" s="45" t="s">
        <v>1410</v>
      </c>
      <c r="N248" s="45"/>
      <c r="O24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A0.13.25</v>
      </c>
      <c r="P248" s="59" t="s">
        <v>350</v>
      </c>
      <c r="Q248" s="59" t="s">
        <v>78</v>
      </c>
      <c r="R248" s="59" t="s">
        <v>532</v>
      </c>
      <c r="S248" s="59" t="s">
        <v>1935</v>
      </c>
      <c r="T248" s="58" t="str">
        <f>IF(Table681620[[#This Row],[LEVEL]]="5",Table681620[[#This Row],[L5]],
IF(Table681620[[#This Row],[LEVEL]]="4",Table681620[[#This Row],[L4]],
IF(Table681620[[#This Row],[LEVEL]]="3",Table681620[[#This Row],[L3]],
IF(Table681620[[#This Row],[LEVEL]]="2",Table681620[[#This Row],[L2]],
IF(Table681620[[#This Row],[LEVEL]]="1",Table681620[[#This Row],[L1]],"")))))</f>
        <v>Registry External Lighting</v>
      </c>
      <c r="U248" s="47" t="s">
        <v>574</v>
      </c>
      <c r="V248" s="72" t="s">
        <v>44</v>
      </c>
      <c r="W248" s="72"/>
      <c r="X248" s="48"/>
      <c r="Y248" s="62">
        <f>Table681620[[#This Row],[Qty]]*Table681620[[#This Row],[Rate]]</f>
        <v>0</v>
      </c>
      <c r="Z248" s="51"/>
      <c r="AA248" s="48" t="s">
        <v>1395</v>
      </c>
      <c r="AB248" s="48" t="s">
        <v>1396</v>
      </c>
      <c r="AC248" s="7"/>
      <c r="AD248" s="72"/>
      <c r="AE248" s="67"/>
      <c r="AF248" s="7"/>
      <c r="AG248" s="72"/>
      <c r="AH248" s="67"/>
      <c r="AI248" s="7"/>
      <c r="AJ248" s="72"/>
      <c r="AK248" s="67"/>
    </row>
    <row r="249" spans="1:37" x14ac:dyDescent="0.3">
      <c r="A249" s="43" t="str">
        <f>INDEX(Table_Numbering[L1],MATCH(Table681620[[#This Row],[L1]],Table_Numbering[L1 Description (Cost Area)],0))</f>
        <v>A</v>
      </c>
      <c r="B249" s="43" t="str">
        <f>IFERROR(INDEX(Table_Numbering[L2],MATCH(Table681620[[#This Row],[L2]],Table_Numbering[L2 Description (Area)],0)),"0")</f>
        <v>0</v>
      </c>
      <c r="C249" s="43" t="str">
        <f>IFERROR(INDEX(Table_Numbering[L3],MATCH(Table681620[[#This Row],[L3]],Table_Numbering[L3 Description (Sub Area)],0)),"0")</f>
        <v>13</v>
      </c>
      <c r="D249" s="43" t="str">
        <f>Table681620[[#This Row],[N1]]&amp;Table681620[[#This Row],[N2]]&amp;Table681620[[#This Row],[N3]]</f>
        <v>A013</v>
      </c>
      <c r="E249" s="43" t="str">
        <f>TEXT(COUNTIF(C$7:C247,Table681620[[#This Row],[N3]]),"00")</f>
        <v>26</v>
      </c>
      <c r="F249" s="43">
        <f>COUNTIFS(J$7:J249,J249,K$7:K249,K249,L$7:L249,L249,M$7:M249,M249)</f>
        <v>1</v>
      </c>
      <c r="G249" s="43" t="str">
        <f>TEXT(COUNTIFS(A$7:A249,A249,B$7:B249,B249,E$7:E249,E249,F$7:F249,1),"00")</f>
        <v>01</v>
      </c>
      <c r="H249" s="43" t="str">
        <f t="shared" si="8"/>
        <v>00</v>
      </c>
      <c r="I249" s="44" t="str">
        <f t="shared" si="9"/>
        <v>4</v>
      </c>
      <c r="J249" s="45" t="s">
        <v>38</v>
      </c>
      <c r="K249" s="45" t="s">
        <v>1400</v>
      </c>
      <c r="L249" s="45" t="s">
        <v>312</v>
      </c>
      <c r="M249" s="45" t="s">
        <v>1411</v>
      </c>
      <c r="N249" s="45"/>
      <c r="O24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A0.13.26</v>
      </c>
      <c r="P249" s="59" t="s">
        <v>1358</v>
      </c>
      <c r="Q249" s="59" t="s">
        <v>78</v>
      </c>
      <c r="R249" s="59" t="s">
        <v>1300</v>
      </c>
      <c r="S249" s="59" t="s">
        <v>1936</v>
      </c>
      <c r="T249" s="58" t="str">
        <f>IF(Table681620[[#This Row],[LEVEL]]="5",Table681620[[#This Row],[L5]],
IF(Table681620[[#This Row],[LEVEL]]="4",Table681620[[#This Row],[L4]],
IF(Table681620[[#This Row],[LEVEL]]="3",Table681620[[#This Row],[L3]],
IF(Table681620[[#This Row],[LEVEL]]="2",Table681620[[#This Row],[L2]],
IF(Table681620[[#This Row],[LEVEL]]="1",Table681620[[#This Row],[L1]],"")))))</f>
        <v>Registry Perimeter Works</v>
      </c>
      <c r="U249" s="47" t="s">
        <v>62</v>
      </c>
      <c r="V249" s="72" t="s">
        <v>44</v>
      </c>
      <c r="W249" s="72">
        <v>1</v>
      </c>
      <c r="X249" s="48"/>
      <c r="Y249" s="62">
        <f>Table681620[[#This Row],[Qty]]*Table681620[[#This Row],[Rate]]</f>
        <v>0</v>
      </c>
      <c r="Z249" s="51"/>
      <c r="AA249" s="48" t="s">
        <v>356</v>
      </c>
      <c r="AB249" s="48" t="s">
        <v>1412</v>
      </c>
      <c r="AC249" s="7"/>
      <c r="AD249" s="72"/>
      <c r="AE249" s="67"/>
      <c r="AF249" s="7"/>
      <c r="AG249" s="72"/>
      <c r="AH249" s="67"/>
      <c r="AI249" s="7"/>
      <c r="AJ249" s="72"/>
      <c r="AK249" s="67"/>
    </row>
    <row r="250" spans="1:37" x14ac:dyDescent="0.3">
      <c r="A250" s="43" t="str">
        <f>INDEX(Table_Numbering[L1],MATCH(Table681620[[#This Row],[L1]],Table_Numbering[L1 Description (Cost Area)],0))</f>
        <v>A</v>
      </c>
      <c r="B250" s="43" t="str">
        <f>IFERROR(INDEX(Table_Numbering[L2],MATCH(Table681620[[#This Row],[L2]],Table_Numbering[L2 Description (Area)],0)),"0")</f>
        <v>5</v>
      </c>
      <c r="C250" s="43" t="str">
        <f>IFERROR(INDEX(Table_Numbering[L3],MATCH(Table681620[[#This Row],[L3]],Table_Numbering[L3 Description (Sub Area)],0)),"0")</f>
        <v>0</v>
      </c>
      <c r="D250" s="43" t="str">
        <f>Table681620[[#This Row],[N1]]&amp;Table681620[[#This Row],[N2]]&amp;Table681620[[#This Row],[N3]]</f>
        <v>A50</v>
      </c>
      <c r="E250" s="43" t="str">
        <f>TEXT(COUNTIF(C$7:C248,Table681620[[#This Row],[N3]]),"00")</f>
        <v>06</v>
      </c>
      <c r="F250" s="43">
        <f>COUNTIFS(J$7:J250,J250,K$7:K250,K250,L$7:L250,L250,M$7:M250,M250)</f>
        <v>0</v>
      </c>
      <c r="G250" s="43" t="str">
        <f>TEXT(COUNTIFS(A$7:A250,A250,B$7:B250,B250,E$7:E250,E250,F$7:F250,1),"00")</f>
        <v>00</v>
      </c>
      <c r="H250" s="43" t="str">
        <f t="shared" si="8"/>
        <v>00</v>
      </c>
      <c r="I250" s="44" t="str">
        <f t="shared" si="9"/>
        <v>2</v>
      </c>
      <c r="J250" s="45" t="s">
        <v>38</v>
      </c>
      <c r="K250" s="45" t="s">
        <v>743</v>
      </c>
      <c r="L250" s="45"/>
      <c r="M250" s="45"/>
      <c r="N250" s="45"/>
      <c r="O25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A5</v>
      </c>
      <c r="P250" s="59"/>
      <c r="Q250" s="59"/>
      <c r="R250" s="59"/>
      <c r="S250" s="59"/>
      <c r="T250" s="46" t="str">
        <f>IF(Table681620[[#This Row],[LEVEL]]="5",Table681620[[#This Row],[L5]],
IF(Table681620[[#This Row],[LEVEL]]="4",Table681620[[#This Row],[L4]],
IF(Table681620[[#This Row],[LEVEL]]="3",Table681620[[#This Row],[L3]],
IF(Table681620[[#This Row],[LEVEL]]="2",Table681620[[#This Row],[L2]],
IF(Table681620[[#This Row],[LEVEL]]="1",Table681620[[#This Row],[L1]],"")))))</f>
        <v>WORKSHOP BUILDING</v>
      </c>
      <c r="U250" s="47"/>
      <c r="V250" s="72"/>
      <c r="W250" s="72"/>
      <c r="X250" s="48"/>
      <c r="Y250" s="50">
        <f>SUBTOTAL(9,Y251:Y271)</f>
        <v>0</v>
      </c>
      <c r="Z250" s="51"/>
      <c r="AA250" s="48"/>
      <c r="AB250" s="48"/>
      <c r="AC250" s="7"/>
      <c r="AD250" s="72"/>
      <c r="AE250" s="67"/>
      <c r="AF250" s="7"/>
      <c r="AG250" s="72"/>
      <c r="AH250" s="67"/>
      <c r="AI250" s="7"/>
      <c r="AJ250" s="72"/>
      <c r="AK250" s="67"/>
    </row>
    <row r="251" spans="1:37" x14ac:dyDescent="0.3">
      <c r="A251" s="43" t="str">
        <f>INDEX(Table_Numbering[L1],MATCH(Table681620[[#This Row],[L1]],Table_Numbering[L1 Description (Cost Area)],0))</f>
        <v>A</v>
      </c>
      <c r="B251" s="43" t="str">
        <f>IFERROR(INDEX(Table_Numbering[L2],MATCH(Table681620[[#This Row],[L2]],Table_Numbering[L2 Description (Area)],0)),"0")</f>
        <v>5</v>
      </c>
      <c r="C251" s="43" t="str">
        <f>IFERROR(INDEX(Table_Numbering[L3],MATCH(Table681620[[#This Row],[L3]],Table_Numbering[L3 Description (Sub Area)],0)),"0")</f>
        <v>01</v>
      </c>
      <c r="D251" s="43" t="str">
        <f>Table681620[[#This Row],[N1]]&amp;Table681620[[#This Row],[N2]]&amp;Table681620[[#This Row],[N3]]</f>
        <v>A501</v>
      </c>
      <c r="E251" s="43" t="str">
        <f>TEXT(COUNTIF(C$7:C249,Table681620[[#This Row],[N3]]),"00")</f>
        <v>47</v>
      </c>
      <c r="F251" s="43">
        <f>COUNTIFS(J$7:J251,J251,K$7:K251,K251,L$7:L251,L251,M$7:M251,M251)</f>
        <v>0</v>
      </c>
      <c r="G251" s="43" t="str">
        <f>TEXT(COUNTIFS(A$7:A251,A251,B$7:B251,B251,E$7:E251,E251,F$7:F251,1),"00")</f>
        <v>00</v>
      </c>
      <c r="H251" s="43" t="str">
        <f t="shared" si="8"/>
        <v>00</v>
      </c>
      <c r="I251" s="44" t="str">
        <f t="shared" si="9"/>
        <v>3</v>
      </c>
      <c r="J251" s="75" t="s">
        <v>38</v>
      </c>
      <c r="K251" s="45" t="s">
        <v>743</v>
      </c>
      <c r="L251" s="45" t="s">
        <v>557</v>
      </c>
      <c r="M251" s="45"/>
      <c r="N251" s="45"/>
      <c r="O25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A5.01</v>
      </c>
      <c r="P251" s="59"/>
      <c r="Q251" s="59"/>
      <c r="R251" s="59"/>
      <c r="S251" s="59"/>
      <c r="T251" s="55" t="str">
        <f>IF(Table681620[[#This Row],[LEVEL]]="5",Table681620[[#This Row],[L5]],
IF(Table681620[[#This Row],[LEVEL]]="4",Table681620[[#This Row],[L4]],
IF(Table681620[[#This Row],[LEVEL]]="3",Table681620[[#This Row],[L3]],
IF(Table681620[[#This Row],[LEVEL]]="2",Table681620[[#This Row],[L2]],
IF(Table681620[[#This Row],[LEVEL]]="1",Table681620[[#This Row],[L1]],"")))))</f>
        <v>DEMOLITION</v>
      </c>
      <c r="U251" s="47"/>
      <c r="V251" s="72"/>
      <c r="W251" s="59"/>
      <c r="X251" s="48"/>
      <c r="Y251" s="50">
        <f>SUBTOTAL(9,Y252)</f>
        <v>0</v>
      </c>
      <c r="Z251" s="51"/>
      <c r="AA251" s="48"/>
      <c r="AB251" s="48"/>
      <c r="AC251" s="7"/>
    </row>
    <row r="252" spans="1:37" x14ac:dyDescent="0.3">
      <c r="A252" s="43" t="str">
        <f>INDEX(Table_Numbering[L1],MATCH(Table681620[[#This Row],[L1]],Table_Numbering[L1 Description (Cost Area)],0))</f>
        <v>A</v>
      </c>
      <c r="B252" s="43" t="str">
        <f>IFERROR(INDEX(Table_Numbering[L2],MATCH(Table681620[[#This Row],[L2]],Table_Numbering[L2 Description (Area)],0)),"0")</f>
        <v>5</v>
      </c>
      <c r="C252" s="43" t="str">
        <f>IFERROR(INDEX(Table_Numbering[L3],MATCH(Table681620[[#This Row],[L3]],Table_Numbering[L3 Description (Sub Area)],0)),"0")</f>
        <v>01</v>
      </c>
      <c r="D252" s="43" t="str">
        <f>Table681620[[#This Row],[N1]]&amp;Table681620[[#This Row],[N2]]&amp;Table681620[[#This Row],[N3]]</f>
        <v>A501</v>
      </c>
      <c r="E252" s="43" t="str">
        <f>TEXT(COUNTIF(C$7:C250,Table681620[[#This Row],[N3]]),"00")</f>
        <v>47</v>
      </c>
      <c r="F252" s="43">
        <f>COUNTIFS(J$7:J252,J252,K$7:K252,K252,L$7:L252,L252,M$7:M252,M252)</f>
        <v>1</v>
      </c>
      <c r="G252" s="43" t="str">
        <f>TEXT(COUNTIFS(A$7:A252,A252,B$7:B252,B252,E$7:E252,E252,F$7:F252,1),"00")</f>
        <v>01</v>
      </c>
      <c r="H252" s="43" t="str">
        <f t="shared" si="8"/>
        <v>00</v>
      </c>
      <c r="I252" s="44" t="str">
        <f t="shared" si="9"/>
        <v>4</v>
      </c>
      <c r="J252" s="75" t="s">
        <v>38</v>
      </c>
      <c r="K252" s="45" t="s">
        <v>743</v>
      </c>
      <c r="L252" s="45" t="s">
        <v>557</v>
      </c>
      <c r="M252" s="45" t="s">
        <v>745</v>
      </c>
      <c r="N252" s="45"/>
      <c r="O25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A5.01.47</v>
      </c>
      <c r="P252" s="59" t="s">
        <v>426</v>
      </c>
      <c r="Q252" s="59" t="s">
        <v>345</v>
      </c>
      <c r="R252" s="59" t="s">
        <v>438</v>
      </c>
      <c r="S252" s="59" t="s">
        <v>1937</v>
      </c>
      <c r="T252" s="58" t="str">
        <f>IF(Table681620[[#This Row],[LEVEL]]="5",Table681620[[#This Row],[L5]],
IF(Table681620[[#This Row],[LEVEL]]="4",Table681620[[#This Row],[L4]],
IF(Table681620[[#This Row],[LEVEL]]="3",Table681620[[#This Row],[L3]],
IF(Table681620[[#This Row],[LEVEL]]="2",Table681620[[#This Row],[L2]],
IF(Table681620[[#This Row],[LEVEL]]="1",Table681620[[#This Row],[L1]],"")))))</f>
        <v>Strip Out &amp; Hazmat Removal</v>
      </c>
      <c r="U252" s="47" t="s">
        <v>62</v>
      </c>
      <c r="V252" s="72" t="s">
        <v>44</v>
      </c>
      <c r="W252" s="59">
        <v>1</v>
      </c>
      <c r="X252" s="48"/>
      <c r="Y252" s="62">
        <f>Table681620[[#This Row],[Qty]]*Table681620[[#This Row],[Rate]]</f>
        <v>0</v>
      </c>
      <c r="Z252" s="51"/>
      <c r="AA252" s="48" t="s">
        <v>79</v>
      </c>
      <c r="AB252" s="48" t="s">
        <v>720</v>
      </c>
      <c r="AC252" s="7"/>
    </row>
    <row r="253" spans="1:37" x14ac:dyDescent="0.3">
      <c r="A253" s="43" t="str">
        <f>INDEX(Table_Numbering[L1],MATCH(Table681620[[#This Row],[L1]],Table_Numbering[L1 Description (Cost Area)],0))</f>
        <v>A</v>
      </c>
      <c r="B253" s="43" t="str">
        <f>IFERROR(INDEX(Table_Numbering[L2],MATCH(Table681620[[#This Row],[L2]],Table_Numbering[L2 Description (Area)],0)),"0")</f>
        <v>5</v>
      </c>
      <c r="C253" s="43" t="str">
        <f>IFERROR(INDEX(Table_Numbering[L3],MATCH(Table681620[[#This Row],[L3]],Table_Numbering[L3 Description (Sub Area)],0)),"0")</f>
        <v>02</v>
      </c>
      <c r="D253" s="43" t="str">
        <f>Table681620[[#This Row],[N1]]&amp;Table681620[[#This Row],[N2]]&amp;Table681620[[#This Row],[N3]]</f>
        <v>A502</v>
      </c>
      <c r="E253" s="43" t="str">
        <f>TEXT(COUNTIF(C$7:C251,Table681620[[#This Row],[N3]]),"00")</f>
        <v>24</v>
      </c>
      <c r="F253" s="43">
        <f>COUNTIFS(J$7:J253,J253,K$7:K253,K253,L$7:L253,L253,M$7:M253,M253)</f>
        <v>0</v>
      </c>
      <c r="G253" s="43" t="str">
        <f>TEXT(COUNTIFS(A$7:A253,A253,B$7:B253,B253,E$7:E253,E253,F$7:F253,1),"00")</f>
        <v>00</v>
      </c>
      <c r="H253" s="43" t="str">
        <f t="shared" si="8"/>
        <v>00</v>
      </c>
      <c r="I253" s="44" t="str">
        <f t="shared" si="9"/>
        <v>3</v>
      </c>
      <c r="J253" s="75" t="s">
        <v>38</v>
      </c>
      <c r="K253" s="45" t="s">
        <v>743</v>
      </c>
      <c r="L253" s="45" t="s">
        <v>568</v>
      </c>
      <c r="M253" s="45"/>
      <c r="N253" s="45"/>
      <c r="O25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A5.02</v>
      </c>
      <c r="P253" s="59"/>
      <c r="Q253" s="59"/>
      <c r="R253" s="59"/>
      <c r="S253" s="59"/>
      <c r="T253" s="55" t="str">
        <f>IF(Table681620[[#This Row],[LEVEL]]="5",Table681620[[#This Row],[L5]],
IF(Table681620[[#This Row],[LEVEL]]="4",Table681620[[#This Row],[L4]],
IF(Table681620[[#This Row],[LEVEL]]="3",Table681620[[#This Row],[L3]],
IF(Table681620[[#This Row],[LEVEL]]="2",Table681620[[#This Row],[L2]],
IF(Table681620[[#This Row],[LEVEL]]="1",Table681620[[#This Row],[L1]],"")))))</f>
        <v>STRUCTURE</v>
      </c>
      <c r="U253" s="47"/>
      <c r="V253" s="72"/>
      <c r="W253" s="59"/>
      <c r="X253" s="48"/>
      <c r="Y253" s="50">
        <f>SUBTOTAL(9,Y254:Y255)</f>
        <v>0</v>
      </c>
      <c r="Z253" s="51"/>
      <c r="AA253" s="48"/>
      <c r="AB253" s="48"/>
      <c r="AC253" s="7"/>
    </row>
    <row r="254" spans="1:37" x14ac:dyDescent="0.3">
      <c r="A254" s="43" t="str">
        <f>INDEX(Table_Numbering[L1],MATCH(Table681620[[#This Row],[L1]],Table_Numbering[L1 Description (Cost Area)],0))</f>
        <v>A</v>
      </c>
      <c r="B254" s="43" t="str">
        <f>IFERROR(INDEX(Table_Numbering[L2],MATCH(Table681620[[#This Row],[L2]],Table_Numbering[L2 Description (Area)],0)),"0")</f>
        <v>5</v>
      </c>
      <c r="C254" s="43" t="str">
        <f>IFERROR(INDEX(Table_Numbering[L3],MATCH(Table681620[[#This Row],[L3]],Table_Numbering[L3 Description (Sub Area)],0)),"0")</f>
        <v>02</v>
      </c>
      <c r="D254" s="43" t="str">
        <f>Table681620[[#This Row],[N1]]&amp;Table681620[[#This Row],[N2]]&amp;Table681620[[#This Row],[N3]]</f>
        <v>A502</v>
      </c>
      <c r="E254" s="43" t="str">
        <f>TEXT(COUNTIF(C$7:C252,Table681620[[#This Row],[N3]]),"00")</f>
        <v>24</v>
      </c>
      <c r="F254" s="43">
        <f>COUNTIFS(J$7:J254,J254,K$7:K254,K254,L$7:L254,L254,M$7:M254,M254)</f>
        <v>1</v>
      </c>
      <c r="G254" s="43" t="str">
        <f>TEXT(COUNTIFS(A$7:A254,A254,B$7:B254,B254,E$7:E254,E254,F$7:F254,1),"00")</f>
        <v>01</v>
      </c>
      <c r="H254" s="43" t="str">
        <f t="shared" si="8"/>
        <v>00</v>
      </c>
      <c r="I254" s="44" t="str">
        <f t="shared" si="9"/>
        <v>4</v>
      </c>
      <c r="J254" s="75" t="s">
        <v>38</v>
      </c>
      <c r="K254" s="45" t="s">
        <v>743</v>
      </c>
      <c r="L254" s="45" t="s">
        <v>568</v>
      </c>
      <c r="M254" s="45" t="s">
        <v>746</v>
      </c>
      <c r="N254" s="45"/>
      <c r="O25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A5.02.24</v>
      </c>
      <c r="P254" s="59" t="s">
        <v>330</v>
      </c>
      <c r="Q254" s="59" t="s">
        <v>78</v>
      </c>
      <c r="R254" s="59" t="s">
        <v>431</v>
      </c>
      <c r="S254" s="59" t="s">
        <v>1938</v>
      </c>
      <c r="T254" s="58" t="str">
        <f>IF(Table681620[[#This Row],[LEVEL]]="5",Table681620[[#This Row],[L5]],
IF(Table681620[[#This Row],[LEVEL]]="4",Table681620[[#This Row],[L4]],
IF(Table681620[[#This Row],[LEVEL]]="3",Table681620[[#This Row],[L3]],
IF(Table681620[[#This Row],[LEVEL]]="2",Table681620[[#This Row],[L2]],
IF(Table681620[[#This Row],[LEVEL]]="1",Table681620[[#This Row],[L1]],"")))))</f>
        <v>Structural Assessment &amp; Repairs Package</v>
      </c>
      <c r="U254" s="47" t="s">
        <v>62</v>
      </c>
      <c r="V254" s="72" t="s">
        <v>44</v>
      </c>
      <c r="W254" s="59">
        <v>1</v>
      </c>
      <c r="X254" s="48"/>
      <c r="Y254" s="62">
        <f>Table681620[[#This Row],[Qty]]*Table681620[[#This Row],[Rate]]</f>
        <v>0</v>
      </c>
      <c r="Z254" s="51"/>
      <c r="AA254" s="48" t="s">
        <v>79</v>
      </c>
      <c r="AB254" s="48" t="s">
        <v>747</v>
      </c>
      <c r="AC254" s="7"/>
    </row>
    <row r="255" spans="1:37" x14ac:dyDescent="0.3">
      <c r="A255" s="43" t="str">
        <f>INDEX(Table_Numbering[L1],MATCH(Table681620[[#This Row],[L1]],Table_Numbering[L1 Description (Cost Area)],0))</f>
        <v>A</v>
      </c>
      <c r="B255" s="43" t="str">
        <f>IFERROR(INDEX(Table_Numbering[L2],MATCH(Table681620[[#This Row],[L2]],Table_Numbering[L2 Description (Area)],0)),"0")</f>
        <v>5</v>
      </c>
      <c r="C255" s="43" t="str">
        <f>IFERROR(INDEX(Table_Numbering[L3],MATCH(Table681620[[#This Row],[L3]],Table_Numbering[L3 Description (Sub Area)],0)),"0")</f>
        <v>02</v>
      </c>
      <c r="D255" s="43" t="str">
        <f>Table681620[[#This Row],[N1]]&amp;Table681620[[#This Row],[N2]]&amp;Table681620[[#This Row],[N3]]</f>
        <v>A502</v>
      </c>
      <c r="E255" s="43" t="str">
        <f>TEXT(COUNTIF(C$7:C253,Table681620[[#This Row],[N3]]),"00")</f>
        <v>25</v>
      </c>
      <c r="F255" s="43">
        <f>COUNTIFS(J$7:J255,J255,K$7:K255,K255,L$7:L255,L255,M$7:M255,M255)</f>
        <v>1</v>
      </c>
      <c r="G255" s="43" t="str">
        <f>TEXT(COUNTIFS(A$7:A255,A255,B$7:B255,B255,E$7:E255,E255,F$7:F255,1),"00")</f>
        <v>01</v>
      </c>
      <c r="H255" s="43" t="str">
        <f t="shared" si="8"/>
        <v>00</v>
      </c>
      <c r="I255" s="44" t="str">
        <f t="shared" si="9"/>
        <v>4</v>
      </c>
      <c r="J255" s="75" t="s">
        <v>38</v>
      </c>
      <c r="K255" s="45" t="s">
        <v>743</v>
      </c>
      <c r="L255" s="45" t="s">
        <v>568</v>
      </c>
      <c r="M255" s="45" t="s">
        <v>726</v>
      </c>
      <c r="N255" s="45"/>
      <c r="O25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A5.02.25</v>
      </c>
      <c r="P255" s="59" t="s">
        <v>348</v>
      </c>
      <c r="Q255" s="59" t="s">
        <v>78</v>
      </c>
      <c r="R255" s="59" t="s">
        <v>748</v>
      </c>
      <c r="S255" s="59" t="s">
        <v>1920</v>
      </c>
      <c r="T255" s="58" t="str">
        <f>IF(Table681620[[#This Row],[LEVEL]]="5",Table681620[[#This Row],[L5]],
IF(Table681620[[#This Row],[LEVEL]]="4",Table681620[[#This Row],[L4]],
IF(Table681620[[#This Row],[LEVEL]]="3",Table681620[[#This Row],[L3]],
IF(Table681620[[#This Row],[LEVEL]]="2",Table681620[[#This Row],[L2]],
IF(Table681620[[#This Row],[LEVEL]]="1",Table681620[[#This Row],[L1]],"")))))</f>
        <v>Roof Refurbishment Package</v>
      </c>
      <c r="U255" s="47" t="s">
        <v>62</v>
      </c>
      <c r="V255" s="72" t="s">
        <v>44</v>
      </c>
      <c r="W255" s="59">
        <v>1</v>
      </c>
      <c r="X255" s="48"/>
      <c r="Y255" s="62">
        <f>Table681620[[#This Row],[Qty]]*Table681620[[#This Row],[Rate]]</f>
        <v>0</v>
      </c>
      <c r="Z255" s="51"/>
      <c r="AA255" s="48" t="s">
        <v>79</v>
      </c>
      <c r="AB255" s="48" t="s">
        <v>749</v>
      </c>
      <c r="AC255" s="7"/>
    </row>
    <row r="256" spans="1:37" x14ac:dyDescent="0.3">
      <c r="A256" s="43" t="str">
        <f>INDEX(Table_Numbering[L1],MATCH(Table681620[[#This Row],[L1]],Table_Numbering[L1 Description (Cost Area)],0))</f>
        <v>A</v>
      </c>
      <c r="B256" s="43" t="str">
        <f>IFERROR(INDEX(Table_Numbering[L2],MATCH(Table681620[[#This Row],[L2]],Table_Numbering[L2 Description (Area)],0)),"0")</f>
        <v>5</v>
      </c>
      <c r="C256" s="43" t="str">
        <f>IFERROR(INDEX(Table_Numbering[L3],MATCH(Table681620[[#This Row],[L3]],Table_Numbering[L3 Description (Sub Area)],0)),"0")</f>
        <v>04</v>
      </c>
      <c r="D256" s="43" t="str">
        <f>Table681620[[#This Row],[N1]]&amp;Table681620[[#This Row],[N2]]&amp;Table681620[[#This Row],[N3]]</f>
        <v>A504</v>
      </c>
      <c r="E256" s="43" t="str">
        <f>TEXT(COUNTIF(C$7:C254,Table681620[[#This Row],[N3]]),"00")</f>
        <v>22</v>
      </c>
      <c r="F256" s="43">
        <f>COUNTIFS(J$7:J256,J256,K$7:K256,K256,L$7:L256,L256,M$7:M256,M256)</f>
        <v>0</v>
      </c>
      <c r="G256" s="43" t="str">
        <f>TEXT(COUNTIFS(A$7:A256,A256,B$7:B256,B256,E$7:E256,E256,F$7:F256,1),"00")</f>
        <v>00</v>
      </c>
      <c r="H256" s="43" t="str">
        <f t="shared" si="8"/>
        <v>00</v>
      </c>
      <c r="I256" s="44" t="str">
        <f t="shared" si="9"/>
        <v>3</v>
      </c>
      <c r="J256" s="75" t="s">
        <v>38</v>
      </c>
      <c r="K256" s="45" t="s">
        <v>743</v>
      </c>
      <c r="L256" s="45" t="s">
        <v>728</v>
      </c>
      <c r="M256" s="45"/>
      <c r="N256" s="45"/>
      <c r="O25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A5.04</v>
      </c>
      <c r="P256" s="59"/>
      <c r="Q256" s="59"/>
      <c r="R256" s="59"/>
      <c r="S256" s="59"/>
      <c r="T256" s="55" t="str">
        <f>IF(Table681620[[#This Row],[LEVEL]]="5",Table681620[[#This Row],[L5]],
IF(Table681620[[#This Row],[LEVEL]]="4",Table681620[[#This Row],[L4]],
IF(Table681620[[#This Row],[LEVEL]]="3",Table681620[[#This Row],[L3]],
IF(Table681620[[#This Row],[LEVEL]]="2",Table681620[[#This Row],[L2]],
IF(Table681620[[#This Row],[LEVEL]]="1",Table681620[[#This Row],[L1]],"")))))</f>
        <v>SERVICES</v>
      </c>
      <c r="U256" s="47"/>
      <c r="V256" s="72"/>
      <c r="W256" s="59"/>
      <c r="X256" s="48"/>
      <c r="Y256" s="50">
        <f>SUBTOTAL(9,Y257:Y259)</f>
        <v>0</v>
      </c>
      <c r="Z256" s="51"/>
      <c r="AA256" s="48"/>
      <c r="AB256" s="48"/>
      <c r="AC256" s="7"/>
    </row>
    <row r="257" spans="1:29" x14ac:dyDescent="0.3">
      <c r="A257" s="43" t="str">
        <f>INDEX(Table_Numbering[L1],MATCH(Table681620[[#This Row],[L1]],Table_Numbering[L1 Description (Cost Area)],0))</f>
        <v>A</v>
      </c>
      <c r="B257" s="43" t="str">
        <f>IFERROR(INDEX(Table_Numbering[L2],MATCH(Table681620[[#This Row],[L2]],Table_Numbering[L2 Description (Area)],0)),"0")</f>
        <v>5</v>
      </c>
      <c r="C257" s="43" t="str">
        <f>IFERROR(INDEX(Table_Numbering[L3],MATCH(Table681620[[#This Row],[L3]],Table_Numbering[L3 Description (Sub Area)],0)),"0")</f>
        <v>04</v>
      </c>
      <c r="D257" s="43" t="str">
        <f>Table681620[[#This Row],[N1]]&amp;Table681620[[#This Row],[N2]]&amp;Table681620[[#This Row],[N3]]</f>
        <v>A504</v>
      </c>
      <c r="E257" s="43" t="str">
        <f>TEXT(COUNTIF(C$7:C255,Table681620[[#This Row],[N3]]),"00")</f>
        <v>22</v>
      </c>
      <c r="F257" s="43">
        <f>COUNTIFS(J$7:J257,J257,K$7:K257,K257,L$7:L257,L257,M$7:M257,M257)</f>
        <v>1</v>
      </c>
      <c r="G257" s="43" t="str">
        <f>TEXT(COUNTIFS(A$7:A257,A257,B$7:B257,B257,E$7:E257,E257,F$7:F257,1),"00")</f>
        <v>01</v>
      </c>
      <c r="H257" s="43" t="str">
        <f t="shared" si="8"/>
        <v>00</v>
      </c>
      <c r="I257" s="44" t="str">
        <f t="shared" si="9"/>
        <v>4</v>
      </c>
      <c r="J257" s="75" t="s">
        <v>38</v>
      </c>
      <c r="K257" s="45" t="s">
        <v>743</v>
      </c>
      <c r="L257" s="45" t="s">
        <v>728</v>
      </c>
      <c r="M257" s="45" t="s">
        <v>730</v>
      </c>
      <c r="N257" s="45"/>
      <c r="O25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A5.04.22</v>
      </c>
      <c r="P257" s="59" t="s">
        <v>349</v>
      </c>
      <c r="Q257" s="59" t="s">
        <v>78</v>
      </c>
      <c r="R257" s="59" t="s">
        <v>750</v>
      </c>
      <c r="S257" s="59" t="s">
        <v>1921</v>
      </c>
      <c r="T257" s="58" t="str">
        <f>IF(Table681620[[#This Row],[LEVEL]]="5",Table681620[[#This Row],[L5]],
IF(Table681620[[#This Row],[LEVEL]]="4",Table681620[[#This Row],[L4]],
IF(Table681620[[#This Row],[LEVEL]]="3",Table681620[[#This Row],[L3]],
IF(Table681620[[#This Row],[LEVEL]]="2",Table681620[[#This Row],[L2]],
IF(Table681620[[#This Row],[LEVEL]]="1",Table681620[[#This Row],[L1]],"")))))</f>
        <v>Mechanical Services Package</v>
      </c>
      <c r="U257" s="47" t="s">
        <v>62</v>
      </c>
      <c r="V257" s="72" t="s">
        <v>44</v>
      </c>
      <c r="W257" s="59">
        <v>1</v>
      </c>
      <c r="X257" s="48"/>
      <c r="Y257" s="62">
        <f>Table681620[[#This Row],[Qty]]*Table681620[[#This Row],[Rate]]</f>
        <v>0</v>
      </c>
      <c r="Z257" s="51"/>
      <c r="AA257" s="48" t="s">
        <v>79</v>
      </c>
      <c r="AB257" s="48" t="s">
        <v>664</v>
      </c>
      <c r="AC257" s="7"/>
    </row>
    <row r="258" spans="1:29" x14ac:dyDescent="0.3">
      <c r="A258" s="43" t="str">
        <f>INDEX(Table_Numbering[L1],MATCH(Table681620[[#This Row],[L1]],Table_Numbering[L1 Description (Cost Area)],0))</f>
        <v>A</v>
      </c>
      <c r="B258" s="43" t="str">
        <f>IFERROR(INDEX(Table_Numbering[L2],MATCH(Table681620[[#This Row],[L2]],Table_Numbering[L2 Description (Area)],0)),"0")</f>
        <v>5</v>
      </c>
      <c r="C258" s="43" t="str">
        <f>IFERROR(INDEX(Table_Numbering[L3],MATCH(Table681620[[#This Row],[L3]],Table_Numbering[L3 Description (Sub Area)],0)),"0")</f>
        <v>04</v>
      </c>
      <c r="D258" s="43" t="str">
        <f>Table681620[[#This Row],[N1]]&amp;Table681620[[#This Row],[N2]]&amp;Table681620[[#This Row],[N3]]</f>
        <v>A504</v>
      </c>
      <c r="E258" s="43" t="str">
        <f>TEXT(COUNTIF(C$7:C256,Table681620[[#This Row],[N3]]),"00")</f>
        <v>23</v>
      </c>
      <c r="F258" s="43">
        <f>COUNTIFS(J$7:J258,J258,K$7:K258,K258,L$7:L258,L258,M$7:M258,M258)</f>
        <v>1</v>
      </c>
      <c r="G258" s="43" t="str">
        <f>TEXT(COUNTIFS(A$7:A258,A258,B$7:B258,B258,E$7:E258,E258,F$7:F258,1),"00")</f>
        <v>01</v>
      </c>
      <c r="H258" s="43" t="str">
        <f t="shared" si="8"/>
        <v>00</v>
      </c>
      <c r="I258" s="44" t="str">
        <f t="shared" si="9"/>
        <v>4</v>
      </c>
      <c r="J258" s="75" t="s">
        <v>38</v>
      </c>
      <c r="K258" s="45" t="s">
        <v>743</v>
      </c>
      <c r="L258" s="45" t="s">
        <v>728</v>
      </c>
      <c r="M258" s="45" t="s">
        <v>732</v>
      </c>
      <c r="N258" s="45"/>
      <c r="O25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A5.04.23</v>
      </c>
      <c r="P258" s="59" t="s">
        <v>350</v>
      </c>
      <c r="Q258" s="59" t="s">
        <v>78</v>
      </c>
      <c r="R258" s="59" t="s">
        <v>751</v>
      </c>
      <c r="S258" s="59" t="s">
        <v>1922</v>
      </c>
      <c r="T258" s="58" t="str">
        <f>IF(Table681620[[#This Row],[LEVEL]]="5",Table681620[[#This Row],[L5]],
IF(Table681620[[#This Row],[LEVEL]]="4",Table681620[[#This Row],[L4]],
IF(Table681620[[#This Row],[LEVEL]]="3",Table681620[[#This Row],[L3]],
IF(Table681620[[#This Row],[LEVEL]]="2",Table681620[[#This Row],[L2]],
IF(Table681620[[#This Row],[LEVEL]]="1",Table681620[[#This Row],[L1]],"")))))</f>
        <v>Electrical Services Package</v>
      </c>
      <c r="U258" s="47" t="s">
        <v>62</v>
      </c>
      <c r="V258" s="72" t="s">
        <v>44</v>
      </c>
      <c r="W258" s="59">
        <v>1</v>
      </c>
      <c r="X258" s="48"/>
      <c r="Y258" s="62">
        <f>Table681620[[#This Row],[Qty]]*Table681620[[#This Row],[Rate]]</f>
        <v>0</v>
      </c>
      <c r="Z258" s="51"/>
      <c r="AA258" s="48" t="s">
        <v>79</v>
      </c>
      <c r="AB258" s="48" t="s">
        <v>654</v>
      </c>
      <c r="AC258" s="7"/>
    </row>
    <row r="259" spans="1:29" x14ac:dyDescent="0.3">
      <c r="A259" s="43" t="str">
        <f>INDEX(Table_Numbering[L1],MATCH(Table681620[[#This Row],[L1]],Table_Numbering[L1 Description (Cost Area)],0))</f>
        <v>A</v>
      </c>
      <c r="B259" s="43" t="str">
        <f>IFERROR(INDEX(Table_Numbering[L2],MATCH(Table681620[[#This Row],[L2]],Table_Numbering[L2 Description (Area)],0)),"0")</f>
        <v>5</v>
      </c>
      <c r="C259" s="43" t="str">
        <f>IFERROR(INDEX(Table_Numbering[L3],MATCH(Table681620[[#This Row],[L3]],Table_Numbering[L3 Description (Sub Area)],0)),"0")</f>
        <v>04</v>
      </c>
      <c r="D259" s="43" t="str">
        <f>Table681620[[#This Row],[N1]]&amp;Table681620[[#This Row],[N2]]&amp;Table681620[[#This Row],[N3]]</f>
        <v>A504</v>
      </c>
      <c r="E259" s="43" t="str">
        <f>TEXT(COUNTIF(C$7:C257,Table681620[[#This Row],[N3]]),"00")</f>
        <v>24</v>
      </c>
      <c r="F259" s="43">
        <f>COUNTIFS(J$7:J259,J259,K$7:K259,K259,L$7:L259,L259,M$7:M259,M259)</f>
        <v>1</v>
      </c>
      <c r="G259" s="43" t="str">
        <f>TEXT(COUNTIFS(A$7:A259,A259,B$7:B259,B259,E$7:E259,E259,F$7:F259,1),"00")</f>
        <v>02</v>
      </c>
      <c r="H259" s="43" t="str">
        <f t="shared" si="8"/>
        <v>00</v>
      </c>
      <c r="I259" s="44" t="str">
        <f t="shared" si="9"/>
        <v>4</v>
      </c>
      <c r="J259" s="75" t="s">
        <v>38</v>
      </c>
      <c r="K259" s="45" t="s">
        <v>743</v>
      </c>
      <c r="L259" s="45" t="s">
        <v>728</v>
      </c>
      <c r="M259" s="45" t="s">
        <v>753</v>
      </c>
      <c r="N259" s="45"/>
      <c r="O25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A5.04.24</v>
      </c>
      <c r="P259" s="59" t="s">
        <v>351</v>
      </c>
      <c r="Q259" s="59" t="s">
        <v>78</v>
      </c>
      <c r="R259" s="59" t="s">
        <v>752</v>
      </c>
      <c r="S259" s="59" t="s">
        <v>1939</v>
      </c>
      <c r="T259" s="58" t="str">
        <f>IF(Table681620[[#This Row],[LEVEL]]="5",Table681620[[#This Row],[L5]],
IF(Table681620[[#This Row],[LEVEL]]="4",Table681620[[#This Row],[L4]],
IF(Table681620[[#This Row],[LEVEL]]="3",Table681620[[#This Row],[L3]],
IF(Table681620[[#This Row],[LEVEL]]="2",Table681620[[#This Row],[L2]],
IF(Table681620[[#This Row],[LEVEL]]="1",Table681620[[#This Row],[L1]],"")))))</f>
        <v>Hydraulic &amp; Fire Services Package</v>
      </c>
      <c r="U259" s="47" t="s">
        <v>62</v>
      </c>
      <c r="V259" s="72" t="s">
        <v>44</v>
      </c>
      <c r="W259" s="59">
        <v>1</v>
      </c>
      <c r="X259" s="48"/>
      <c r="Y259" s="62">
        <f>Table681620[[#This Row],[Qty]]*Table681620[[#This Row],[Rate]]</f>
        <v>0</v>
      </c>
      <c r="Z259" s="51"/>
      <c r="AA259" s="48" t="s">
        <v>79</v>
      </c>
      <c r="AB259" s="48" t="s">
        <v>654</v>
      </c>
      <c r="AC259" s="7"/>
    </row>
    <row r="260" spans="1:29" x14ac:dyDescent="0.3">
      <c r="A260" s="43" t="str">
        <f>INDEX(Table_Numbering[L1],MATCH(Table681620[[#This Row],[L1]],Table_Numbering[L1 Description (Cost Area)],0))</f>
        <v>A</v>
      </c>
      <c r="B260" s="43" t="str">
        <f>IFERROR(INDEX(Table_Numbering[L2],MATCH(Table681620[[#This Row],[L2]],Table_Numbering[L2 Description (Area)],0)),"0")</f>
        <v>5</v>
      </c>
      <c r="C260" s="43" t="str">
        <f>IFERROR(INDEX(Table_Numbering[L3],MATCH(Table681620[[#This Row],[L3]],Table_Numbering[L3 Description (Sub Area)],0)),"0")</f>
        <v>05</v>
      </c>
      <c r="D260" s="43" t="str">
        <f>Table681620[[#This Row],[N1]]&amp;Table681620[[#This Row],[N2]]&amp;Table681620[[#This Row],[N3]]</f>
        <v>A505</v>
      </c>
      <c r="E260" s="43" t="str">
        <f>TEXT(COUNTIF(C$7:C258,Table681620[[#This Row],[N3]]),"00")</f>
        <v>27</v>
      </c>
      <c r="F260" s="43">
        <f>COUNTIFS(J$7:J260,J260,K$7:K260,K260,L$7:L260,L260,M$7:M260,M260)</f>
        <v>0</v>
      </c>
      <c r="G260" s="43" t="str">
        <f>TEXT(COUNTIFS(A$7:A260,A260,B$7:B260,B260,E$7:E260,E260,F$7:F260,1),"00")</f>
        <v>00</v>
      </c>
      <c r="H260" s="43" t="str">
        <f t="shared" si="8"/>
        <v>00</v>
      </c>
      <c r="I260" s="44" t="str">
        <f t="shared" si="9"/>
        <v>3</v>
      </c>
      <c r="J260" s="75" t="s">
        <v>38</v>
      </c>
      <c r="K260" s="45" t="s">
        <v>743</v>
      </c>
      <c r="L260" s="45" t="s">
        <v>619</v>
      </c>
      <c r="M260" s="45"/>
      <c r="N260" s="45"/>
      <c r="O26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A5.05</v>
      </c>
      <c r="P260" s="59"/>
      <c r="Q260" s="59"/>
      <c r="R260" s="59"/>
      <c r="S260" s="59"/>
      <c r="T260" s="55" t="str">
        <f>IF(Table681620[[#This Row],[LEVEL]]="5",Table681620[[#This Row],[L5]],
IF(Table681620[[#This Row],[LEVEL]]="4",Table681620[[#This Row],[L4]],
IF(Table681620[[#This Row],[LEVEL]]="3",Table681620[[#This Row],[L3]],
IF(Table681620[[#This Row],[LEVEL]]="2",Table681620[[#This Row],[L2]],
IF(Table681620[[#This Row],[LEVEL]]="1",Table681620[[#This Row],[L1]],"")))))</f>
        <v>FITOUT</v>
      </c>
      <c r="U260" s="47"/>
      <c r="V260" s="72"/>
      <c r="W260" s="59"/>
      <c r="X260" s="48"/>
      <c r="Y260" s="50">
        <f>SUBTOTAL(9,Y261:Y263)</f>
        <v>0</v>
      </c>
      <c r="Z260" s="51"/>
      <c r="AA260" s="48"/>
      <c r="AB260" s="48"/>
      <c r="AC260" s="7"/>
    </row>
    <row r="261" spans="1:29" x14ac:dyDescent="0.3">
      <c r="A261" s="43" t="str">
        <f>INDEX(Table_Numbering[L1],MATCH(Table681620[[#This Row],[L1]],Table_Numbering[L1 Description (Cost Area)],0))</f>
        <v>A</v>
      </c>
      <c r="B261" s="43" t="str">
        <f>IFERROR(INDEX(Table_Numbering[L2],MATCH(Table681620[[#This Row],[L2]],Table_Numbering[L2 Description (Area)],0)),"0")</f>
        <v>5</v>
      </c>
      <c r="C261" s="43" t="str">
        <f>IFERROR(INDEX(Table_Numbering[L3],MATCH(Table681620[[#This Row],[L3]],Table_Numbering[L3 Description (Sub Area)],0)),"0")</f>
        <v>05</v>
      </c>
      <c r="D261" s="43" t="str">
        <f>Table681620[[#This Row],[N1]]&amp;Table681620[[#This Row],[N2]]&amp;Table681620[[#This Row],[N3]]</f>
        <v>A505</v>
      </c>
      <c r="E261" s="43" t="str">
        <f>TEXT(COUNTIF(C$7:C259,Table681620[[#This Row],[N3]]),"00")</f>
        <v>27</v>
      </c>
      <c r="F261" s="43">
        <f>COUNTIFS(J$7:J261,J261,K$7:K261,K261,L$7:L261,L261,M$7:M261,M261)</f>
        <v>1</v>
      </c>
      <c r="G261" s="43" t="str">
        <f>TEXT(COUNTIFS(A$7:A261,A261,B$7:B261,B261,E$7:E261,E261,F$7:F261,1),"00")</f>
        <v>01</v>
      </c>
      <c r="H261" s="43" t="str">
        <f t="shared" si="8"/>
        <v>00</v>
      </c>
      <c r="I261" s="44" t="str">
        <f t="shared" si="9"/>
        <v>4</v>
      </c>
      <c r="J261" s="75" t="s">
        <v>38</v>
      </c>
      <c r="K261" s="45" t="s">
        <v>743</v>
      </c>
      <c r="L261" s="45" t="s">
        <v>619</v>
      </c>
      <c r="M261" s="45" t="s">
        <v>755</v>
      </c>
      <c r="N261" s="45"/>
      <c r="O26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A5.05.27</v>
      </c>
      <c r="P261" s="59" t="s">
        <v>329</v>
      </c>
      <c r="Q261" s="59" t="s">
        <v>78</v>
      </c>
      <c r="R261" s="59" t="s">
        <v>754</v>
      </c>
      <c r="S261" s="59" t="s">
        <v>1940</v>
      </c>
      <c r="T261" s="58" t="str">
        <f>IF(Table681620[[#This Row],[LEVEL]]="5",Table681620[[#This Row],[L5]],
IF(Table681620[[#This Row],[LEVEL]]="4",Table681620[[#This Row],[L4]],
IF(Table681620[[#This Row],[LEVEL]]="3",Table681620[[#This Row],[L3]],
IF(Table681620[[#This Row],[LEVEL]]="2",Table681620[[#This Row],[L2]],
IF(Table681620[[#This Row],[LEVEL]]="1",Table681620[[#This Row],[L1]],"")))))</f>
        <v>Internal Fitout Package</v>
      </c>
      <c r="U261" s="47" t="s">
        <v>62</v>
      </c>
      <c r="V261" s="72" t="s">
        <v>44</v>
      </c>
      <c r="W261" s="59">
        <v>1</v>
      </c>
      <c r="X261" s="48"/>
      <c r="Y261" s="62">
        <f>Table681620[[#This Row],[Qty]]*Table681620[[#This Row],[Rate]]</f>
        <v>0</v>
      </c>
      <c r="Z261" s="51"/>
      <c r="AA261" s="48" t="s">
        <v>79</v>
      </c>
      <c r="AB261" s="48" t="s">
        <v>624</v>
      </c>
      <c r="AC261" s="7"/>
    </row>
    <row r="262" spans="1:29" x14ac:dyDescent="0.3">
      <c r="A262" s="43" t="str">
        <f>INDEX(Table_Numbering[L1],MATCH(Table681620[[#This Row],[L1]],Table_Numbering[L1 Description (Cost Area)],0))</f>
        <v>A</v>
      </c>
      <c r="B262" s="43" t="str">
        <f>IFERROR(INDEX(Table_Numbering[L2],MATCH(Table681620[[#This Row],[L2]],Table_Numbering[L2 Description (Area)],0)),"0")</f>
        <v>5</v>
      </c>
      <c r="C262" s="43" t="str">
        <f>IFERROR(INDEX(Table_Numbering[L3],MATCH(Table681620[[#This Row],[L3]],Table_Numbering[L3 Description (Sub Area)],0)),"0")</f>
        <v>05</v>
      </c>
      <c r="D262" s="43" t="str">
        <f>Table681620[[#This Row],[N1]]&amp;Table681620[[#This Row],[N2]]&amp;Table681620[[#This Row],[N3]]</f>
        <v>A505</v>
      </c>
      <c r="E262" s="43" t="str">
        <f>TEXT(COUNTIF(C$7:C260,Table681620[[#This Row],[N3]]),"00")</f>
        <v>28</v>
      </c>
      <c r="F262" s="43">
        <f>COUNTIFS(J$7:J262,J262,K$7:K262,K262,L$7:L262,L262,M$7:M262,M262)</f>
        <v>1</v>
      </c>
      <c r="G262" s="43" t="str">
        <f>TEXT(COUNTIFS(A$7:A262,A262,B$7:B262,B262,E$7:E262,E262,F$7:F262,1),"00")</f>
        <v>01</v>
      </c>
      <c r="H262" s="43" t="str">
        <f t="shared" si="8"/>
        <v>00</v>
      </c>
      <c r="I262" s="44" t="str">
        <f t="shared" si="9"/>
        <v>4</v>
      </c>
      <c r="J262" s="75" t="s">
        <v>38</v>
      </c>
      <c r="K262" s="45" t="s">
        <v>743</v>
      </c>
      <c r="L262" s="45" t="s">
        <v>619</v>
      </c>
      <c r="M262" s="45" t="s">
        <v>756</v>
      </c>
      <c r="N262" s="45"/>
      <c r="O26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A5.05.28</v>
      </c>
      <c r="P262" s="59" t="s">
        <v>329</v>
      </c>
      <c r="Q262" s="59" t="s">
        <v>78</v>
      </c>
      <c r="R262" s="59" t="s">
        <v>754</v>
      </c>
      <c r="S262" s="59" t="s">
        <v>1941</v>
      </c>
      <c r="T262" s="58" t="str">
        <f>IF(Table681620[[#This Row],[LEVEL]]="5",Table681620[[#This Row],[L5]],
IF(Table681620[[#This Row],[LEVEL]]="4",Table681620[[#This Row],[L4]],
IF(Table681620[[#This Row],[LEVEL]]="3",Table681620[[#This Row],[L3]],
IF(Table681620[[#This Row],[LEVEL]]="2",Table681620[[#This Row],[L2]],
IF(Table681620[[#This Row],[LEVEL]]="1",Table681620[[#This Row],[L1]],"")))))</f>
        <v>Finishes &amp; Joinery Package</v>
      </c>
      <c r="U262" s="47" t="s">
        <v>62</v>
      </c>
      <c r="V262" s="72" t="s">
        <v>44</v>
      </c>
      <c r="W262" s="59">
        <v>1</v>
      </c>
      <c r="X262" s="48"/>
      <c r="Y262" s="62">
        <f>Table681620[[#This Row],[Qty]]*Table681620[[#This Row],[Rate]]</f>
        <v>0</v>
      </c>
      <c r="Z262" s="51"/>
      <c r="AA262" s="48" t="s">
        <v>79</v>
      </c>
      <c r="AB262" s="48" t="s">
        <v>595</v>
      </c>
      <c r="AC262" s="7"/>
    </row>
    <row r="263" spans="1:29" x14ac:dyDescent="0.3">
      <c r="A263" s="43" t="str">
        <f>INDEX(Table_Numbering[L1],MATCH(Table681620[[#This Row],[L1]],Table_Numbering[L1 Description (Cost Area)],0))</f>
        <v>A</v>
      </c>
      <c r="B263" s="43" t="str">
        <f>IFERROR(INDEX(Table_Numbering[L2],MATCH(Table681620[[#This Row],[L2]],Table_Numbering[L2 Description (Area)],0)),"0")</f>
        <v>5</v>
      </c>
      <c r="C263" s="43" t="str">
        <f>IFERROR(INDEX(Table_Numbering[L3],MATCH(Table681620[[#This Row],[L3]],Table_Numbering[L3 Description (Sub Area)],0)),"0")</f>
        <v>05</v>
      </c>
      <c r="D263" s="43" t="str">
        <f>Table681620[[#This Row],[N1]]&amp;Table681620[[#This Row],[N2]]&amp;Table681620[[#This Row],[N3]]</f>
        <v>A505</v>
      </c>
      <c r="E263" s="43" t="str">
        <f>TEXT(COUNTIF(C$7:C261,Table681620[[#This Row],[N3]]),"00")</f>
        <v>29</v>
      </c>
      <c r="F263" s="43">
        <f>COUNTIFS(J$7:J263,J263,K$7:K263,K263,L$7:L263,L263,M$7:M263,M263)</f>
        <v>1</v>
      </c>
      <c r="G263" s="43" t="str">
        <f>TEXT(COUNTIFS(A$7:A263,A263,B$7:B263,B263,E$7:E263,E263,F$7:F263,1),"00")</f>
        <v>01</v>
      </c>
      <c r="H263" s="43" t="str">
        <f t="shared" si="8"/>
        <v>00</v>
      </c>
      <c r="I263" s="44" t="str">
        <f t="shared" si="9"/>
        <v>4</v>
      </c>
      <c r="J263" s="75" t="s">
        <v>38</v>
      </c>
      <c r="K263" s="45" t="s">
        <v>743</v>
      </c>
      <c r="L263" s="45" t="s">
        <v>619</v>
      </c>
      <c r="M263" s="45" t="s">
        <v>741</v>
      </c>
      <c r="N263" s="45"/>
      <c r="O26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A5.05.29</v>
      </c>
      <c r="P263" s="59" t="s">
        <v>352</v>
      </c>
      <c r="Q263" s="59" t="s">
        <v>78</v>
      </c>
      <c r="R263" s="59" t="s">
        <v>757</v>
      </c>
      <c r="S263" s="59" t="s">
        <v>2095</v>
      </c>
      <c r="T263" s="58" t="str">
        <f>IF(Table681620[[#This Row],[LEVEL]]="5",Table681620[[#This Row],[L5]],
IF(Table681620[[#This Row],[LEVEL]]="4",Table681620[[#This Row],[L4]],
IF(Table681620[[#This Row],[LEVEL]]="3",Table681620[[#This Row],[L3]],
IF(Table681620[[#This Row],[LEVEL]]="2",Table681620[[#This Row],[L2]],
IF(Table681620[[#This Row],[LEVEL]]="1",Table681620[[#This Row],[L1]],"")))))</f>
        <v>FFE Package</v>
      </c>
      <c r="U263" s="47" t="s">
        <v>62</v>
      </c>
      <c r="V263" s="72" t="s">
        <v>44</v>
      </c>
      <c r="W263" s="59">
        <v>1</v>
      </c>
      <c r="X263" s="48"/>
      <c r="Y263" s="62">
        <f>Table681620[[#This Row],[Qty]]*Table681620[[#This Row],[Rate]]</f>
        <v>0</v>
      </c>
      <c r="Z263" s="51"/>
      <c r="AA263" s="48" t="s">
        <v>742</v>
      </c>
      <c r="AB263" s="48" t="s">
        <v>703</v>
      </c>
      <c r="AC263" s="7"/>
    </row>
    <row r="264" spans="1:29" x14ac:dyDescent="0.3">
      <c r="A264" s="43" t="str">
        <f>INDEX(Table_Numbering[L1],MATCH(Table681620[[#This Row],[L1]],Table_Numbering[L1 Description (Cost Area)],0))</f>
        <v>A</v>
      </c>
      <c r="B264" s="43" t="str">
        <f>IFERROR(INDEX(Table_Numbering[L2],MATCH(Table681620[[#This Row],[L2]],Table_Numbering[L2 Description (Area)],0)),"0")</f>
        <v>0</v>
      </c>
      <c r="C264" s="43" t="str">
        <f>IFERROR(INDEX(Table_Numbering[L3],MATCH(Table681620[[#This Row],[L3]],Table_Numbering[L3 Description (Sub Area)],0)),"0")</f>
        <v>13</v>
      </c>
      <c r="D264" s="43" t="str">
        <f>Table681620[[#This Row],[N1]]&amp;Table681620[[#This Row],[N2]]&amp;Table681620[[#This Row],[N3]]</f>
        <v>A013</v>
      </c>
      <c r="E264" s="43" t="str">
        <f>TEXT(COUNTIF(C$7:C262,Table681620[[#This Row],[N3]]),"00")</f>
        <v>28</v>
      </c>
      <c r="F264" s="43">
        <f>COUNTIFS(J$7:J264,J264,K$7:K264,K264,L$7:L264,L264,M$7:M264,M264)</f>
        <v>0</v>
      </c>
      <c r="G264" s="43" t="str">
        <f>TEXT(COUNTIFS(A$7:A264,A264,B$7:B264,B264,E$7:E264,E264,F$7:F264,1),"00")</f>
        <v>00</v>
      </c>
      <c r="H264" s="43" t="str">
        <f t="shared" si="8"/>
        <v>00</v>
      </c>
      <c r="I264" s="44" t="str">
        <f t="shared" si="9"/>
        <v>3</v>
      </c>
      <c r="J264" s="75" t="s">
        <v>38</v>
      </c>
      <c r="K264" s="45" t="s">
        <v>1387</v>
      </c>
      <c r="L264" s="45" t="s">
        <v>312</v>
      </c>
      <c r="M264" s="45"/>
      <c r="N264" s="45"/>
      <c r="O26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v>
      </c>
      <c r="P264" s="59"/>
      <c r="Q264" s="59"/>
      <c r="R264" s="59"/>
      <c r="S264" s="59"/>
      <c r="T264" s="55" t="str">
        <f>IF(Table681620[[#This Row],[LEVEL]]="5",Table681620[[#This Row],[L5]],
IF(Table681620[[#This Row],[LEVEL]]="4",Table681620[[#This Row],[L4]],
IF(Table681620[[#This Row],[LEVEL]]="3",Table681620[[#This Row],[L3]],
IF(Table681620[[#This Row],[LEVEL]]="2",Table681620[[#This Row],[L2]],
IF(Table681620[[#This Row],[LEVEL]]="1",Table681620[[#This Row],[L1]],"")))))</f>
        <v>EXTERNAL WORKS</v>
      </c>
      <c r="U264" s="47"/>
      <c r="V264" s="72"/>
      <c r="W264" s="59"/>
      <c r="X264" s="48"/>
      <c r="Y264" s="50">
        <f>SUBTOTAL(9,Y265:Y271)</f>
        <v>0</v>
      </c>
      <c r="Z264" s="51"/>
      <c r="AA264" s="48"/>
      <c r="AB264" s="48"/>
      <c r="AC264" s="7"/>
    </row>
    <row r="265" spans="1:29" x14ac:dyDescent="0.3">
      <c r="A265" s="43" t="str">
        <f>INDEX(Table_Numbering[L1],MATCH(Table681620[[#This Row],[L1]],Table_Numbering[L1 Description (Cost Area)],0))</f>
        <v>A</v>
      </c>
      <c r="B265" s="43" t="str">
        <f>IFERROR(INDEX(Table_Numbering[L2],MATCH(Table681620[[#This Row],[L2]],Table_Numbering[L2 Description (Area)],0)),"0")</f>
        <v>0</v>
      </c>
      <c r="C265" s="43" t="str">
        <f>IFERROR(INDEX(Table_Numbering[L3],MATCH(Table681620[[#This Row],[L3]],Table_Numbering[L3 Description (Sub Area)],0)),"0")</f>
        <v>13</v>
      </c>
      <c r="D265" s="43" t="str">
        <f>Table681620[[#This Row],[N1]]&amp;Table681620[[#This Row],[N2]]&amp;Table681620[[#This Row],[N3]]</f>
        <v>A013</v>
      </c>
      <c r="E265" s="43" t="str">
        <f>TEXT(COUNTIF(C$7:C263,Table681620[[#This Row],[N3]]),"00")</f>
        <v>28</v>
      </c>
      <c r="F265" s="43">
        <f>COUNTIFS(J$7:J265,J265,K$7:K265,K265,L$7:L265,L265,M$7:M265,M265)</f>
        <v>1</v>
      </c>
      <c r="G265" s="43" t="str">
        <f>TEXT(COUNTIFS(A$7:A265,A265,B$7:B265,B265,E$7:E265,E265,F$7:F265,1),"00")</f>
        <v>01</v>
      </c>
      <c r="H265" s="43" t="str">
        <f t="shared" si="8"/>
        <v>00</v>
      </c>
      <c r="I265" s="44" t="str">
        <f t="shared" si="9"/>
        <v>4</v>
      </c>
      <c r="J265" s="75" t="s">
        <v>38</v>
      </c>
      <c r="K265" s="45" t="s">
        <v>1387</v>
      </c>
      <c r="L265" s="45" t="s">
        <v>312</v>
      </c>
      <c r="M265" s="45" t="s">
        <v>1389</v>
      </c>
      <c r="N265" s="45"/>
      <c r="O26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A0.13.28</v>
      </c>
      <c r="P265" s="59" t="s">
        <v>480</v>
      </c>
      <c r="Q265" s="59" t="s">
        <v>78</v>
      </c>
      <c r="R265" s="59" t="s">
        <v>1388</v>
      </c>
      <c r="S265" s="59" t="s">
        <v>1942</v>
      </c>
      <c r="T265" s="58" t="str">
        <f>IF(Table681620[[#This Row],[LEVEL]]="5",Table681620[[#This Row],[L5]],
IF(Table681620[[#This Row],[LEVEL]]="4",Table681620[[#This Row],[L4]],
IF(Table681620[[#This Row],[LEVEL]]="3",Table681620[[#This Row],[L3]],
IF(Table681620[[#This Row],[LEVEL]]="2",Table681620[[#This Row],[L2]],
IF(Table681620[[#This Row],[LEVEL]]="1",Table681620[[#This Row],[L1]],"")))))</f>
        <v>Workshop Parking Area</v>
      </c>
      <c r="U265" s="47" t="s">
        <v>246</v>
      </c>
      <c r="V265" s="72" t="s">
        <v>44</v>
      </c>
      <c r="W265" s="59"/>
      <c r="X265" s="48"/>
      <c r="Y265" s="62">
        <f>Table681620[[#This Row],[Qty]]*Table681620[[#This Row],[Rate]]</f>
        <v>0</v>
      </c>
      <c r="Z265" s="51"/>
      <c r="AA265" s="48" t="s">
        <v>581</v>
      </c>
      <c r="AB265" s="48" t="s">
        <v>1379</v>
      </c>
      <c r="AC265" s="7"/>
    </row>
    <row r="266" spans="1:29" x14ac:dyDescent="0.3">
      <c r="A266" s="43" t="str">
        <f>INDEX(Table_Numbering[L1],MATCH(Table681620[[#This Row],[L1]],Table_Numbering[L1 Description (Cost Area)],0))</f>
        <v>A</v>
      </c>
      <c r="B266" s="43" t="str">
        <f>IFERROR(INDEX(Table_Numbering[L2],MATCH(Table681620[[#This Row],[L2]],Table_Numbering[L2 Description (Area)],0)),"0")</f>
        <v>0</v>
      </c>
      <c r="C266" s="43" t="str">
        <f>IFERROR(INDEX(Table_Numbering[L3],MATCH(Table681620[[#This Row],[L3]],Table_Numbering[L3 Description (Sub Area)],0)),"0")</f>
        <v>13</v>
      </c>
      <c r="D266" s="43" t="str">
        <f>Table681620[[#This Row],[N1]]&amp;Table681620[[#This Row],[N2]]&amp;Table681620[[#This Row],[N3]]</f>
        <v>A013</v>
      </c>
      <c r="E266" s="43" t="str">
        <f>TEXT(COUNTIF(C$7:C264,Table681620[[#This Row],[N3]]),"00")</f>
        <v>29</v>
      </c>
      <c r="F266" s="43">
        <f>COUNTIFS(J$7:J266,J266,K$7:K266,K266,L$7:L266,L266,M$7:M266,M266)</f>
        <v>1</v>
      </c>
      <c r="G266" s="43" t="str">
        <f>TEXT(COUNTIFS(A$7:A266,A266,B$7:B266,B266,E$7:E266,E266,F$7:F266,1),"00")</f>
        <v>01</v>
      </c>
      <c r="H266" s="43" t="str">
        <f t="shared" ref="H266:H324" si="10">TEXT(IF(ISBLANK(N266),0,IF(ISBLANK(N264),1,H264+1)),"00")</f>
        <v>00</v>
      </c>
      <c r="I266" s="44" t="str">
        <f t="shared" ref="I266:I324" si="11">IF(AND(ISBLANK(J266),ISBLANK(K266),ISBLANK(L266),ISBLANK(M266),ISBLANK(N266)),"0",
IF(AND(ISBLANK(K266),ISBLANK(L266),ISBLANK(M266),ISBLANK(N266)),"1",
IF(AND(ISBLANK(L266),ISBLANK(M266),ISBLANK(N266)),"2",
IF(AND(ISBLANK(M266),ISBLANK(N266)),"3",
IF(AND(ISBLANK(N266)),"4","5")))))</f>
        <v>4</v>
      </c>
      <c r="J266" s="75" t="s">
        <v>38</v>
      </c>
      <c r="K266" s="45" t="s">
        <v>1387</v>
      </c>
      <c r="L266" s="45" t="s">
        <v>312</v>
      </c>
      <c r="M266" s="45" t="s">
        <v>1390</v>
      </c>
      <c r="N266" s="45"/>
      <c r="O26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A0.13.29</v>
      </c>
      <c r="P266" s="59" t="s">
        <v>480</v>
      </c>
      <c r="Q266" s="59" t="s">
        <v>78</v>
      </c>
      <c r="R266" s="59" t="s">
        <v>1388</v>
      </c>
      <c r="S266" s="59" t="s">
        <v>1943</v>
      </c>
      <c r="T266" s="58" t="str">
        <f>IF(Table681620[[#This Row],[LEVEL]]="5",Table681620[[#This Row],[L5]],
IF(Table681620[[#This Row],[LEVEL]]="4",Table681620[[#This Row],[L4]],
IF(Table681620[[#This Row],[LEVEL]]="3",Table681620[[#This Row],[L3]],
IF(Table681620[[#This Row],[LEVEL]]="2",Table681620[[#This Row],[L2]],
IF(Table681620[[#This Row],[LEVEL]]="1",Table681620[[#This Row],[L1]],"")))))</f>
        <v>Workshop Hardstand &amp; Aprons</v>
      </c>
      <c r="U266" s="47" t="s">
        <v>246</v>
      </c>
      <c r="V266" s="72" t="s">
        <v>44</v>
      </c>
      <c r="W266" s="59"/>
      <c r="X266" s="48"/>
      <c r="Y266" s="62">
        <f>Table681620[[#This Row],[Qty]]*Table681620[[#This Row],[Rate]]</f>
        <v>0</v>
      </c>
      <c r="Z266" s="51"/>
      <c r="AA266" s="48" t="s">
        <v>581</v>
      </c>
      <c r="AB266" s="48" t="s">
        <v>1381</v>
      </c>
      <c r="AC266" s="7"/>
    </row>
    <row r="267" spans="1:29" x14ac:dyDescent="0.3">
      <c r="A267" s="43" t="str">
        <f>INDEX(Table_Numbering[L1],MATCH(Table681620[[#This Row],[L1]],Table_Numbering[L1 Description (Cost Area)],0))</f>
        <v>A</v>
      </c>
      <c r="B267" s="43" t="str">
        <f>IFERROR(INDEX(Table_Numbering[L2],MATCH(Table681620[[#This Row],[L2]],Table_Numbering[L2 Description (Area)],0)),"0")</f>
        <v>0</v>
      </c>
      <c r="C267" s="43" t="str">
        <f>IFERROR(INDEX(Table_Numbering[L3],MATCH(Table681620[[#This Row],[L3]],Table_Numbering[L3 Description (Sub Area)],0)),"0")</f>
        <v>13</v>
      </c>
      <c r="D267" s="43" t="str">
        <f>Table681620[[#This Row],[N1]]&amp;Table681620[[#This Row],[N2]]&amp;Table681620[[#This Row],[N3]]</f>
        <v>A013</v>
      </c>
      <c r="E267" s="43" t="str">
        <f>TEXT(COUNTIF(C$7:C265,Table681620[[#This Row],[N3]]),"00")</f>
        <v>30</v>
      </c>
      <c r="F267" s="43">
        <f>COUNTIFS(J$7:J267,J267,K$7:K267,K267,L$7:L267,L267,M$7:M267,M267)</f>
        <v>1</v>
      </c>
      <c r="G267" s="43" t="str">
        <f>TEXT(COUNTIFS(A$7:A267,A267,B$7:B267,B267,E$7:E267,E267,F$7:F267,1),"00")</f>
        <v>01</v>
      </c>
      <c r="H267" s="43" t="str">
        <f t="shared" si="10"/>
        <v>00</v>
      </c>
      <c r="I267" s="44" t="str">
        <f t="shared" si="11"/>
        <v>4</v>
      </c>
      <c r="J267" s="75" t="s">
        <v>38</v>
      </c>
      <c r="K267" s="45" t="s">
        <v>1387</v>
      </c>
      <c r="L267" s="45" t="s">
        <v>312</v>
      </c>
      <c r="M267" s="45" t="s">
        <v>1391</v>
      </c>
      <c r="N267" s="45"/>
      <c r="O26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A0.13.30</v>
      </c>
      <c r="P267" s="59" t="s">
        <v>1352</v>
      </c>
      <c r="Q267" s="59" t="s">
        <v>78</v>
      </c>
      <c r="R267" s="59" t="s">
        <v>1388</v>
      </c>
      <c r="S267" s="59" t="s">
        <v>1944</v>
      </c>
      <c r="T267" s="58" t="str">
        <f>IF(Table681620[[#This Row],[LEVEL]]="5",Table681620[[#This Row],[L5]],
IF(Table681620[[#This Row],[LEVEL]]="4",Table681620[[#This Row],[L4]],
IF(Table681620[[#This Row],[LEVEL]]="3",Table681620[[#This Row],[L3]],
IF(Table681620[[#This Row],[LEVEL]]="2",Table681620[[#This Row],[L2]],
IF(Table681620[[#This Row],[LEVEL]]="1",Table681620[[#This Row],[L1]],"")))))</f>
        <v>Workshop Footpaths &amp; Access</v>
      </c>
      <c r="U267" s="47" t="s">
        <v>246</v>
      </c>
      <c r="V267" s="72" t="s">
        <v>44</v>
      </c>
      <c r="W267" s="59"/>
      <c r="X267" s="48"/>
      <c r="Y267" s="62">
        <f>Table681620[[#This Row],[Qty]]*Table681620[[#This Row],[Rate]]</f>
        <v>0</v>
      </c>
      <c r="Z267" s="51"/>
      <c r="AA267" s="48" t="s">
        <v>581</v>
      </c>
      <c r="AB267" s="48" t="s">
        <v>1383</v>
      </c>
      <c r="AC267" s="7"/>
    </row>
    <row r="268" spans="1:29" x14ac:dyDescent="0.3">
      <c r="A268" s="43" t="str">
        <f>INDEX(Table_Numbering[L1],MATCH(Table681620[[#This Row],[L1]],Table_Numbering[L1 Description (Cost Area)],0))</f>
        <v>A</v>
      </c>
      <c r="B268" s="43" t="str">
        <f>IFERROR(INDEX(Table_Numbering[L2],MATCH(Table681620[[#This Row],[L2]],Table_Numbering[L2 Description (Area)],0)),"0")</f>
        <v>0</v>
      </c>
      <c r="C268" s="43" t="str">
        <f>IFERROR(INDEX(Table_Numbering[L3],MATCH(Table681620[[#This Row],[L3]],Table_Numbering[L3 Description (Sub Area)],0)),"0")</f>
        <v>13</v>
      </c>
      <c r="D268" s="43" t="str">
        <f>Table681620[[#This Row],[N1]]&amp;Table681620[[#This Row],[N2]]&amp;Table681620[[#This Row],[N3]]</f>
        <v>A013</v>
      </c>
      <c r="E268" s="43" t="str">
        <f>TEXT(COUNTIF(C$7:C266,Table681620[[#This Row],[N3]]),"00")</f>
        <v>31</v>
      </c>
      <c r="F268" s="43">
        <f>COUNTIFS(J$7:J268,J268,K$7:K268,K268,L$7:L268,L268,M$7:M268,M268)</f>
        <v>1</v>
      </c>
      <c r="G268" s="43" t="str">
        <f>TEXT(COUNTIFS(A$7:A268,A268,B$7:B268,B268,E$7:E268,E268,F$7:F268,1),"00")</f>
        <v>01</v>
      </c>
      <c r="H268" s="43" t="str">
        <f t="shared" si="10"/>
        <v>00</v>
      </c>
      <c r="I268" s="44" t="str">
        <f t="shared" si="11"/>
        <v>4</v>
      </c>
      <c r="J268" s="75" t="s">
        <v>38</v>
      </c>
      <c r="K268" s="45" t="s">
        <v>1387</v>
      </c>
      <c r="L268" s="45" t="s">
        <v>312</v>
      </c>
      <c r="M268" s="45" t="s">
        <v>1392</v>
      </c>
      <c r="N268" s="45"/>
      <c r="O26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A0.13.31</v>
      </c>
      <c r="P268" s="59" t="s">
        <v>1358</v>
      </c>
      <c r="Q268" s="59" t="s">
        <v>78</v>
      </c>
      <c r="R268" s="59" t="s">
        <v>1300</v>
      </c>
      <c r="S268" s="59" t="s">
        <v>1945</v>
      </c>
      <c r="T268" s="58" t="str">
        <f>IF(Table681620[[#This Row],[LEVEL]]="5",Table681620[[#This Row],[L5]],
IF(Table681620[[#This Row],[LEVEL]]="4",Table681620[[#This Row],[L4]],
IF(Table681620[[#This Row],[LEVEL]]="3",Table681620[[#This Row],[L3]],
IF(Table681620[[#This Row],[LEVEL]]="2",Table681620[[#This Row],[L2]],
IF(Table681620[[#This Row],[LEVEL]]="1",Table681620[[#This Row],[L1]],"")))))</f>
        <v>Workshop Compound Fencing</v>
      </c>
      <c r="U268" s="47" t="s">
        <v>1105</v>
      </c>
      <c r="V268" s="72" t="s">
        <v>44</v>
      </c>
      <c r="W268" s="59"/>
      <c r="X268" s="48"/>
      <c r="Y268" s="62">
        <f>Table681620[[#This Row],[Qty]]*Table681620[[#This Row],[Rate]]</f>
        <v>0</v>
      </c>
      <c r="Z268" s="51"/>
      <c r="AA268" s="48" t="s">
        <v>1375</v>
      </c>
      <c r="AB268" s="48" t="s">
        <v>1385</v>
      </c>
      <c r="AC268" s="7"/>
    </row>
    <row r="269" spans="1:29" x14ac:dyDescent="0.3">
      <c r="A269" s="43" t="str">
        <f>INDEX(Table_Numbering[L1],MATCH(Table681620[[#This Row],[L1]],Table_Numbering[L1 Description (Cost Area)],0))</f>
        <v>A</v>
      </c>
      <c r="B269" s="43" t="str">
        <f>IFERROR(INDEX(Table_Numbering[L2],MATCH(Table681620[[#This Row],[L2]],Table_Numbering[L2 Description (Area)],0)),"0")</f>
        <v>0</v>
      </c>
      <c r="C269" s="43" t="str">
        <f>IFERROR(INDEX(Table_Numbering[L3],MATCH(Table681620[[#This Row],[L3]],Table_Numbering[L3 Description (Sub Area)],0)),"0")</f>
        <v>13</v>
      </c>
      <c r="D269" s="43" t="str">
        <f>Table681620[[#This Row],[N1]]&amp;Table681620[[#This Row],[N2]]&amp;Table681620[[#This Row],[N3]]</f>
        <v>A013</v>
      </c>
      <c r="E269" s="43" t="str">
        <f>TEXT(COUNTIF(C$7:C267,Table681620[[#This Row],[N3]]),"00")</f>
        <v>32</v>
      </c>
      <c r="F269" s="43">
        <f>COUNTIFS(J$7:J269,J269,K$7:K269,K269,L$7:L269,L269,M$7:M269,M269)</f>
        <v>1</v>
      </c>
      <c r="G269" s="43" t="str">
        <f>TEXT(COUNTIFS(A$7:A269,A269,B$7:B269,B269,E$7:E269,E269,F$7:F269,1),"00")</f>
        <v>01</v>
      </c>
      <c r="H269" s="43" t="str">
        <f t="shared" si="10"/>
        <v>00</v>
      </c>
      <c r="I269" s="44" t="str">
        <f t="shared" si="11"/>
        <v>4</v>
      </c>
      <c r="J269" s="75" t="s">
        <v>38</v>
      </c>
      <c r="K269" s="45" t="s">
        <v>1387</v>
      </c>
      <c r="L269" s="45" t="s">
        <v>312</v>
      </c>
      <c r="M269" s="45" t="s">
        <v>1393</v>
      </c>
      <c r="N269" s="45"/>
      <c r="O26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A0.13.32</v>
      </c>
      <c r="P269" s="59" t="s">
        <v>1358</v>
      </c>
      <c r="Q269" s="59" t="s">
        <v>78</v>
      </c>
      <c r="R269" s="59" t="s">
        <v>1300</v>
      </c>
      <c r="S269" s="59" t="s">
        <v>1946</v>
      </c>
      <c r="T269" s="58" t="str">
        <f>IF(Table681620[[#This Row],[LEVEL]]="5",Table681620[[#This Row],[L5]],
IF(Table681620[[#This Row],[LEVEL]]="4",Table681620[[#This Row],[L4]],
IF(Table681620[[#This Row],[LEVEL]]="3",Table681620[[#This Row],[L3]],
IF(Table681620[[#This Row],[LEVEL]]="2",Table681620[[#This Row],[L2]],
IF(Table681620[[#This Row],[LEVEL]]="1",Table681620[[#This Row],[L1]],"")))))</f>
        <v>Workshop Gates</v>
      </c>
      <c r="U269" s="47" t="s">
        <v>574</v>
      </c>
      <c r="V269" s="72" t="s">
        <v>44</v>
      </c>
      <c r="W269" s="59"/>
      <c r="X269" s="48"/>
      <c r="Y269" s="62">
        <f>Table681620[[#This Row],[Qty]]*Table681620[[#This Row],[Rate]]</f>
        <v>0</v>
      </c>
      <c r="Z269" s="51"/>
      <c r="AA269" s="48" t="s">
        <v>1360</v>
      </c>
      <c r="AB269" s="48" t="s">
        <v>1361</v>
      </c>
      <c r="AC269" s="7"/>
    </row>
    <row r="270" spans="1:29" x14ac:dyDescent="0.3">
      <c r="A270" s="43" t="str">
        <f>INDEX(Table_Numbering[L1],MATCH(Table681620[[#This Row],[L1]],Table_Numbering[L1 Description (Cost Area)],0))</f>
        <v>A</v>
      </c>
      <c r="B270" s="43" t="str">
        <f>IFERROR(INDEX(Table_Numbering[L2],MATCH(Table681620[[#This Row],[L2]],Table_Numbering[L2 Description (Area)],0)),"0")</f>
        <v>0</v>
      </c>
      <c r="C270" s="43" t="str">
        <f>IFERROR(INDEX(Table_Numbering[L3],MATCH(Table681620[[#This Row],[L3]],Table_Numbering[L3 Description (Sub Area)],0)),"0")</f>
        <v>13</v>
      </c>
      <c r="D270" s="43" t="str">
        <f>Table681620[[#This Row],[N1]]&amp;Table681620[[#This Row],[N2]]&amp;Table681620[[#This Row],[N3]]</f>
        <v>A013</v>
      </c>
      <c r="E270" s="43" t="str">
        <f>TEXT(COUNTIF(C$7:C268,Table681620[[#This Row],[N3]]),"00")</f>
        <v>33</v>
      </c>
      <c r="F270" s="43">
        <f>COUNTIFS(J$7:J270,J270,K$7:K270,K270,L$7:L270,L270,M$7:M270,M270)</f>
        <v>1</v>
      </c>
      <c r="G270" s="43" t="str">
        <f>TEXT(COUNTIFS(A$7:A270,A270,B$7:B270,B270,E$7:E270,E270,F$7:F270,1),"00")</f>
        <v>01</v>
      </c>
      <c r="H270" s="43" t="str">
        <f t="shared" si="10"/>
        <v>00</v>
      </c>
      <c r="I270" s="44" t="str">
        <f t="shared" si="11"/>
        <v>4</v>
      </c>
      <c r="J270" s="75" t="s">
        <v>38</v>
      </c>
      <c r="K270" s="45" t="s">
        <v>1387</v>
      </c>
      <c r="L270" s="45" t="s">
        <v>312</v>
      </c>
      <c r="M270" s="45" t="s">
        <v>1394</v>
      </c>
      <c r="N270" s="45"/>
      <c r="O27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A0.13.33</v>
      </c>
      <c r="P270" s="59" t="s">
        <v>350</v>
      </c>
      <c r="Q270" s="59" t="s">
        <v>78</v>
      </c>
      <c r="R270" s="59" t="s">
        <v>532</v>
      </c>
      <c r="S270" s="59" t="s">
        <v>1947</v>
      </c>
      <c r="T270" s="58" t="str">
        <f>IF(Table681620[[#This Row],[LEVEL]]="5",Table681620[[#This Row],[L5]],
IF(Table681620[[#This Row],[LEVEL]]="4",Table681620[[#This Row],[L4]],
IF(Table681620[[#This Row],[LEVEL]]="3",Table681620[[#This Row],[L3]],
IF(Table681620[[#This Row],[LEVEL]]="2",Table681620[[#This Row],[L2]],
IF(Table681620[[#This Row],[LEVEL]]="1",Table681620[[#This Row],[L1]],"")))))</f>
        <v>Workshop External Lighting</v>
      </c>
      <c r="U270" s="47" t="s">
        <v>574</v>
      </c>
      <c r="V270" s="72" t="s">
        <v>44</v>
      </c>
      <c r="W270" s="59"/>
      <c r="X270" s="48"/>
      <c r="Y270" s="62">
        <f>Table681620[[#This Row],[Qty]]*Table681620[[#This Row],[Rate]]</f>
        <v>0</v>
      </c>
      <c r="Z270" s="51"/>
      <c r="AA270" s="48" t="s">
        <v>1395</v>
      </c>
      <c r="AB270" s="48" t="s">
        <v>1396</v>
      </c>
      <c r="AC270" s="7"/>
    </row>
    <row r="271" spans="1:29" x14ac:dyDescent="0.3">
      <c r="A271" s="43" t="str">
        <f>INDEX(Table_Numbering[L1],MATCH(Table681620[[#This Row],[L1]],Table_Numbering[L1 Description (Cost Area)],0))</f>
        <v>A</v>
      </c>
      <c r="B271" s="43" t="str">
        <f>IFERROR(INDEX(Table_Numbering[L2],MATCH(Table681620[[#This Row],[L2]],Table_Numbering[L2 Description (Area)],0)),"0")</f>
        <v>0</v>
      </c>
      <c r="C271" s="43" t="str">
        <f>IFERROR(INDEX(Table_Numbering[L3],MATCH(Table681620[[#This Row],[L3]],Table_Numbering[L3 Description (Sub Area)],0)),"0")</f>
        <v>13</v>
      </c>
      <c r="D271" s="43" t="str">
        <f>Table681620[[#This Row],[N1]]&amp;Table681620[[#This Row],[N2]]&amp;Table681620[[#This Row],[N3]]</f>
        <v>A013</v>
      </c>
      <c r="E271" s="43" t="str">
        <f>TEXT(COUNTIF(C$7:C269,Table681620[[#This Row],[N3]]),"00")</f>
        <v>34</v>
      </c>
      <c r="F271" s="43">
        <f>COUNTIFS(J$7:J271,J271,K$7:K271,K271,L$7:L271,L271,M$7:M271,M271)</f>
        <v>1</v>
      </c>
      <c r="G271" s="43" t="str">
        <f>TEXT(COUNTIFS(A$7:A271,A271,B$7:B271,B271,E$7:E271,E271,F$7:F271,1),"00")</f>
        <v>01</v>
      </c>
      <c r="H271" s="43" t="str">
        <f t="shared" si="10"/>
        <v>00</v>
      </c>
      <c r="I271" s="44" t="str">
        <f t="shared" si="11"/>
        <v>4</v>
      </c>
      <c r="J271" s="75" t="s">
        <v>38</v>
      </c>
      <c r="K271" s="45" t="s">
        <v>1387</v>
      </c>
      <c r="L271" s="45" t="s">
        <v>312</v>
      </c>
      <c r="M271" s="45" t="s">
        <v>1398</v>
      </c>
      <c r="N271" s="45"/>
      <c r="O27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A0.13.34</v>
      </c>
      <c r="P271" s="59" t="s">
        <v>1397</v>
      </c>
      <c r="Q271" s="59" t="s">
        <v>78</v>
      </c>
      <c r="R271" s="59" t="s">
        <v>1300</v>
      </c>
      <c r="S271" s="59" t="s">
        <v>1948</v>
      </c>
      <c r="T271" s="58" t="str">
        <f>IF(Table681620[[#This Row],[LEVEL]]="5",Table681620[[#This Row],[L5]],
IF(Table681620[[#This Row],[LEVEL]]="4",Table681620[[#This Row],[L4]],
IF(Table681620[[#This Row],[LEVEL]]="3",Table681620[[#This Row],[L3]],
IF(Table681620[[#This Row],[LEVEL]]="2",Table681620[[#This Row],[L2]],
IF(Table681620[[#This Row],[LEVEL]]="1",Table681620[[#This Row],[L1]],"")))))</f>
        <v>Workshop Landscaping Allowance</v>
      </c>
      <c r="U271" s="47" t="s">
        <v>62</v>
      </c>
      <c r="V271" s="72" t="s">
        <v>44</v>
      </c>
      <c r="W271" s="59">
        <v>1</v>
      </c>
      <c r="X271" s="48"/>
      <c r="Y271" s="62">
        <f>Table681620[[#This Row],[Qty]]*Table681620[[#This Row],[Rate]]</f>
        <v>0</v>
      </c>
      <c r="Z271" s="51"/>
      <c r="AA271" s="48" t="s">
        <v>356</v>
      </c>
      <c r="AB271" s="48" t="s">
        <v>1399</v>
      </c>
      <c r="AC271" s="7"/>
    </row>
    <row r="272" spans="1:29" x14ac:dyDescent="0.3">
      <c r="A272" s="43" t="str">
        <f>INDEX(Table_Numbering[L1],MATCH(Table681620[[#This Row],[L1]],Table_Numbering[L1 Description (Cost Area)],0))</f>
        <v>A</v>
      </c>
      <c r="B272" s="43" t="str">
        <f>IFERROR(INDEX(Table_Numbering[L2],MATCH(Table681620[[#This Row],[L2]],Table_Numbering[L2 Description (Area)],0)),"0")</f>
        <v>6</v>
      </c>
      <c r="C272" s="43" t="str">
        <f>IFERROR(INDEX(Table_Numbering[L3],MATCH(Table681620[[#This Row],[L3]],Table_Numbering[L3 Description (Sub Area)],0)),"0")</f>
        <v>0</v>
      </c>
      <c r="D272" s="43" t="str">
        <f>Table681620[[#This Row],[N1]]&amp;Table681620[[#This Row],[N2]]&amp;Table681620[[#This Row],[N3]]</f>
        <v>A60</v>
      </c>
      <c r="E272" s="43" t="str">
        <f>TEXT(COUNTIF(C$7:C270,Table681620[[#This Row],[N3]]),"00")</f>
        <v>07</v>
      </c>
      <c r="F272" s="43">
        <f>COUNTIFS(J$7:J272,J272,K$7:K272,K272,L$7:L272,L272,M$7:M272,M272)</f>
        <v>0</v>
      </c>
      <c r="G272" s="43" t="str">
        <f>TEXT(COUNTIFS(A$7:A272,A272,B$7:B272,B272,E$7:E272,E272,F$7:F272,1),"00")</f>
        <v>00</v>
      </c>
      <c r="H272" s="43" t="str">
        <f t="shared" si="10"/>
        <v>00</v>
      </c>
      <c r="I272" s="44" t="str">
        <f t="shared" si="11"/>
        <v>2</v>
      </c>
      <c r="J272" s="75" t="s">
        <v>38</v>
      </c>
      <c r="K272" s="45" t="s">
        <v>758</v>
      </c>
      <c r="L272" s="45"/>
      <c r="M272" s="45"/>
      <c r="N272" s="45"/>
      <c r="O27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A6</v>
      </c>
      <c r="P272" s="59"/>
      <c r="Q272" s="59"/>
      <c r="R272" s="59"/>
      <c r="S272" s="59"/>
      <c r="T272" s="48" t="str">
        <f>IF(Table681620[[#This Row],[LEVEL]]="5",Table681620[[#This Row],[L5]],
IF(Table681620[[#This Row],[LEVEL]]="4",Table681620[[#This Row],[L4]],
IF(Table681620[[#This Row],[LEVEL]]="3",Table681620[[#This Row],[L3]],
IF(Table681620[[#This Row],[LEVEL]]="2",Table681620[[#This Row],[L2]],
IF(Table681620[[#This Row],[LEVEL]]="1",Table681620[[#This Row],[L1]],"")))))</f>
        <v>WAREHOUSE BUILDING</v>
      </c>
      <c r="U272" s="47"/>
      <c r="V272" s="72"/>
      <c r="W272" s="59"/>
      <c r="X272" s="48"/>
      <c r="Y272" s="50">
        <f>SUBTOTAL(9,Y273:Y284)</f>
        <v>0</v>
      </c>
      <c r="Z272" s="51"/>
      <c r="AA272" s="48"/>
      <c r="AB272" s="48"/>
      <c r="AC272" s="7"/>
    </row>
    <row r="273" spans="1:29" x14ac:dyDescent="0.3">
      <c r="A273" s="43" t="str">
        <f>INDEX(Table_Numbering[L1],MATCH(Table681620[[#This Row],[L1]],Table_Numbering[L1 Description (Cost Area)],0))</f>
        <v>A</v>
      </c>
      <c r="B273" s="43" t="str">
        <f>IFERROR(INDEX(Table_Numbering[L2],MATCH(Table681620[[#This Row],[L2]],Table_Numbering[L2 Description (Area)],0)),"0")</f>
        <v>6</v>
      </c>
      <c r="C273" s="43" t="str">
        <f>IFERROR(INDEX(Table_Numbering[L3],MATCH(Table681620[[#This Row],[L3]],Table_Numbering[L3 Description (Sub Area)],0)),"0")</f>
        <v>07</v>
      </c>
      <c r="D273" s="43" t="str">
        <f>Table681620[[#This Row],[N1]]&amp;Table681620[[#This Row],[N2]]&amp;Table681620[[#This Row],[N3]]</f>
        <v>A607</v>
      </c>
      <c r="E273" s="43" t="str">
        <f>TEXT(COUNTIF(C$7:C271,Table681620[[#This Row],[N3]]),"00")</f>
        <v>14</v>
      </c>
      <c r="F273" s="43">
        <f>COUNTIFS(J$7:J273,J273,K$7:K273,K273,L$7:L273,L273,M$7:M273,M273)</f>
        <v>0</v>
      </c>
      <c r="G273" s="43" t="str">
        <f>TEXT(COUNTIFS(A$7:A273,A273,B$7:B273,B273,E$7:E273,E273,F$7:F273,1),"00")</f>
        <v>00</v>
      </c>
      <c r="H273" s="43" t="str">
        <f t="shared" si="10"/>
        <v>00</v>
      </c>
      <c r="I273" s="44" t="str">
        <f t="shared" si="11"/>
        <v>3</v>
      </c>
      <c r="J273" s="75" t="s">
        <v>38</v>
      </c>
      <c r="K273" s="45" t="s">
        <v>758</v>
      </c>
      <c r="L273" s="45" t="s">
        <v>760</v>
      </c>
      <c r="M273" s="45"/>
      <c r="N273" s="45"/>
      <c r="O27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A6.07</v>
      </c>
      <c r="P273" s="59"/>
      <c r="Q273" s="59"/>
      <c r="R273" s="59"/>
      <c r="S273" s="59"/>
      <c r="T273" s="55" t="str">
        <f>IF(Table681620[[#This Row],[LEVEL]]="5",Table681620[[#This Row],[L5]],
IF(Table681620[[#This Row],[LEVEL]]="4",Table681620[[#This Row],[L4]],
IF(Table681620[[#This Row],[LEVEL]]="3",Table681620[[#This Row],[L3]],
IF(Table681620[[#This Row],[LEVEL]]="2",Table681620[[#This Row],[L2]],
IF(Table681620[[#This Row],[LEVEL]]="1",Table681620[[#This Row],[L1]],"")))))</f>
        <v>WORKS</v>
      </c>
      <c r="U273" s="47"/>
      <c r="V273" s="72"/>
      <c r="W273" s="59"/>
      <c r="X273" s="48"/>
      <c r="Y273" s="50">
        <f>SUBTOTAL(9,Y274:Y278)</f>
        <v>0</v>
      </c>
      <c r="Z273" s="51"/>
      <c r="AA273" s="48"/>
      <c r="AB273" s="48"/>
      <c r="AC273" s="7"/>
    </row>
    <row r="274" spans="1:29" x14ac:dyDescent="0.3">
      <c r="A274" s="43" t="str">
        <f>INDEX(Table_Numbering[L1],MATCH(Table681620[[#This Row],[L1]],Table_Numbering[L1 Description (Cost Area)],0))</f>
        <v>A</v>
      </c>
      <c r="B274" s="43" t="str">
        <f>IFERROR(INDEX(Table_Numbering[L2],MATCH(Table681620[[#This Row],[L2]],Table_Numbering[L2 Description (Area)],0)),"0")</f>
        <v>6</v>
      </c>
      <c r="C274" s="43" t="str">
        <f>IFERROR(INDEX(Table_Numbering[L3],MATCH(Table681620[[#This Row],[L3]],Table_Numbering[L3 Description (Sub Area)],0)),"0")</f>
        <v>07</v>
      </c>
      <c r="D274" s="43" t="str">
        <f>Table681620[[#This Row],[N1]]&amp;Table681620[[#This Row],[N2]]&amp;Table681620[[#This Row],[N3]]</f>
        <v>A607</v>
      </c>
      <c r="E274" s="43" t="str">
        <f>TEXT(COUNTIF(C$7:C272,Table681620[[#This Row],[N3]]),"00")</f>
        <v>14</v>
      </c>
      <c r="F274" s="43">
        <f>COUNTIFS(J$7:J274,J274,K$7:K274,K274,L$7:L274,L274,M$7:M274,M274)</f>
        <v>1</v>
      </c>
      <c r="G274" s="43" t="str">
        <f>TEXT(COUNTIFS(A$7:A274,A274,B$7:B274,B274,E$7:E274,E274,F$7:F274,1),"00")</f>
        <v>01</v>
      </c>
      <c r="H274" s="43" t="str">
        <f t="shared" si="10"/>
        <v>00</v>
      </c>
      <c r="I274" s="44" t="str">
        <f t="shared" si="11"/>
        <v>4</v>
      </c>
      <c r="J274" s="75" t="s">
        <v>38</v>
      </c>
      <c r="K274" s="45" t="s">
        <v>758</v>
      </c>
      <c r="L274" s="45" t="s">
        <v>760</v>
      </c>
      <c r="M274" s="45" t="s">
        <v>761</v>
      </c>
      <c r="N274" s="45"/>
      <c r="O27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A6.07.14</v>
      </c>
      <c r="P274" s="59" t="s">
        <v>426</v>
      </c>
      <c r="Q274" s="59" t="s">
        <v>345</v>
      </c>
      <c r="R274" s="59" t="s">
        <v>432</v>
      </c>
      <c r="S274" s="59" t="s">
        <v>1949</v>
      </c>
      <c r="T274" s="58" t="str">
        <f>IF(Table681620[[#This Row],[LEVEL]]="5",Table681620[[#This Row],[L5]],
IF(Table681620[[#This Row],[LEVEL]]="4",Table681620[[#This Row],[L4]],
IF(Table681620[[#This Row],[LEVEL]]="3",Table681620[[#This Row],[L3]],
IF(Table681620[[#This Row],[LEVEL]]="2",Table681620[[#This Row],[L2]],
IF(Table681620[[#This Row],[LEVEL]]="1",Table681620[[#This Row],[L1]],"")))))</f>
        <v>Demolition &amp; Hazmat Package</v>
      </c>
      <c r="U274" s="47" t="s">
        <v>62</v>
      </c>
      <c r="V274" s="72" t="s">
        <v>44</v>
      </c>
      <c r="W274" s="59">
        <v>1</v>
      </c>
      <c r="X274" s="48"/>
      <c r="Y274" s="62">
        <f>Table681620[[#This Row],[Qty]]*Table681620[[#This Row],[Rate]]</f>
        <v>0</v>
      </c>
      <c r="Z274" s="51"/>
      <c r="AA274" s="48" t="s">
        <v>79</v>
      </c>
      <c r="AB274" s="48" t="s">
        <v>720</v>
      </c>
      <c r="AC274" s="7"/>
    </row>
    <row r="275" spans="1:29" x14ac:dyDescent="0.3">
      <c r="A275" s="43" t="str">
        <f>INDEX(Table_Numbering[L1],MATCH(Table681620[[#This Row],[L1]],Table_Numbering[L1 Description (Cost Area)],0))</f>
        <v>A</v>
      </c>
      <c r="B275" s="43" t="str">
        <f>IFERROR(INDEX(Table_Numbering[L2],MATCH(Table681620[[#This Row],[L2]],Table_Numbering[L2 Description (Area)],0)),"0")</f>
        <v>6</v>
      </c>
      <c r="C275" s="43" t="str">
        <f>IFERROR(INDEX(Table_Numbering[L3],MATCH(Table681620[[#This Row],[L3]],Table_Numbering[L3 Description (Sub Area)],0)),"0")</f>
        <v>07</v>
      </c>
      <c r="D275" s="43" t="str">
        <f>Table681620[[#This Row],[N1]]&amp;Table681620[[#This Row],[N2]]&amp;Table681620[[#This Row],[N3]]</f>
        <v>A607</v>
      </c>
      <c r="E275" s="43" t="str">
        <f>TEXT(COUNTIF(C$7:C273,Table681620[[#This Row],[N3]]),"00")</f>
        <v>15</v>
      </c>
      <c r="F275" s="43">
        <f>COUNTIFS(J$7:J275,J275,K$7:K275,K275,L$7:L275,L275,M$7:M275,M275)</f>
        <v>1</v>
      </c>
      <c r="G275" s="43" t="str">
        <f>TEXT(COUNTIFS(A$7:A275,A275,B$7:B275,B275,E$7:E275,E275,F$7:F275,1),"00")</f>
        <v>01</v>
      </c>
      <c r="H275" s="43" t="str">
        <f t="shared" si="10"/>
        <v>00</v>
      </c>
      <c r="I275" s="44" t="str">
        <f t="shared" si="11"/>
        <v>4</v>
      </c>
      <c r="J275" s="75" t="s">
        <v>38</v>
      </c>
      <c r="K275" s="45" t="s">
        <v>758</v>
      </c>
      <c r="L275" s="45" t="s">
        <v>760</v>
      </c>
      <c r="M275" s="45" t="s">
        <v>762</v>
      </c>
      <c r="N275" s="45"/>
      <c r="O27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A6.07.15</v>
      </c>
      <c r="P275" s="59" t="s">
        <v>330</v>
      </c>
      <c r="Q275" s="59" t="s">
        <v>78</v>
      </c>
      <c r="R275" s="59" t="s">
        <v>432</v>
      </c>
      <c r="S275" s="59" t="s">
        <v>1950</v>
      </c>
      <c r="T275" s="58" t="str">
        <f>IF(Table681620[[#This Row],[LEVEL]]="5",Table681620[[#This Row],[L5]],
IF(Table681620[[#This Row],[LEVEL]]="4",Table681620[[#This Row],[L4]],
IF(Table681620[[#This Row],[LEVEL]]="3",Table681620[[#This Row],[L3]],
IF(Table681620[[#This Row],[LEVEL]]="2",Table681620[[#This Row],[L2]],
IF(Table681620[[#This Row],[LEVEL]]="1",Table681620[[#This Row],[L1]],"")))))</f>
        <v>Structural &amp; Roof Package</v>
      </c>
      <c r="U275" s="47" t="s">
        <v>62</v>
      </c>
      <c r="V275" s="72" t="s">
        <v>44</v>
      </c>
      <c r="W275" s="59">
        <v>1</v>
      </c>
      <c r="X275" s="48"/>
      <c r="Y275" s="62">
        <f>Table681620[[#This Row],[Qty]]*Table681620[[#This Row],[Rate]]</f>
        <v>0</v>
      </c>
      <c r="Z275" s="51"/>
      <c r="AA275" s="48" t="s">
        <v>79</v>
      </c>
      <c r="AB275" s="48" t="s">
        <v>749</v>
      </c>
      <c r="AC275" s="7"/>
    </row>
    <row r="276" spans="1:29" x14ac:dyDescent="0.3">
      <c r="A276" s="43" t="str">
        <f>INDEX(Table_Numbering[L1],MATCH(Table681620[[#This Row],[L1]],Table_Numbering[L1 Description (Cost Area)],0))</f>
        <v>A</v>
      </c>
      <c r="B276" s="43" t="str">
        <f>IFERROR(INDEX(Table_Numbering[L2],MATCH(Table681620[[#This Row],[L2]],Table_Numbering[L2 Description (Area)],0)),"0")</f>
        <v>6</v>
      </c>
      <c r="C276" s="43" t="str">
        <f>IFERROR(INDEX(Table_Numbering[L3],MATCH(Table681620[[#This Row],[L3]],Table_Numbering[L3 Description (Sub Area)],0)),"0")</f>
        <v>07</v>
      </c>
      <c r="D276" s="43" t="str">
        <f>Table681620[[#This Row],[N1]]&amp;Table681620[[#This Row],[N2]]&amp;Table681620[[#This Row],[N3]]</f>
        <v>A607</v>
      </c>
      <c r="E276" s="43" t="str">
        <f>TEXT(COUNTIF(C$7:C274,Table681620[[#This Row],[N3]]),"00")</f>
        <v>16</v>
      </c>
      <c r="F276" s="43">
        <f>COUNTIFS(J$7:J276,J276,K$7:K276,K276,L$7:L276,L276,M$7:M276,M276)</f>
        <v>1</v>
      </c>
      <c r="G276" s="43" t="str">
        <f>TEXT(COUNTIFS(A$7:A276,A276,B$7:B276,B276,E$7:E276,E276,F$7:F276,1),"00")</f>
        <v>01</v>
      </c>
      <c r="H276" s="43" t="str">
        <f t="shared" si="10"/>
        <v>00</v>
      </c>
      <c r="I276" s="44" t="str">
        <f t="shared" si="11"/>
        <v>4</v>
      </c>
      <c r="J276" s="75" t="s">
        <v>38</v>
      </c>
      <c r="K276" s="45" t="s">
        <v>758</v>
      </c>
      <c r="L276" s="45" t="s">
        <v>760</v>
      </c>
      <c r="M276" s="45" t="s">
        <v>765</v>
      </c>
      <c r="N276" s="45"/>
      <c r="O27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A6.07.16</v>
      </c>
      <c r="P276" s="59" t="s">
        <v>763</v>
      </c>
      <c r="Q276" s="59" t="s">
        <v>78</v>
      </c>
      <c r="R276" s="59" t="s">
        <v>764</v>
      </c>
      <c r="S276" s="59" t="s">
        <v>1951</v>
      </c>
      <c r="T276" s="58" t="str">
        <f>IF(Table681620[[#This Row],[LEVEL]]="5",Table681620[[#This Row],[L5]],
IF(Table681620[[#This Row],[LEVEL]]="4",Table681620[[#This Row],[L4]],
IF(Table681620[[#This Row],[LEVEL]]="3",Table681620[[#This Row],[L3]],
IF(Table681620[[#This Row],[LEVEL]]="2",Table681620[[#This Row],[L2]],
IF(Table681620[[#This Row],[LEVEL]]="1",Table681620[[#This Row],[L1]],"")))))</f>
        <v>Building Services Package</v>
      </c>
      <c r="U276" s="47" t="s">
        <v>62</v>
      </c>
      <c r="V276" s="72" t="s">
        <v>44</v>
      </c>
      <c r="W276" s="59">
        <v>1</v>
      </c>
      <c r="X276" s="48"/>
      <c r="Y276" s="62">
        <f>Table681620[[#This Row],[Qty]]*Table681620[[#This Row],[Rate]]</f>
        <v>0</v>
      </c>
      <c r="Z276" s="51"/>
      <c r="AA276" s="48" t="s">
        <v>79</v>
      </c>
      <c r="AB276" s="48" t="s">
        <v>653</v>
      </c>
      <c r="AC276" s="7"/>
    </row>
    <row r="277" spans="1:29" x14ac:dyDescent="0.3">
      <c r="A277" s="43" t="str">
        <f>INDEX(Table_Numbering[L1],MATCH(Table681620[[#This Row],[L1]],Table_Numbering[L1 Description (Cost Area)],0))</f>
        <v>A</v>
      </c>
      <c r="B277" s="43" t="str">
        <f>IFERROR(INDEX(Table_Numbering[L2],MATCH(Table681620[[#This Row],[L2]],Table_Numbering[L2 Description (Area)],0)),"0")</f>
        <v>6</v>
      </c>
      <c r="C277" s="43" t="str">
        <f>IFERROR(INDEX(Table_Numbering[L3],MATCH(Table681620[[#This Row],[L3]],Table_Numbering[L3 Description (Sub Area)],0)),"0")</f>
        <v>07</v>
      </c>
      <c r="D277" s="43" t="str">
        <f>Table681620[[#This Row],[N1]]&amp;Table681620[[#This Row],[N2]]&amp;Table681620[[#This Row],[N3]]</f>
        <v>A607</v>
      </c>
      <c r="E277" s="43" t="str">
        <f>TEXT(COUNTIF(C$7:C275,Table681620[[#This Row],[N3]]),"00")</f>
        <v>17</v>
      </c>
      <c r="F277" s="43">
        <f>COUNTIFS(J$7:J277,J277,K$7:K277,K277,L$7:L277,L277,M$7:M277,M277)</f>
        <v>1</v>
      </c>
      <c r="G277" s="43" t="str">
        <f>TEXT(COUNTIFS(A$7:A277,A277,B$7:B277,B277,E$7:E277,E277,F$7:F277,1),"00")</f>
        <v>01</v>
      </c>
      <c r="H277" s="43" t="str">
        <f t="shared" si="10"/>
        <v>00</v>
      </c>
      <c r="I277" s="44" t="str">
        <f t="shared" si="11"/>
        <v>4</v>
      </c>
      <c r="J277" s="75" t="s">
        <v>38</v>
      </c>
      <c r="K277" s="45" t="s">
        <v>758</v>
      </c>
      <c r="L277" s="45" t="s">
        <v>760</v>
      </c>
      <c r="M277" s="45" t="s">
        <v>767</v>
      </c>
      <c r="N277" s="45"/>
      <c r="O27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A6.07.17</v>
      </c>
      <c r="P277" s="59" t="s">
        <v>329</v>
      </c>
      <c r="Q277" s="59" t="s">
        <v>78</v>
      </c>
      <c r="R277" s="59" t="s">
        <v>766</v>
      </c>
      <c r="S277" s="59" t="s">
        <v>1925</v>
      </c>
      <c r="T277" s="58" t="str">
        <f>IF(Table681620[[#This Row],[LEVEL]]="5",Table681620[[#This Row],[L5]],
IF(Table681620[[#This Row],[LEVEL]]="4",Table681620[[#This Row],[L4]],
IF(Table681620[[#This Row],[LEVEL]]="3",Table681620[[#This Row],[L3]],
IF(Table681620[[#This Row],[LEVEL]]="2",Table681620[[#This Row],[L2]],
IF(Table681620[[#This Row],[LEVEL]]="1",Table681620[[#This Row],[L1]],"")))))</f>
        <v>Internal Fitout &amp; Finishes</v>
      </c>
      <c r="U277" s="47" t="s">
        <v>62</v>
      </c>
      <c r="V277" s="72" t="s">
        <v>44</v>
      </c>
      <c r="W277" s="59">
        <v>1</v>
      </c>
      <c r="X277" s="48"/>
      <c r="Y277" s="62">
        <f>Table681620[[#This Row],[Qty]]*Table681620[[#This Row],[Rate]]</f>
        <v>0</v>
      </c>
      <c r="Z277" s="51"/>
      <c r="AA277" s="48" t="s">
        <v>79</v>
      </c>
      <c r="AB277" s="48" t="s">
        <v>624</v>
      </c>
      <c r="AC277" s="7"/>
    </row>
    <row r="278" spans="1:29" x14ac:dyDescent="0.3">
      <c r="A278" s="43" t="str">
        <f>INDEX(Table_Numbering[L1],MATCH(Table681620[[#This Row],[L1]],Table_Numbering[L1 Description (Cost Area)],0))</f>
        <v>A</v>
      </c>
      <c r="B278" s="43" t="str">
        <f>IFERROR(INDEX(Table_Numbering[L2],MATCH(Table681620[[#This Row],[L2]],Table_Numbering[L2 Description (Area)],0)),"0")</f>
        <v>6</v>
      </c>
      <c r="C278" s="43" t="str">
        <f>IFERROR(INDEX(Table_Numbering[L3],MATCH(Table681620[[#This Row],[L3]],Table_Numbering[L3 Description (Sub Area)],0)),"0")</f>
        <v>07</v>
      </c>
      <c r="D278" s="43" t="str">
        <f>Table681620[[#This Row],[N1]]&amp;Table681620[[#This Row],[N2]]&amp;Table681620[[#This Row],[N3]]</f>
        <v>A607</v>
      </c>
      <c r="E278" s="43" t="str">
        <f>TEXT(COUNTIF(C$7:C276,Table681620[[#This Row],[N3]]),"00")</f>
        <v>18</v>
      </c>
      <c r="F278" s="43">
        <f>COUNTIFS(J$7:J278,J278,K$7:K278,K278,L$7:L278,L278,M$7:M278,M278)</f>
        <v>1</v>
      </c>
      <c r="G278" s="43" t="str">
        <f>TEXT(COUNTIFS(A$7:A278,A278,B$7:B278,B278,E$7:E278,E278,F$7:F278,1),"00")</f>
        <v>01</v>
      </c>
      <c r="H278" s="43" t="str">
        <f t="shared" si="10"/>
        <v>00</v>
      </c>
      <c r="I278" s="44" t="str">
        <f t="shared" si="11"/>
        <v>4</v>
      </c>
      <c r="J278" s="75" t="s">
        <v>38</v>
      </c>
      <c r="K278" s="45" t="s">
        <v>758</v>
      </c>
      <c r="L278" s="45" t="s">
        <v>760</v>
      </c>
      <c r="M278" s="45" t="s">
        <v>741</v>
      </c>
      <c r="N278" s="45"/>
      <c r="O27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A6.07.18</v>
      </c>
      <c r="P278" s="59" t="s">
        <v>352</v>
      </c>
      <c r="Q278" s="59" t="s">
        <v>78</v>
      </c>
      <c r="R278" s="59" t="s">
        <v>768</v>
      </c>
      <c r="S278" s="59" t="s">
        <v>1929</v>
      </c>
      <c r="T278" s="58" t="str">
        <f>IF(Table681620[[#This Row],[LEVEL]]="5",Table681620[[#This Row],[L5]],
IF(Table681620[[#This Row],[LEVEL]]="4",Table681620[[#This Row],[L4]],
IF(Table681620[[#This Row],[LEVEL]]="3",Table681620[[#This Row],[L3]],
IF(Table681620[[#This Row],[LEVEL]]="2",Table681620[[#This Row],[L2]],
IF(Table681620[[#This Row],[LEVEL]]="1",Table681620[[#This Row],[L1]],"")))))</f>
        <v>FFE Package</v>
      </c>
      <c r="U278" s="47" t="s">
        <v>62</v>
      </c>
      <c r="V278" s="72" t="s">
        <v>44</v>
      </c>
      <c r="W278" s="59">
        <v>1</v>
      </c>
      <c r="X278" s="48"/>
      <c r="Y278" s="62">
        <f>Table681620[[#This Row],[Qty]]*Table681620[[#This Row],[Rate]]</f>
        <v>0</v>
      </c>
      <c r="Z278" s="51"/>
      <c r="AA278" s="48" t="s">
        <v>742</v>
      </c>
      <c r="AB278" s="48" t="s">
        <v>703</v>
      </c>
      <c r="AC278" s="7"/>
    </row>
    <row r="279" spans="1:29" x14ac:dyDescent="0.3">
      <c r="A279" s="43" t="str">
        <f>INDEX(Table_Numbering[L1],MATCH(Table681620[[#This Row],[L1]],Table_Numbering[L1 Description (Cost Area)],0))</f>
        <v>A</v>
      </c>
      <c r="B279" s="43" t="str">
        <f>IFERROR(INDEX(Table_Numbering[L2],MATCH(Table681620[[#This Row],[L2]],Table_Numbering[L2 Description (Area)],0)),"0")</f>
        <v>0</v>
      </c>
      <c r="C279" s="43" t="str">
        <f>IFERROR(INDEX(Table_Numbering[L3],MATCH(Table681620[[#This Row],[L3]],Table_Numbering[L3 Description (Sub Area)],0)),"0")</f>
        <v>13</v>
      </c>
      <c r="D279" s="43" t="str">
        <f>Table681620[[#This Row],[N1]]&amp;Table681620[[#This Row],[N2]]&amp;Table681620[[#This Row],[N3]]</f>
        <v>A013</v>
      </c>
      <c r="E279" s="43" t="str">
        <f>TEXT(COUNTIF(C$7:C277,Table681620[[#This Row],[N3]]),"00")</f>
        <v>36</v>
      </c>
      <c r="F279" s="43">
        <f>COUNTIFS(J$7:J279,J279,K$7:K279,K279,L$7:L279,L279,M$7:M279,M279)</f>
        <v>0</v>
      </c>
      <c r="G279" s="43" t="str">
        <f>TEXT(COUNTIFS(A$7:A279,A279,B$7:B279,B279,E$7:E279,E279,F$7:F279,1),"00")</f>
        <v>00</v>
      </c>
      <c r="H279" s="43" t="str">
        <f t="shared" si="10"/>
        <v>00</v>
      </c>
      <c r="I279" s="44" t="str">
        <f t="shared" si="11"/>
        <v>3</v>
      </c>
      <c r="J279" s="75" t="s">
        <v>38</v>
      </c>
      <c r="K279" s="45" t="s">
        <v>1376</v>
      </c>
      <c r="L279" s="45" t="s">
        <v>312</v>
      </c>
      <c r="M279" s="45"/>
      <c r="N279" s="45"/>
      <c r="O27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v>
      </c>
      <c r="P279" s="59"/>
      <c r="Q279" s="59"/>
      <c r="R279" s="59"/>
      <c r="S279" s="59"/>
      <c r="T279" s="55" t="str">
        <f>IF(Table681620[[#This Row],[LEVEL]]="5",Table681620[[#This Row],[L5]],
IF(Table681620[[#This Row],[LEVEL]]="4",Table681620[[#This Row],[L4]],
IF(Table681620[[#This Row],[LEVEL]]="3",Table681620[[#This Row],[L3]],
IF(Table681620[[#This Row],[LEVEL]]="2",Table681620[[#This Row],[L2]],
IF(Table681620[[#This Row],[LEVEL]]="1",Table681620[[#This Row],[L1]],"")))))</f>
        <v>EXTERNAL WORKS</v>
      </c>
      <c r="U279" s="47"/>
      <c r="V279" s="72"/>
      <c r="W279" s="59"/>
      <c r="X279" s="48"/>
      <c r="Y279" s="50">
        <f>SUBTOTAL(9,Y280:Y284)</f>
        <v>0</v>
      </c>
      <c r="Z279" s="51"/>
      <c r="AA279" s="48"/>
      <c r="AB279" s="48"/>
      <c r="AC279" s="7"/>
    </row>
    <row r="280" spans="1:29" x14ac:dyDescent="0.3">
      <c r="A280" s="43" t="str">
        <f>INDEX(Table_Numbering[L1],MATCH(Table681620[[#This Row],[L1]],Table_Numbering[L1 Description (Cost Area)],0))</f>
        <v>A</v>
      </c>
      <c r="B280" s="43" t="str">
        <f>IFERROR(INDEX(Table_Numbering[L2],MATCH(Table681620[[#This Row],[L2]],Table_Numbering[L2 Description (Area)],0)),"0")</f>
        <v>0</v>
      </c>
      <c r="C280" s="43" t="str">
        <f>IFERROR(INDEX(Table_Numbering[L3],MATCH(Table681620[[#This Row],[L3]],Table_Numbering[L3 Description (Sub Area)],0)),"0")</f>
        <v>13</v>
      </c>
      <c r="D280" s="43" t="str">
        <f>Table681620[[#This Row],[N1]]&amp;Table681620[[#This Row],[N2]]&amp;Table681620[[#This Row],[N3]]</f>
        <v>A013</v>
      </c>
      <c r="E280" s="43" t="str">
        <f>TEXT(COUNTIF(C$7:C278,Table681620[[#This Row],[N3]]),"00")</f>
        <v>36</v>
      </c>
      <c r="F280" s="43">
        <f>COUNTIFS(J$7:J280,J280,K$7:K280,K280,L$7:L280,L280,M$7:M280,M280)</f>
        <v>1</v>
      </c>
      <c r="G280" s="43" t="str">
        <f>TEXT(COUNTIFS(A$7:A280,A280,B$7:B280,B280,E$7:E280,E280,F$7:F280,1),"00")</f>
        <v>01</v>
      </c>
      <c r="H280" s="43" t="str">
        <f t="shared" si="10"/>
        <v>00</v>
      </c>
      <c r="I280" s="44" t="str">
        <f t="shared" si="11"/>
        <v>4</v>
      </c>
      <c r="J280" s="75" t="s">
        <v>38</v>
      </c>
      <c r="K280" s="45" t="s">
        <v>1376</v>
      </c>
      <c r="L280" s="45" t="s">
        <v>312</v>
      </c>
      <c r="M280" s="45" t="s">
        <v>1378</v>
      </c>
      <c r="N280" s="45"/>
      <c r="O28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A0.13.36</v>
      </c>
      <c r="P280" s="59" t="s">
        <v>480</v>
      </c>
      <c r="Q280" s="59" t="s">
        <v>78</v>
      </c>
      <c r="R280" s="59" t="s">
        <v>1377</v>
      </c>
      <c r="S280" s="59" t="s">
        <v>1952</v>
      </c>
      <c r="T280" s="58" t="str">
        <f>IF(Table681620[[#This Row],[LEVEL]]="5",Table681620[[#This Row],[L5]],
IF(Table681620[[#This Row],[LEVEL]]="4",Table681620[[#This Row],[L4]],
IF(Table681620[[#This Row],[LEVEL]]="3",Table681620[[#This Row],[L3]],
IF(Table681620[[#This Row],[LEVEL]]="2",Table681620[[#This Row],[L2]],
IF(Table681620[[#This Row],[LEVEL]]="1",Table681620[[#This Row],[L1]],"")))))</f>
        <v>Warehouse Parking Area</v>
      </c>
      <c r="U280" s="47" t="s">
        <v>246</v>
      </c>
      <c r="V280" s="72" t="s">
        <v>44</v>
      </c>
      <c r="W280" s="59"/>
      <c r="X280" s="48"/>
      <c r="Y280" s="62">
        <f>Table681620[[#This Row],[Qty]]*Table681620[[#This Row],[Rate]]</f>
        <v>0</v>
      </c>
      <c r="Z280" s="51"/>
      <c r="AA280" s="48" t="s">
        <v>581</v>
      </c>
      <c r="AB280" s="48" t="s">
        <v>1379</v>
      </c>
      <c r="AC280" s="7"/>
    </row>
    <row r="281" spans="1:29" x14ac:dyDescent="0.3">
      <c r="A281" s="43" t="str">
        <f>INDEX(Table_Numbering[L1],MATCH(Table681620[[#This Row],[L1]],Table_Numbering[L1 Description (Cost Area)],0))</f>
        <v>A</v>
      </c>
      <c r="B281" s="43" t="str">
        <f>IFERROR(INDEX(Table_Numbering[L2],MATCH(Table681620[[#This Row],[L2]],Table_Numbering[L2 Description (Area)],0)),"0")</f>
        <v>0</v>
      </c>
      <c r="C281" s="43" t="str">
        <f>IFERROR(INDEX(Table_Numbering[L3],MATCH(Table681620[[#This Row],[L3]],Table_Numbering[L3 Description (Sub Area)],0)),"0")</f>
        <v>13</v>
      </c>
      <c r="D281" s="43" t="str">
        <f>Table681620[[#This Row],[N1]]&amp;Table681620[[#This Row],[N2]]&amp;Table681620[[#This Row],[N3]]</f>
        <v>A013</v>
      </c>
      <c r="E281" s="43" t="str">
        <f>TEXT(COUNTIF(C$7:C279,Table681620[[#This Row],[N3]]),"00")</f>
        <v>37</v>
      </c>
      <c r="F281" s="43">
        <f>COUNTIFS(J$7:J281,J281,K$7:K281,K281,L$7:L281,L281,M$7:M281,M281)</f>
        <v>1</v>
      </c>
      <c r="G281" s="43" t="str">
        <f>TEXT(COUNTIFS(A$7:A281,A281,B$7:B281,B281,E$7:E281,E281,F$7:F281,1),"00")</f>
        <v>01</v>
      </c>
      <c r="H281" s="43" t="str">
        <f t="shared" si="10"/>
        <v>00</v>
      </c>
      <c r="I281" s="44" t="str">
        <f t="shared" si="11"/>
        <v>4</v>
      </c>
      <c r="J281" s="75" t="s">
        <v>38</v>
      </c>
      <c r="K281" s="45" t="s">
        <v>1376</v>
      </c>
      <c r="L281" s="45" t="s">
        <v>312</v>
      </c>
      <c r="M281" s="45" t="s">
        <v>1380</v>
      </c>
      <c r="N281" s="45"/>
      <c r="O28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A0.13.37</v>
      </c>
      <c r="P281" s="59" t="s">
        <v>480</v>
      </c>
      <c r="Q281" s="59" t="s">
        <v>78</v>
      </c>
      <c r="R281" s="59" t="s">
        <v>1377</v>
      </c>
      <c r="S281" s="59" t="s">
        <v>1953</v>
      </c>
      <c r="T281" s="58" t="str">
        <f>IF(Table681620[[#This Row],[LEVEL]]="5",Table681620[[#This Row],[L5]],
IF(Table681620[[#This Row],[LEVEL]]="4",Table681620[[#This Row],[L4]],
IF(Table681620[[#This Row],[LEVEL]]="3",Table681620[[#This Row],[L3]],
IF(Table681620[[#This Row],[LEVEL]]="2",Table681620[[#This Row],[L2]],
IF(Table681620[[#This Row],[LEVEL]]="1",Table681620[[#This Row],[L1]],"")))))</f>
        <v>Loading Dock Aprons</v>
      </c>
      <c r="U281" s="47" t="s">
        <v>246</v>
      </c>
      <c r="V281" s="72" t="s">
        <v>44</v>
      </c>
      <c r="W281" s="59"/>
      <c r="X281" s="48"/>
      <c r="Y281" s="62">
        <f>Table681620[[#This Row],[Qty]]*Table681620[[#This Row],[Rate]]</f>
        <v>0</v>
      </c>
      <c r="Z281" s="51"/>
      <c r="AA281" s="48" t="s">
        <v>581</v>
      </c>
      <c r="AB281" s="48" t="s">
        <v>1381</v>
      </c>
      <c r="AC281" s="7"/>
    </row>
    <row r="282" spans="1:29" x14ac:dyDescent="0.3">
      <c r="A282" s="43" t="str">
        <f>INDEX(Table_Numbering[L1],MATCH(Table681620[[#This Row],[L1]],Table_Numbering[L1 Description (Cost Area)],0))</f>
        <v>A</v>
      </c>
      <c r="B282" s="43" t="str">
        <f>IFERROR(INDEX(Table_Numbering[L2],MATCH(Table681620[[#This Row],[L2]],Table_Numbering[L2 Description (Area)],0)),"0")</f>
        <v>0</v>
      </c>
      <c r="C282" s="43" t="str">
        <f>IFERROR(INDEX(Table_Numbering[L3],MATCH(Table681620[[#This Row],[L3]],Table_Numbering[L3 Description (Sub Area)],0)),"0")</f>
        <v>13</v>
      </c>
      <c r="D282" s="43" t="str">
        <f>Table681620[[#This Row],[N1]]&amp;Table681620[[#This Row],[N2]]&amp;Table681620[[#This Row],[N3]]</f>
        <v>A013</v>
      </c>
      <c r="E282" s="43" t="str">
        <f>TEXT(COUNTIF(C$7:C280,Table681620[[#This Row],[N3]]),"00")</f>
        <v>38</v>
      </c>
      <c r="F282" s="43">
        <f>COUNTIFS(J$7:J282,J282,K$7:K282,K282,L$7:L282,L282,M$7:M282,M282)</f>
        <v>1</v>
      </c>
      <c r="G282" s="43" t="str">
        <f>TEXT(COUNTIFS(A$7:A282,A282,B$7:B282,B282,E$7:E282,E282,F$7:F282,1),"00")</f>
        <v>01</v>
      </c>
      <c r="H282" s="43" t="str">
        <f t="shared" si="10"/>
        <v>00</v>
      </c>
      <c r="I282" s="44" t="str">
        <f t="shared" si="11"/>
        <v>4</v>
      </c>
      <c r="J282" s="75" t="s">
        <v>38</v>
      </c>
      <c r="K282" s="45" t="s">
        <v>1376</v>
      </c>
      <c r="L282" s="45" t="s">
        <v>312</v>
      </c>
      <c r="M282" s="45" t="s">
        <v>1382</v>
      </c>
      <c r="N282" s="45"/>
      <c r="O28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A0.13.38</v>
      </c>
      <c r="P282" s="59" t="s">
        <v>1352</v>
      </c>
      <c r="Q282" s="59" t="s">
        <v>78</v>
      </c>
      <c r="R282" s="59" t="s">
        <v>1377</v>
      </c>
      <c r="S282" s="59" t="s">
        <v>1954</v>
      </c>
      <c r="T282" s="58" t="str">
        <f>IF(Table681620[[#This Row],[LEVEL]]="5",Table681620[[#This Row],[L5]],
IF(Table681620[[#This Row],[LEVEL]]="4",Table681620[[#This Row],[L4]],
IF(Table681620[[#This Row],[LEVEL]]="3",Table681620[[#This Row],[L3]],
IF(Table681620[[#This Row],[LEVEL]]="2",Table681620[[#This Row],[L2]],
IF(Table681620[[#This Row],[LEVEL]]="1",Table681620[[#This Row],[L1]],"")))))</f>
        <v>Warehouse Footpaths &amp; Access</v>
      </c>
      <c r="U282" s="47" t="s">
        <v>246</v>
      </c>
      <c r="V282" s="72" t="s">
        <v>44</v>
      </c>
      <c r="W282" s="59"/>
      <c r="X282" s="48"/>
      <c r="Y282" s="62">
        <f>Table681620[[#This Row],[Qty]]*Table681620[[#This Row],[Rate]]</f>
        <v>0</v>
      </c>
      <c r="Z282" s="51"/>
      <c r="AA282" s="48" t="s">
        <v>581</v>
      </c>
      <c r="AB282" s="48" t="s">
        <v>1383</v>
      </c>
      <c r="AC282" s="7"/>
    </row>
    <row r="283" spans="1:29" x14ac:dyDescent="0.3">
      <c r="A283" s="43" t="str">
        <f>INDEX(Table_Numbering[L1],MATCH(Table681620[[#This Row],[L1]],Table_Numbering[L1 Description (Cost Area)],0))</f>
        <v>A</v>
      </c>
      <c r="B283" s="43" t="str">
        <f>IFERROR(INDEX(Table_Numbering[L2],MATCH(Table681620[[#This Row],[L2]],Table_Numbering[L2 Description (Area)],0)),"0")</f>
        <v>0</v>
      </c>
      <c r="C283" s="43" t="str">
        <f>IFERROR(INDEX(Table_Numbering[L3],MATCH(Table681620[[#This Row],[L3]],Table_Numbering[L3 Description (Sub Area)],0)),"0")</f>
        <v>13</v>
      </c>
      <c r="D283" s="43" t="str">
        <f>Table681620[[#This Row],[N1]]&amp;Table681620[[#This Row],[N2]]&amp;Table681620[[#This Row],[N3]]</f>
        <v>A013</v>
      </c>
      <c r="E283" s="43" t="str">
        <f>TEXT(COUNTIF(C$7:C281,Table681620[[#This Row],[N3]]),"00")</f>
        <v>39</v>
      </c>
      <c r="F283" s="43">
        <f>COUNTIFS(J$7:J283,J283,K$7:K283,K283,L$7:L283,L283,M$7:M283,M283)</f>
        <v>1</v>
      </c>
      <c r="G283" s="43" t="str">
        <f>TEXT(COUNTIFS(A$7:A283,A283,B$7:B283,B283,E$7:E283,E283,F$7:F283,1),"00")</f>
        <v>01</v>
      </c>
      <c r="H283" s="43" t="str">
        <f t="shared" si="10"/>
        <v>00</v>
      </c>
      <c r="I283" s="44" t="str">
        <f t="shared" si="11"/>
        <v>4</v>
      </c>
      <c r="J283" s="75" t="s">
        <v>38</v>
      </c>
      <c r="K283" s="45" t="s">
        <v>1376</v>
      </c>
      <c r="L283" s="45" t="s">
        <v>312</v>
      </c>
      <c r="M283" s="45" t="s">
        <v>1384</v>
      </c>
      <c r="N283" s="45"/>
      <c r="O28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A0.13.39</v>
      </c>
      <c r="P283" s="59" t="s">
        <v>1358</v>
      </c>
      <c r="Q283" s="59" t="s">
        <v>78</v>
      </c>
      <c r="R283" s="59" t="s">
        <v>1300</v>
      </c>
      <c r="S283" s="59" t="s">
        <v>1955</v>
      </c>
      <c r="T283" s="58" t="str">
        <f>IF(Table681620[[#This Row],[LEVEL]]="5",Table681620[[#This Row],[L5]],
IF(Table681620[[#This Row],[LEVEL]]="4",Table681620[[#This Row],[L4]],
IF(Table681620[[#This Row],[LEVEL]]="3",Table681620[[#This Row],[L3]],
IF(Table681620[[#This Row],[LEVEL]]="2",Table681620[[#This Row],[L2]],
IF(Table681620[[#This Row],[LEVEL]]="1",Table681620[[#This Row],[L1]],"")))))</f>
        <v>Warehouse Security Fencing</v>
      </c>
      <c r="U283" s="47" t="s">
        <v>1105</v>
      </c>
      <c r="V283" s="72" t="s">
        <v>44</v>
      </c>
      <c r="W283" s="59"/>
      <c r="X283" s="48"/>
      <c r="Y283" s="62">
        <f>Table681620[[#This Row],[Qty]]*Table681620[[#This Row],[Rate]]</f>
        <v>0</v>
      </c>
      <c r="Z283" s="51"/>
      <c r="AA283" s="48" t="s">
        <v>1375</v>
      </c>
      <c r="AB283" s="48" t="s">
        <v>1385</v>
      </c>
      <c r="AC283" s="7"/>
    </row>
    <row r="284" spans="1:29" x14ac:dyDescent="0.3">
      <c r="A284" s="43" t="str">
        <f>INDEX(Table_Numbering[L1],MATCH(Table681620[[#This Row],[L1]],Table_Numbering[L1 Description (Cost Area)],0))</f>
        <v>A</v>
      </c>
      <c r="B284" s="43" t="str">
        <f>IFERROR(INDEX(Table_Numbering[L2],MATCH(Table681620[[#This Row],[L2]],Table_Numbering[L2 Description (Area)],0)),"0")</f>
        <v>0</v>
      </c>
      <c r="C284" s="43" t="str">
        <f>IFERROR(INDEX(Table_Numbering[L3],MATCH(Table681620[[#This Row],[L3]],Table_Numbering[L3 Description (Sub Area)],0)),"0")</f>
        <v>13</v>
      </c>
      <c r="D284" s="43" t="str">
        <f>Table681620[[#This Row],[N1]]&amp;Table681620[[#This Row],[N2]]&amp;Table681620[[#This Row],[N3]]</f>
        <v>A013</v>
      </c>
      <c r="E284" s="43" t="str">
        <f>TEXT(COUNTIF(C$7:C282,Table681620[[#This Row],[N3]]),"00")</f>
        <v>40</v>
      </c>
      <c r="F284" s="43">
        <f>COUNTIFS(J$7:J284,J284,K$7:K284,K284,L$7:L284,L284,M$7:M284,M284)</f>
        <v>1</v>
      </c>
      <c r="G284" s="43" t="str">
        <f>TEXT(COUNTIFS(A$7:A284,A284,B$7:B284,B284,E$7:E284,E284,F$7:F284,1),"00")</f>
        <v>01</v>
      </c>
      <c r="H284" s="43" t="str">
        <f t="shared" si="10"/>
        <v>00</v>
      </c>
      <c r="I284" s="44" t="str">
        <f t="shared" si="11"/>
        <v>4</v>
      </c>
      <c r="J284" s="75" t="s">
        <v>38</v>
      </c>
      <c r="K284" s="45" t="s">
        <v>1376</v>
      </c>
      <c r="L284" s="45" t="s">
        <v>312</v>
      </c>
      <c r="M284" s="45" t="s">
        <v>1386</v>
      </c>
      <c r="N284" s="45"/>
      <c r="O28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A0.13.40</v>
      </c>
      <c r="P284" s="59" t="s">
        <v>1358</v>
      </c>
      <c r="Q284" s="59" t="s">
        <v>78</v>
      </c>
      <c r="R284" s="59" t="s">
        <v>1300</v>
      </c>
      <c r="S284" s="59" t="s">
        <v>1956</v>
      </c>
      <c r="T284" s="58" t="str">
        <f>IF(Table681620[[#This Row],[LEVEL]]="5",Table681620[[#This Row],[L5]],
IF(Table681620[[#This Row],[LEVEL]]="4",Table681620[[#This Row],[L4]],
IF(Table681620[[#This Row],[LEVEL]]="3",Table681620[[#This Row],[L3]],
IF(Table681620[[#This Row],[LEVEL]]="2",Table681620[[#This Row],[L2]],
IF(Table681620[[#This Row],[LEVEL]]="1",Table681620[[#This Row],[L1]],"")))))</f>
        <v>Warehouse Gates</v>
      </c>
      <c r="U284" s="47" t="s">
        <v>574</v>
      </c>
      <c r="V284" s="72" t="s">
        <v>44</v>
      </c>
      <c r="W284" s="59"/>
      <c r="X284" s="48"/>
      <c r="Y284" s="62">
        <f>Table681620[[#This Row],[Qty]]*Table681620[[#This Row],[Rate]]</f>
        <v>0</v>
      </c>
      <c r="Z284" s="51"/>
      <c r="AA284" s="48" t="s">
        <v>1360</v>
      </c>
      <c r="AB284" s="48" t="s">
        <v>1361</v>
      </c>
      <c r="AC284" s="7"/>
    </row>
    <row r="285" spans="1:29" x14ac:dyDescent="0.3">
      <c r="A285" s="43" t="str">
        <f>INDEX(Table_Numbering[L1],MATCH(Table681620[[#This Row],[L1]],Table_Numbering[L1 Description (Cost Area)],0))</f>
        <v>A</v>
      </c>
      <c r="B285" s="43" t="str">
        <f>IFERROR(INDEX(Table_Numbering[L2],MATCH(Table681620[[#This Row],[L2]],Table_Numbering[L2 Description (Area)],0)),"0")</f>
        <v>7</v>
      </c>
      <c r="C285" s="43" t="str">
        <f>IFERROR(INDEX(Table_Numbering[L3],MATCH(Table681620[[#This Row],[L3]],Table_Numbering[L3 Description (Sub Area)],0)),"0")</f>
        <v>0</v>
      </c>
      <c r="D285" s="43" t="str">
        <f>Table681620[[#This Row],[N1]]&amp;Table681620[[#This Row],[N2]]&amp;Table681620[[#This Row],[N3]]</f>
        <v>A70</v>
      </c>
      <c r="E285" s="43" t="str">
        <f>TEXT(COUNTIF(C$7:C283,Table681620[[#This Row],[N3]]),"00")</f>
        <v>08</v>
      </c>
      <c r="F285" s="43">
        <f>COUNTIFS(J$7:J285,J285,K$7:K285,K285,L$7:L285,L285,M$7:M285,M285)</f>
        <v>0</v>
      </c>
      <c r="G285" s="43" t="str">
        <f>TEXT(COUNTIFS(A$7:A285,A285,B$7:B285,B285,E$7:E285,E285,F$7:F285,1),"00")</f>
        <v>00</v>
      </c>
      <c r="H285" s="43" t="str">
        <f t="shared" si="10"/>
        <v>00</v>
      </c>
      <c r="I285" s="44" t="str">
        <f t="shared" si="11"/>
        <v>2</v>
      </c>
      <c r="J285" s="75" t="s">
        <v>38</v>
      </c>
      <c r="K285" s="45" t="s">
        <v>133</v>
      </c>
      <c r="L285" s="45"/>
      <c r="M285" s="45"/>
      <c r="N285" s="45"/>
      <c r="O28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v>
      </c>
      <c r="P285" s="59"/>
      <c r="Q285" s="59"/>
      <c r="R285" s="59"/>
      <c r="S285" s="59"/>
      <c r="T285" s="48" t="str">
        <f>IF(Table681620[[#This Row],[LEVEL]]="5",Table681620[[#This Row],[L5]],
IF(Table681620[[#This Row],[LEVEL]]="4",Table681620[[#This Row],[L4]],
IF(Table681620[[#This Row],[LEVEL]]="3",Table681620[[#This Row],[L3]],
IF(Table681620[[#This Row],[LEVEL]]="2",Table681620[[#This Row],[L2]],
IF(Table681620[[#This Row],[LEVEL]]="1",Table681620[[#This Row],[L1]],"")))))</f>
        <v>TRAVEL &amp; ACCOMMODATION</v>
      </c>
      <c r="U285" s="47"/>
      <c r="V285" s="72"/>
      <c r="W285" s="59"/>
      <c r="X285" s="48"/>
      <c r="Y285" s="50">
        <f>SUBTOTAL(9,Y286:Y299)</f>
        <v>0</v>
      </c>
      <c r="Z285" s="51"/>
      <c r="AA285" s="48"/>
      <c r="AB285" s="48"/>
      <c r="AC285" s="7"/>
    </row>
    <row r="286" spans="1:29" x14ac:dyDescent="0.3">
      <c r="A286" s="43" t="str">
        <f>INDEX(Table_Numbering[L1],MATCH(Table681620[[#This Row],[L1]],Table_Numbering[L1 Description (Cost Area)],0))</f>
        <v>A</v>
      </c>
      <c r="B286" s="43" t="str">
        <f>IFERROR(INDEX(Table_Numbering[L2],MATCH(Table681620[[#This Row],[L2]],Table_Numbering[L2 Description (Area)],0)),"0")</f>
        <v>7</v>
      </c>
      <c r="C286" s="43" t="str">
        <f>IFERROR(INDEX(Table_Numbering[L3],MATCH(Table681620[[#This Row],[L3]],Table_Numbering[L3 Description (Sub Area)],0)),"0")</f>
        <v>01</v>
      </c>
      <c r="D286" s="43" t="str">
        <f>Table681620[[#This Row],[N1]]&amp;Table681620[[#This Row],[N2]]&amp;Table681620[[#This Row],[N3]]</f>
        <v>A701</v>
      </c>
      <c r="E286" s="43" t="str">
        <f>TEXT(COUNTIF(C$7:C284,Table681620[[#This Row],[N3]]),"00")</f>
        <v>49</v>
      </c>
      <c r="F286" s="43">
        <f>COUNTIFS(J$7:J286,J286,K$7:K286,K286,L$7:L286,L286,M$7:M286,M286)</f>
        <v>0</v>
      </c>
      <c r="G286" s="43" t="str">
        <f>TEXT(COUNTIFS(A$7:A286,A286,B$7:B286,B286,E$7:E286,E286,F$7:F286,1),"00")</f>
        <v>00</v>
      </c>
      <c r="H286" s="43" t="str">
        <f t="shared" si="10"/>
        <v>00</v>
      </c>
      <c r="I286" s="44" t="str">
        <f t="shared" si="11"/>
        <v>3</v>
      </c>
      <c r="J286" s="75" t="s">
        <v>38</v>
      </c>
      <c r="K286" s="45" t="s">
        <v>133</v>
      </c>
      <c r="L286" s="45" t="s">
        <v>1529</v>
      </c>
      <c r="M286" s="45"/>
      <c r="N286" s="45"/>
      <c r="O28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A7.01</v>
      </c>
      <c r="P286" s="59"/>
      <c r="Q286" s="59"/>
      <c r="R286" s="59"/>
      <c r="S286" s="59"/>
      <c r="T286" s="55" t="str">
        <f>IF(Table681620[[#This Row],[LEVEL]]="5",Table681620[[#This Row],[L5]],
IF(Table681620[[#This Row],[LEVEL]]="4",Table681620[[#This Row],[L4]],
IF(Table681620[[#This Row],[LEVEL]]="3",Table681620[[#This Row],[L3]],
IF(Table681620[[#This Row],[LEVEL]]="2",Table681620[[#This Row],[L2]],
IF(Table681620[[#This Row],[LEVEL]]="1",Table681620[[#This Row],[L1]],"")))))</f>
        <v>TRAVEL ALLOWANCES</v>
      </c>
      <c r="U286" s="47"/>
      <c r="V286" s="72"/>
      <c r="W286" s="59"/>
      <c r="X286" s="48"/>
      <c r="Y286" s="50">
        <f>SUBTOTAL(9,Y287:Y289)</f>
        <v>0</v>
      </c>
      <c r="Z286" s="51"/>
      <c r="AA286" s="48"/>
      <c r="AB286" s="48"/>
      <c r="AC286" s="7"/>
    </row>
    <row r="287" spans="1:29" x14ac:dyDescent="0.3">
      <c r="A287" s="43" t="str">
        <f>INDEX(Table_Numbering[L1],MATCH(Table681620[[#This Row],[L1]],Table_Numbering[L1 Description (Cost Area)],0))</f>
        <v>A</v>
      </c>
      <c r="B287" s="43" t="str">
        <f>IFERROR(INDEX(Table_Numbering[L2],MATCH(Table681620[[#This Row],[L2]],Table_Numbering[L2 Description (Area)],0)),"0")</f>
        <v>7</v>
      </c>
      <c r="C287" s="43" t="str">
        <f>IFERROR(INDEX(Table_Numbering[L3],MATCH(Table681620[[#This Row],[L3]],Table_Numbering[L3 Description (Sub Area)],0)),"0")</f>
        <v>01</v>
      </c>
      <c r="D287" s="43" t="str">
        <f>Table681620[[#This Row],[N1]]&amp;Table681620[[#This Row],[N2]]&amp;Table681620[[#This Row],[N3]]</f>
        <v>A701</v>
      </c>
      <c r="E287" s="43" t="str">
        <f>TEXT(COUNTIF(C$7:C285,Table681620[[#This Row],[N3]]),"00")</f>
        <v>49</v>
      </c>
      <c r="F287" s="43">
        <f>COUNTIFS(J$7:J287,J287,K$7:K287,K287,L$7:L287,L287,M$7:M287,M287)</f>
        <v>1</v>
      </c>
      <c r="G287" s="43" t="str">
        <f>TEXT(COUNTIFS(A$7:A287,A287,B$7:B287,B287,E$7:E287,E287,F$7:F287,1),"00")</f>
        <v>01</v>
      </c>
      <c r="H287" s="43" t="str">
        <f t="shared" si="10"/>
        <v>00</v>
      </c>
      <c r="I287" s="44" t="str">
        <f t="shared" si="11"/>
        <v>4</v>
      </c>
      <c r="J287" s="75" t="s">
        <v>38</v>
      </c>
      <c r="K287" s="45" t="s">
        <v>133</v>
      </c>
      <c r="L287" s="45" t="s">
        <v>1529</v>
      </c>
      <c r="M287" s="45" t="s">
        <v>1531</v>
      </c>
      <c r="N287" s="45"/>
      <c r="O28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A7.01.49</v>
      </c>
      <c r="P287" s="59" t="s">
        <v>770</v>
      </c>
      <c r="Q287" s="59" t="s">
        <v>42</v>
      </c>
      <c r="R287" s="59"/>
      <c r="S287" s="59" t="s">
        <v>1620</v>
      </c>
      <c r="T287" s="58" t="str">
        <f>IF(Table681620[[#This Row],[LEVEL]]="5",Table681620[[#This Row],[L5]],
IF(Table681620[[#This Row],[LEVEL]]="4",Table681620[[#This Row],[L4]],
IF(Table681620[[#This Row],[LEVEL]]="3",Table681620[[#This Row],[L3]],
IF(Table681620[[#This Row],[LEVEL]]="2",Table681620[[#This Row],[L2]],
IF(Table681620[[#This Row],[LEVEL]]="1",Table681620[[#This Row],[L1]],"")))))</f>
        <v>Vehicle Allowance (Site Vehicle)</v>
      </c>
      <c r="U287" s="47" t="s">
        <v>233</v>
      </c>
      <c r="V287" s="72" t="s">
        <v>44</v>
      </c>
      <c r="W287" s="59"/>
      <c r="X287" s="48"/>
      <c r="Y287" s="62">
        <f>Table681620[[#This Row],[Qty]]*Table681620[[#This Row],[Rate]]</f>
        <v>0</v>
      </c>
      <c r="Z287" s="51"/>
      <c r="AA287" s="63" t="s">
        <v>466</v>
      </c>
      <c r="AB287" s="64" t="s">
        <v>467</v>
      </c>
      <c r="AC287" s="7"/>
    </row>
    <row r="288" spans="1:29" x14ac:dyDescent="0.3">
      <c r="A288" s="43" t="str">
        <f>INDEX(Table_Numbering[L1],MATCH(Table681620[[#This Row],[L1]],Table_Numbering[L1 Description (Cost Area)],0))</f>
        <v>A</v>
      </c>
      <c r="B288" s="43" t="str">
        <f>IFERROR(INDEX(Table_Numbering[L2],MATCH(Table681620[[#This Row],[L2]],Table_Numbering[L2 Description (Area)],0)),"0")</f>
        <v>7</v>
      </c>
      <c r="C288" s="43" t="str">
        <f>IFERROR(INDEX(Table_Numbering[L3],MATCH(Table681620[[#This Row],[L3]],Table_Numbering[L3 Description (Sub Area)],0)),"0")</f>
        <v>01</v>
      </c>
      <c r="D288" s="43" t="str">
        <f>Table681620[[#This Row],[N1]]&amp;Table681620[[#This Row],[N2]]&amp;Table681620[[#This Row],[N3]]</f>
        <v>A701</v>
      </c>
      <c r="E288" s="43" t="str">
        <f>TEXT(COUNTIF(C$7:C286,Table681620[[#This Row],[N3]]),"00")</f>
        <v>50</v>
      </c>
      <c r="F288" s="43">
        <f>COUNTIFS(J$7:J288,J288,K$7:K288,K288,L$7:L288,L288,M$7:M288,M288)</f>
        <v>1</v>
      </c>
      <c r="G288" s="43" t="str">
        <f>TEXT(COUNTIFS(A$7:A288,A288,B$7:B288,B288,E$7:E288,E288,F$7:F288,1),"00")</f>
        <v>01</v>
      </c>
      <c r="H288" s="43" t="str">
        <f t="shared" si="10"/>
        <v>00</v>
      </c>
      <c r="I288" s="44" t="str">
        <f t="shared" si="11"/>
        <v>4</v>
      </c>
      <c r="J288" s="75" t="s">
        <v>38</v>
      </c>
      <c r="K288" s="45" t="s">
        <v>133</v>
      </c>
      <c r="L288" s="45" t="s">
        <v>1529</v>
      </c>
      <c r="M288" s="45" t="s">
        <v>1533</v>
      </c>
      <c r="N288" s="45"/>
      <c r="O28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A7.01.50</v>
      </c>
      <c r="P288" s="59" t="s">
        <v>770</v>
      </c>
      <c r="Q288" s="59" t="s">
        <v>42</v>
      </c>
      <c r="R288" s="59"/>
      <c r="S288" s="59" t="s">
        <v>1621</v>
      </c>
      <c r="T288" s="58" t="str">
        <f>IF(Table681620[[#This Row],[LEVEL]]="5",Table681620[[#This Row],[L5]],
IF(Table681620[[#This Row],[LEVEL]]="4",Table681620[[#This Row],[L4]],
IF(Table681620[[#This Row],[LEVEL]]="3",Table681620[[#This Row],[L3]],
IF(Table681620[[#This Row],[LEVEL]]="2",Table681620[[#This Row],[L2]],
IF(Table681620[[#This Row],[LEVEL]]="1",Table681620[[#This Row],[L1]],"")))))</f>
        <v>Flights Allowance (Key Personnel)</v>
      </c>
      <c r="U288" s="47" t="s">
        <v>1534</v>
      </c>
      <c r="V288" s="72" t="s">
        <v>44</v>
      </c>
      <c r="W288" s="59"/>
      <c r="X288" s="48"/>
      <c r="Y288" s="62">
        <f>Table681620[[#This Row],[Qty]]*Table681620[[#This Row],[Rate]]</f>
        <v>0</v>
      </c>
      <c r="Z288" s="51"/>
      <c r="AA288" s="63" t="s">
        <v>466</v>
      </c>
      <c r="AB288" s="64" t="s">
        <v>467</v>
      </c>
      <c r="AC288" s="7"/>
    </row>
    <row r="289" spans="1:29" x14ac:dyDescent="0.3">
      <c r="A289" s="43" t="str">
        <f>INDEX(Table_Numbering[L1],MATCH(Table681620[[#This Row],[L1]],Table_Numbering[L1 Description (Cost Area)],0))</f>
        <v>A</v>
      </c>
      <c r="B289" s="43" t="str">
        <f>IFERROR(INDEX(Table_Numbering[L2],MATCH(Table681620[[#This Row],[L2]],Table_Numbering[L2 Description (Area)],0)),"0")</f>
        <v>7</v>
      </c>
      <c r="C289" s="43" t="str">
        <f>IFERROR(INDEX(Table_Numbering[L3],MATCH(Table681620[[#This Row],[L3]],Table_Numbering[L3 Description (Sub Area)],0)),"0")</f>
        <v>01</v>
      </c>
      <c r="D289" s="43" t="str">
        <f>Table681620[[#This Row],[N1]]&amp;Table681620[[#This Row],[N2]]&amp;Table681620[[#This Row],[N3]]</f>
        <v>A701</v>
      </c>
      <c r="E289" s="43" t="str">
        <f>TEXT(COUNTIF(C$7:C287,Table681620[[#This Row],[N3]]),"00")</f>
        <v>51</v>
      </c>
      <c r="F289" s="43">
        <f>COUNTIFS(J$7:J289,J289,K$7:K289,K289,L$7:L289,L289,M$7:M289,M289)</f>
        <v>1</v>
      </c>
      <c r="G289" s="43" t="str">
        <f>TEXT(COUNTIFS(A$7:A289,A289,B$7:B289,B289,E$7:E289,E289,F$7:F289,1),"00")</f>
        <v>01</v>
      </c>
      <c r="H289" s="43" t="str">
        <f t="shared" si="10"/>
        <v>00</v>
      </c>
      <c r="I289" s="44" t="str">
        <f t="shared" si="11"/>
        <v>4</v>
      </c>
      <c r="J289" s="75" t="s">
        <v>38</v>
      </c>
      <c r="K289" s="45" t="s">
        <v>133</v>
      </c>
      <c r="L289" s="45" t="s">
        <v>1529</v>
      </c>
      <c r="M289" s="45" t="s">
        <v>1536</v>
      </c>
      <c r="N289" s="45"/>
      <c r="O28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A7.01.51</v>
      </c>
      <c r="P289" s="59" t="s">
        <v>770</v>
      </c>
      <c r="Q289" s="59" t="s">
        <v>42</v>
      </c>
      <c r="R289" s="59"/>
      <c r="S289" s="59" t="s">
        <v>1622</v>
      </c>
      <c r="T289" s="58" t="str">
        <f>IF(Table681620[[#This Row],[LEVEL]]="5",Table681620[[#This Row],[L5]],
IF(Table681620[[#This Row],[LEVEL]]="4",Table681620[[#This Row],[L4]],
IF(Table681620[[#This Row],[LEVEL]]="3",Table681620[[#This Row],[L3]],
IF(Table681620[[#This Row],[LEVEL]]="2",Table681620[[#This Row],[L2]],
IF(Table681620[[#This Row],[LEVEL]]="1",Table681620[[#This Row],[L1]],"")))))</f>
        <v>Mileage / Fuel Reimbursement</v>
      </c>
      <c r="U289" s="47" t="s">
        <v>62</v>
      </c>
      <c r="V289" s="72" t="s">
        <v>44</v>
      </c>
      <c r="W289" s="59"/>
      <c r="X289" s="48"/>
      <c r="Y289" s="62">
        <f>Table681620[[#This Row],[Qty]]*Table681620[[#This Row],[Rate]]</f>
        <v>0</v>
      </c>
      <c r="Z289" s="51"/>
      <c r="AA289" s="63" t="s">
        <v>466</v>
      </c>
      <c r="AB289" s="64" t="s">
        <v>467</v>
      </c>
      <c r="AC289" s="7"/>
    </row>
    <row r="290" spans="1:29" x14ac:dyDescent="0.3">
      <c r="A290" s="43" t="str">
        <f>INDEX(Table_Numbering[L1],MATCH(Table681620[[#This Row],[L1]],Table_Numbering[L1 Description (Cost Area)],0))</f>
        <v>A</v>
      </c>
      <c r="B290" s="43" t="str">
        <f>IFERROR(INDEX(Table_Numbering[L2],MATCH(Table681620[[#This Row],[L2]],Table_Numbering[L2 Description (Area)],0)),"0")</f>
        <v>7</v>
      </c>
      <c r="C290" s="43" t="str">
        <f>IFERROR(INDEX(Table_Numbering[L3],MATCH(Table681620[[#This Row],[L3]],Table_Numbering[L3 Description (Sub Area)],0)),"0")</f>
        <v>02</v>
      </c>
      <c r="D290" s="43" t="str">
        <f>Table681620[[#This Row],[N1]]&amp;Table681620[[#This Row],[N2]]&amp;Table681620[[#This Row],[N3]]</f>
        <v>A702</v>
      </c>
      <c r="E290" s="43" t="str">
        <f>TEXT(COUNTIF(C$7:C288,Table681620[[#This Row],[N3]]),"00")</f>
        <v>27</v>
      </c>
      <c r="F290" s="43">
        <f>COUNTIFS(J$7:J290,J290,K$7:K290,K290,L$7:L290,L290,M$7:M290,M290)</f>
        <v>0</v>
      </c>
      <c r="G290" s="43" t="str">
        <f>TEXT(COUNTIFS(A$7:A290,A290,B$7:B290,B290,E$7:E290,E290,F$7:F290,1),"00")</f>
        <v>00</v>
      </c>
      <c r="H290" s="43" t="str">
        <f t="shared" si="10"/>
        <v>00</v>
      </c>
      <c r="I290" s="44" t="str">
        <f t="shared" si="11"/>
        <v>3</v>
      </c>
      <c r="J290" s="75" t="s">
        <v>38</v>
      </c>
      <c r="K290" s="45" t="s">
        <v>133</v>
      </c>
      <c r="L290" s="45" t="s">
        <v>1537</v>
      </c>
      <c r="M290" s="45"/>
      <c r="N290" s="45"/>
      <c r="O29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A7.02</v>
      </c>
      <c r="P290" s="59"/>
      <c r="Q290" s="59"/>
      <c r="R290" s="59"/>
      <c r="S290" s="59"/>
      <c r="T290" s="55" t="str">
        <f>IF(Table681620[[#This Row],[LEVEL]]="5",Table681620[[#This Row],[L5]],
IF(Table681620[[#This Row],[LEVEL]]="4",Table681620[[#This Row],[L4]],
IF(Table681620[[#This Row],[LEVEL]]="3",Table681620[[#This Row],[L3]],
IF(Table681620[[#This Row],[LEVEL]]="2",Table681620[[#This Row],[L2]],
IF(Table681620[[#This Row],[LEVEL]]="1",Table681620[[#This Row],[L1]],"")))))</f>
        <v>ACCOMMODATION</v>
      </c>
      <c r="U290" s="47"/>
      <c r="V290" s="72"/>
      <c r="W290" s="59"/>
      <c r="X290" s="48"/>
      <c r="Y290" s="50">
        <f>SUBTOTAL(9,Y291:Y293)</f>
        <v>0</v>
      </c>
      <c r="Z290" s="51"/>
      <c r="AA290" s="48"/>
      <c r="AB290" s="48"/>
      <c r="AC290" s="7"/>
    </row>
    <row r="291" spans="1:29" x14ac:dyDescent="0.3">
      <c r="A291" s="43" t="str">
        <f>INDEX(Table_Numbering[L1],MATCH(Table681620[[#This Row],[L1]],Table_Numbering[L1 Description (Cost Area)],0))</f>
        <v>A</v>
      </c>
      <c r="B291" s="43" t="str">
        <f>IFERROR(INDEX(Table_Numbering[L2],MATCH(Table681620[[#This Row],[L2]],Table_Numbering[L2 Description (Area)],0)),"0")</f>
        <v>7</v>
      </c>
      <c r="C291" s="43" t="str">
        <f>IFERROR(INDEX(Table_Numbering[L3],MATCH(Table681620[[#This Row],[L3]],Table_Numbering[L3 Description (Sub Area)],0)),"0")</f>
        <v>02</v>
      </c>
      <c r="D291" s="43" t="str">
        <f>Table681620[[#This Row],[N1]]&amp;Table681620[[#This Row],[N2]]&amp;Table681620[[#This Row],[N3]]</f>
        <v>A702</v>
      </c>
      <c r="E291" s="43" t="str">
        <f>TEXT(COUNTIF(C$7:C289,Table681620[[#This Row],[N3]]),"00")</f>
        <v>27</v>
      </c>
      <c r="F291" s="43">
        <f>COUNTIFS(J$7:J291,J291,K$7:K291,K291,L$7:L291,L291,M$7:M291,M291)</f>
        <v>1</v>
      </c>
      <c r="G291" s="43" t="str">
        <f>TEXT(COUNTIFS(A$7:A291,A291,B$7:B291,B291,E$7:E291,E291,F$7:F291,1),"00")</f>
        <v>01</v>
      </c>
      <c r="H291" s="43" t="str">
        <f t="shared" si="10"/>
        <v>00</v>
      </c>
      <c r="I291" s="44" t="str">
        <f t="shared" si="11"/>
        <v>4</v>
      </c>
      <c r="J291" s="75" t="s">
        <v>38</v>
      </c>
      <c r="K291" s="45" t="s">
        <v>133</v>
      </c>
      <c r="L291" s="45" t="s">
        <v>1537</v>
      </c>
      <c r="M291" s="45" t="s">
        <v>1539</v>
      </c>
      <c r="N291" s="45"/>
      <c r="O29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A7.02.27</v>
      </c>
      <c r="P291" s="59" t="s">
        <v>770</v>
      </c>
      <c r="Q291" s="59" t="s">
        <v>42</v>
      </c>
      <c r="R291" s="59"/>
      <c r="S291" s="59" t="s">
        <v>1623</v>
      </c>
      <c r="T291" s="58" t="str">
        <f>IF(Table681620[[#This Row],[LEVEL]]="5",Table681620[[#This Row],[L5]],
IF(Table681620[[#This Row],[LEVEL]]="4",Table681620[[#This Row],[L4]],
IF(Table681620[[#This Row],[LEVEL]]="3",Table681620[[#This Row],[L3]],
IF(Table681620[[#This Row],[LEVEL]]="2",Table681620[[#This Row],[L2]],
IF(Table681620[[#This Row],[LEVEL]]="1",Table681620[[#This Row],[L1]],"")))))</f>
        <v>Management Personnel Accommodation</v>
      </c>
      <c r="U291" s="47" t="s">
        <v>1540</v>
      </c>
      <c r="V291" s="72" t="s">
        <v>44</v>
      </c>
      <c r="W291" s="59"/>
      <c r="X291" s="48"/>
      <c r="Y291" s="62">
        <f>Table681620[[#This Row],[Qty]]*Table681620[[#This Row],[Rate]]</f>
        <v>0</v>
      </c>
      <c r="Z291" s="51"/>
      <c r="AA291" s="63" t="s">
        <v>466</v>
      </c>
      <c r="AB291" s="64" t="s">
        <v>467</v>
      </c>
      <c r="AC291" s="7"/>
    </row>
    <row r="292" spans="1:29" x14ac:dyDescent="0.3">
      <c r="A292" s="43" t="str">
        <f>INDEX(Table_Numbering[L1],MATCH(Table681620[[#This Row],[L1]],Table_Numbering[L1 Description (Cost Area)],0))</f>
        <v>A</v>
      </c>
      <c r="B292" s="43" t="str">
        <f>IFERROR(INDEX(Table_Numbering[L2],MATCH(Table681620[[#This Row],[L2]],Table_Numbering[L2 Description (Area)],0)),"0")</f>
        <v>7</v>
      </c>
      <c r="C292" s="43" t="str">
        <f>IFERROR(INDEX(Table_Numbering[L3],MATCH(Table681620[[#This Row],[L3]],Table_Numbering[L3 Description (Sub Area)],0)),"0")</f>
        <v>02</v>
      </c>
      <c r="D292" s="43" t="str">
        <f>Table681620[[#This Row],[N1]]&amp;Table681620[[#This Row],[N2]]&amp;Table681620[[#This Row],[N3]]</f>
        <v>A702</v>
      </c>
      <c r="E292" s="43" t="str">
        <f>TEXT(COUNTIF(C$7:C290,Table681620[[#This Row],[N3]]),"00")</f>
        <v>28</v>
      </c>
      <c r="F292" s="43">
        <f>COUNTIFS(J$7:J292,J292,K$7:K292,K292,L$7:L292,L292,M$7:M292,M292)</f>
        <v>1</v>
      </c>
      <c r="G292" s="43" t="str">
        <f>TEXT(COUNTIFS(A$7:A292,A292,B$7:B292,B292,E$7:E292,E292,F$7:F292,1),"00")</f>
        <v>01</v>
      </c>
      <c r="H292" s="43" t="str">
        <f t="shared" si="10"/>
        <v>00</v>
      </c>
      <c r="I292" s="44" t="str">
        <f t="shared" si="11"/>
        <v>4</v>
      </c>
      <c r="J292" s="75" t="s">
        <v>38</v>
      </c>
      <c r="K292" s="45" t="s">
        <v>133</v>
      </c>
      <c r="L292" s="45" t="s">
        <v>1537</v>
      </c>
      <c r="M292" s="45" t="s">
        <v>1542</v>
      </c>
      <c r="N292" s="45"/>
      <c r="O29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A7.02.28</v>
      </c>
      <c r="P292" s="59" t="s">
        <v>770</v>
      </c>
      <c r="Q292" s="59" t="s">
        <v>42</v>
      </c>
      <c r="R292" s="59"/>
      <c r="S292" s="59" t="s">
        <v>1624</v>
      </c>
      <c r="T292" s="58" t="str">
        <f>IF(Table681620[[#This Row],[LEVEL]]="5",Table681620[[#This Row],[L5]],
IF(Table681620[[#This Row],[LEVEL]]="4",Table681620[[#This Row],[L4]],
IF(Table681620[[#This Row],[LEVEL]]="3",Table681620[[#This Row],[L3]],
IF(Table681620[[#This Row],[LEVEL]]="2",Table681620[[#This Row],[L2]],
IF(Table681620[[#This Row],[LEVEL]]="1",Table681620[[#This Row],[L1]],"")))))</f>
        <v>Supervision Personnel Accommodation</v>
      </c>
      <c r="U292" s="47" t="s">
        <v>1540</v>
      </c>
      <c r="V292" s="72" t="s">
        <v>44</v>
      </c>
      <c r="W292" s="59"/>
      <c r="X292" s="48"/>
      <c r="Y292" s="62">
        <f>Table681620[[#This Row],[Qty]]*Table681620[[#This Row],[Rate]]</f>
        <v>0</v>
      </c>
      <c r="Z292" s="51"/>
      <c r="AA292" s="63" t="s">
        <v>466</v>
      </c>
      <c r="AB292" s="64" t="s">
        <v>467</v>
      </c>
      <c r="AC292" s="7"/>
    </row>
    <row r="293" spans="1:29" x14ac:dyDescent="0.3">
      <c r="A293" s="43" t="str">
        <f>INDEX(Table_Numbering[L1],MATCH(Table681620[[#This Row],[L1]],Table_Numbering[L1 Description (Cost Area)],0))</f>
        <v>A</v>
      </c>
      <c r="B293" s="43" t="str">
        <f>IFERROR(INDEX(Table_Numbering[L2],MATCH(Table681620[[#This Row],[L2]],Table_Numbering[L2 Description (Area)],0)),"0")</f>
        <v>7</v>
      </c>
      <c r="C293" s="43" t="str">
        <f>IFERROR(INDEX(Table_Numbering[L3],MATCH(Table681620[[#This Row],[L3]],Table_Numbering[L3 Description (Sub Area)],0)),"0")</f>
        <v>02</v>
      </c>
      <c r="D293" s="43" t="str">
        <f>Table681620[[#This Row],[N1]]&amp;Table681620[[#This Row],[N2]]&amp;Table681620[[#This Row],[N3]]</f>
        <v>A702</v>
      </c>
      <c r="E293" s="43" t="str">
        <f>TEXT(COUNTIF(C$7:C291,Table681620[[#This Row],[N3]]),"00")</f>
        <v>29</v>
      </c>
      <c r="F293" s="43">
        <f>COUNTIFS(J$7:J293,J293,K$7:K293,K293,L$7:L293,L293,M$7:M293,M293)</f>
        <v>1</v>
      </c>
      <c r="G293" s="43" t="str">
        <f>TEXT(COUNTIFS(A$7:A293,A293,B$7:B293,B293,E$7:E293,E293,F$7:F293,1),"00")</f>
        <v>01</v>
      </c>
      <c r="H293" s="43" t="str">
        <f t="shared" si="10"/>
        <v>00</v>
      </c>
      <c r="I293" s="44" t="str">
        <f t="shared" si="11"/>
        <v>4</v>
      </c>
      <c r="J293" s="75" t="s">
        <v>38</v>
      </c>
      <c r="K293" s="45" t="s">
        <v>133</v>
      </c>
      <c r="L293" s="45" t="s">
        <v>1537</v>
      </c>
      <c r="M293" s="45" t="s">
        <v>1544</v>
      </c>
      <c r="N293" s="45"/>
      <c r="O29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A7.02.29</v>
      </c>
      <c r="P293" s="59" t="s">
        <v>770</v>
      </c>
      <c r="Q293" s="59" t="s">
        <v>42</v>
      </c>
      <c r="R293" s="59"/>
      <c r="S293" s="59" t="s">
        <v>1625</v>
      </c>
      <c r="T293" s="58" t="str">
        <f>IF(Table681620[[#This Row],[LEVEL]]="5",Table681620[[#This Row],[L5]],
IF(Table681620[[#This Row],[LEVEL]]="4",Table681620[[#This Row],[L4]],
IF(Table681620[[#This Row],[LEVEL]]="3",Table681620[[#This Row],[L3]],
IF(Table681620[[#This Row],[LEVEL]]="2",Table681620[[#This Row],[L2]],
IF(Table681620[[#This Row],[LEVEL]]="1",Table681620[[#This Row],[L1]],"")))))</f>
        <v>Workforce Accommodation Allowance</v>
      </c>
      <c r="U293" s="47" t="s">
        <v>1540</v>
      </c>
      <c r="V293" s="72" t="s">
        <v>44</v>
      </c>
      <c r="W293" s="59"/>
      <c r="X293" s="48"/>
      <c r="Y293" s="62">
        <f>Table681620[[#This Row],[Qty]]*Table681620[[#This Row],[Rate]]</f>
        <v>0</v>
      </c>
      <c r="Z293" s="51"/>
      <c r="AA293" s="63" t="s">
        <v>466</v>
      </c>
      <c r="AB293" s="64" t="s">
        <v>467</v>
      </c>
      <c r="AC293" s="7"/>
    </row>
    <row r="294" spans="1:29" x14ac:dyDescent="0.3">
      <c r="A294" s="43" t="str">
        <f>INDEX(Table_Numbering[L1],MATCH(Table681620[[#This Row],[L1]],Table_Numbering[L1 Description (Cost Area)],0))</f>
        <v>A</v>
      </c>
      <c r="B294" s="43" t="str">
        <f>IFERROR(INDEX(Table_Numbering[L2],MATCH(Table681620[[#This Row],[L2]],Table_Numbering[L2 Description (Area)],0)),"0")</f>
        <v>7</v>
      </c>
      <c r="C294" s="43" t="str">
        <f>IFERROR(INDEX(Table_Numbering[L3],MATCH(Table681620[[#This Row],[L3]],Table_Numbering[L3 Description (Sub Area)],0)),"0")</f>
        <v>03</v>
      </c>
      <c r="D294" s="43" t="str">
        <f>Table681620[[#This Row],[N1]]&amp;Table681620[[#This Row],[N2]]&amp;Table681620[[#This Row],[N3]]</f>
        <v>A703</v>
      </c>
      <c r="E294" s="43" t="str">
        <f>TEXT(COUNTIF(C$7:C292,Table681620[[#This Row],[N3]]),"00")</f>
        <v>22</v>
      </c>
      <c r="F294" s="43">
        <f>COUNTIFS(J$7:J294,J294,K$7:K294,K294,L$7:L294,L294,M$7:M294,M294)</f>
        <v>0</v>
      </c>
      <c r="G294" s="43" t="str">
        <f>TEXT(COUNTIFS(A$7:A294,A294,B$7:B294,B294,E$7:E294,E294,F$7:F294,1),"00")</f>
        <v>00</v>
      </c>
      <c r="H294" s="43" t="str">
        <f t="shared" si="10"/>
        <v>00</v>
      </c>
      <c r="I294" s="44" t="str">
        <f t="shared" si="11"/>
        <v>3</v>
      </c>
      <c r="J294" s="75" t="s">
        <v>38</v>
      </c>
      <c r="K294" s="45" t="s">
        <v>133</v>
      </c>
      <c r="L294" s="45" t="s">
        <v>1545</v>
      </c>
      <c r="M294" s="45"/>
      <c r="N294" s="45"/>
      <c r="O29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A7.03</v>
      </c>
      <c r="P294" s="59"/>
      <c r="Q294" s="59"/>
      <c r="R294" s="59"/>
      <c r="S294" s="59"/>
      <c r="T294" s="55" t="str">
        <f>IF(Table681620[[#This Row],[LEVEL]]="5",Table681620[[#This Row],[L5]],
IF(Table681620[[#This Row],[LEVEL]]="4",Table681620[[#This Row],[L4]],
IF(Table681620[[#This Row],[LEVEL]]="3",Table681620[[#This Row],[L3]],
IF(Table681620[[#This Row],[LEVEL]]="2",Table681620[[#This Row],[L2]],
IF(Table681620[[#This Row],[LEVEL]]="1",Table681620[[#This Row],[L1]],"")))))</f>
        <v>MEALS &amp; INCIDENTALS</v>
      </c>
      <c r="U294" s="47"/>
      <c r="V294" s="72"/>
      <c r="W294" s="59"/>
      <c r="X294" s="48"/>
      <c r="Y294" s="50">
        <f>SUBTOTAL(9,Y295:Y296)</f>
        <v>0</v>
      </c>
      <c r="Z294" s="51"/>
      <c r="AA294" s="48"/>
      <c r="AB294" s="48"/>
      <c r="AC294" s="7"/>
    </row>
    <row r="295" spans="1:29" x14ac:dyDescent="0.3">
      <c r="A295" s="43" t="str">
        <f>INDEX(Table_Numbering[L1],MATCH(Table681620[[#This Row],[L1]],Table_Numbering[L1 Description (Cost Area)],0))</f>
        <v>A</v>
      </c>
      <c r="B295" s="43" t="str">
        <f>IFERROR(INDEX(Table_Numbering[L2],MATCH(Table681620[[#This Row],[L2]],Table_Numbering[L2 Description (Area)],0)),"0")</f>
        <v>7</v>
      </c>
      <c r="C295" s="43" t="str">
        <f>IFERROR(INDEX(Table_Numbering[L3],MATCH(Table681620[[#This Row],[L3]],Table_Numbering[L3 Description (Sub Area)],0)),"0")</f>
        <v>03</v>
      </c>
      <c r="D295" s="43" t="str">
        <f>Table681620[[#This Row],[N1]]&amp;Table681620[[#This Row],[N2]]&amp;Table681620[[#This Row],[N3]]</f>
        <v>A703</v>
      </c>
      <c r="E295" s="43" t="str">
        <f>TEXT(COUNTIF(C$7:C293,Table681620[[#This Row],[N3]]),"00")</f>
        <v>22</v>
      </c>
      <c r="F295" s="43">
        <f>COUNTIFS(J$7:J295,J295,K$7:K295,K295,L$7:L295,L295,M$7:M295,M295)</f>
        <v>1</v>
      </c>
      <c r="G295" s="43" t="str">
        <f>TEXT(COUNTIFS(A$7:A295,A295,B$7:B295,B295,E$7:E295,E295,F$7:F295,1),"00")</f>
        <v>01</v>
      </c>
      <c r="H295" s="43" t="str">
        <f t="shared" si="10"/>
        <v>00</v>
      </c>
      <c r="I295" s="44" t="str">
        <f t="shared" si="11"/>
        <v>4</v>
      </c>
      <c r="J295" s="75" t="s">
        <v>38</v>
      </c>
      <c r="K295" s="45" t="s">
        <v>133</v>
      </c>
      <c r="L295" s="45" t="s">
        <v>1545</v>
      </c>
      <c r="M295" s="45" t="s">
        <v>1547</v>
      </c>
      <c r="N295" s="45"/>
      <c r="O29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A7.03.22</v>
      </c>
      <c r="P295" s="59" t="s">
        <v>770</v>
      </c>
      <c r="Q295" s="59" t="s">
        <v>42</v>
      </c>
      <c r="R295" s="59"/>
      <c r="S295" s="59" t="s">
        <v>1626</v>
      </c>
      <c r="T295" s="58" t="str">
        <f>IF(Table681620[[#This Row],[LEVEL]]="5",Table681620[[#This Row],[L5]],
IF(Table681620[[#This Row],[LEVEL]]="4",Table681620[[#This Row],[L4]],
IF(Table681620[[#This Row],[LEVEL]]="3",Table681620[[#This Row],[L3]],
IF(Table681620[[#This Row],[LEVEL]]="2",Table681620[[#This Row],[L2]],
IF(Table681620[[#This Row],[LEVEL]]="1",Table681620[[#This Row],[L1]],"")))))</f>
        <v>Meals Allowance (Per Diem)</v>
      </c>
      <c r="U295" s="47" t="s">
        <v>153</v>
      </c>
      <c r="V295" s="72" t="s">
        <v>44</v>
      </c>
      <c r="W295" s="59"/>
      <c r="X295" s="48"/>
      <c r="Y295" s="62">
        <f>Table681620[[#This Row],[Qty]]*Table681620[[#This Row],[Rate]]</f>
        <v>0</v>
      </c>
      <c r="Z295" s="51"/>
      <c r="AA295" s="63" t="s">
        <v>466</v>
      </c>
      <c r="AB295" s="64" t="s">
        <v>467</v>
      </c>
      <c r="AC295" s="7"/>
    </row>
    <row r="296" spans="1:29" x14ac:dyDescent="0.3">
      <c r="A296" s="43" t="str">
        <f>INDEX(Table_Numbering[L1],MATCH(Table681620[[#This Row],[L1]],Table_Numbering[L1 Description (Cost Area)],0))</f>
        <v>A</v>
      </c>
      <c r="B296" s="43" t="str">
        <f>IFERROR(INDEX(Table_Numbering[L2],MATCH(Table681620[[#This Row],[L2]],Table_Numbering[L2 Description (Area)],0)),"0")</f>
        <v>7</v>
      </c>
      <c r="C296" s="43" t="str">
        <f>IFERROR(INDEX(Table_Numbering[L3],MATCH(Table681620[[#This Row],[L3]],Table_Numbering[L3 Description (Sub Area)],0)),"0")</f>
        <v>03</v>
      </c>
      <c r="D296" s="43" t="str">
        <f>Table681620[[#This Row],[N1]]&amp;Table681620[[#This Row],[N2]]&amp;Table681620[[#This Row],[N3]]</f>
        <v>A703</v>
      </c>
      <c r="E296" s="43" t="str">
        <f>TEXT(COUNTIF(C$7:C294,Table681620[[#This Row],[N3]]),"00")</f>
        <v>23</v>
      </c>
      <c r="F296" s="43">
        <f>COUNTIFS(J$7:J296,J296,K$7:K296,K296,L$7:L296,L296,M$7:M296,M296)</f>
        <v>1</v>
      </c>
      <c r="G296" s="43" t="str">
        <f>TEXT(COUNTIFS(A$7:A296,A296,B$7:B296,B296,E$7:E296,E296,F$7:F296,1),"00")</f>
        <v>01</v>
      </c>
      <c r="H296" s="43" t="str">
        <f t="shared" si="10"/>
        <v>00</v>
      </c>
      <c r="I296" s="44" t="str">
        <f t="shared" si="11"/>
        <v>4</v>
      </c>
      <c r="J296" s="75" t="s">
        <v>38</v>
      </c>
      <c r="K296" s="45" t="s">
        <v>133</v>
      </c>
      <c r="L296" s="45" t="s">
        <v>1545</v>
      </c>
      <c r="M296" s="45" t="s">
        <v>1549</v>
      </c>
      <c r="N296" s="45"/>
      <c r="O29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A7.03.23</v>
      </c>
      <c r="P296" s="59" t="s">
        <v>770</v>
      </c>
      <c r="Q296" s="59" t="s">
        <v>42</v>
      </c>
      <c r="R296" s="59"/>
      <c r="S296" s="59" t="s">
        <v>1627</v>
      </c>
      <c r="T296" s="58" t="str">
        <f>IF(Table681620[[#This Row],[LEVEL]]="5",Table681620[[#This Row],[L5]],
IF(Table681620[[#This Row],[LEVEL]]="4",Table681620[[#This Row],[L4]],
IF(Table681620[[#This Row],[LEVEL]]="3",Table681620[[#This Row],[L3]],
IF(Table681620[[#This Row],[LEVEL]]="2",Table681620[[#This Row],[L2]],
IF(Table681620[[#This Row],[LEVEL]]="1",Table681620[[#This Row],[L1]],"")))))</f>
        <v>Incidental Expenses Allowance</v>
      </c>
      <c r="U296" s="47" t="s">
        <v>62</v>
      </c>
      <c r="V296" s="72" t="s">
        <v>44</v>
      </c>
      <c r="W296" s="59"/>
      <c r="X296" s="48"/>
      <c r="Y296" s="62">
        <f>Table681620[[#This Row],[Qty]]*Table681620[[#This Row],[Rate]]</f>
        <v>0</v>
      </c>
      <c r="Z296" s="51"/>
      <c r="AA296" s="63" t="s">
        <v>466</v>
      </c>
      <c r="AB296" s="64" t="s">
        <v>467</v>
      </c>
      <c r="AC296" s="7"/>
    </row>
    <row r="297" spans="1:29" x14ac:dyDescent="0.3">
      <c r="A297" s="43" t="str">
        <f>INDEX(Table_Numbering[L1],MATCH(Table681620[[#This Row],[L1]],Table_Numbering[L1 Description (Cost Area)],0))</f>
        <v>A</v>
      </c>
      <c r="B297" s="43" t="str">
        <f>IFERROR(INDEX(Table_Numbering[L2],MATCH(Table681620[[#This Row],[L2]],Table_Numbering[L2 Description (Area)],0)),"0")</f>
        <v>7</v>
      </c>
      <c r="C297" s="43" t="str">
        <f>IFERROR(INDEX(Table_Numbering[L3],MATCH(Table681620[[#This Row],[L3]],Table_Numbering[L3 Description (Sub Area)],0)),"0")</f>
        <v>04</v>
      </c>
      <c r="D297" s="43" t="str">
        <f>Table681620[[#This Row],[N1]]&amp;Table681620[[#This Row],[N2]]&amp;Table681620[[#This Row],[N3]]</f>
        <v>A704</v>
      </c>
      <c r="E297" s="43" t="str">
        <f>TEXT(COUNTIF(C$7:C295,Table681620[[#This Row],[N3]]),"00")</f>
        <v>26</v>
      </c>
      <c r="F297" s="43">
        <f>COUNTIFS(J$7:J297,J297,K$7:K297,K297,L$7:L297,L297,M$7:M297,M297)</f>
        <v>0</v>
      </c>
      <c r="G297" s="43" t="str">
        <f>TEXT(COUNTIFS(A$7:A297,A297,B$7:B297,B297,E$7:E297,E297,F$7:F297,1),"00")</f>
        <v>00</v>
      </c>
      <c r="H297" s="43" t="str">
        <f t="shared" si="10"/>
        <v>00</v>
      </c>
      <c r="I297" s="44" t="str">
        <f t="shared" si="11"/>
        <v>3</v>
      </c>
      <c r="J297" s="75" t="s">
        <v>38</v>
      </c>
      <c r="K297" s="45" t="s">
        <v>133</v>
      </c>
      <c r="L297" s="45" t="s">
        <v>1550</v>
      </c>
      <c r="M297" s="45"/>
      <c r="N297" s="45"/>
      <c r="O29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A7.04</v>
      </c>
      <c r="P297" s="59"/>
      <c r="Q297" s="59"/>
      <c r="R297" s="59"/>
      <c r="S297" s="59"/>
      <c r="T297" s="55" t="str">
        <f>IF(Table681620[[#This Row],[LEVEL]]="5",Table681620[[#This Row],[L5]],
IF(Table681620[[#This Row],[LEVEL]]="4",Table681620[[#This Row],[L4]],
IF(Table681620[[#This Row],[LEVEL]]="3",Table681620[[#This Row],[L3]],
IF(Table681620[[#This Row],[LEVEL]]="2",Table681620[[#This Row],[L2]],
IF(Table681620[[#This Row],[LEVEL]]="1",Table681620[[#This Row],[L1]],"")))))</f>
        <v>REMOTE AREA ALLOWANCES</v>
      </c>
      <c r="U297" s="47"/>
      <c r="V297" s="72"/>
      <c r="W297" s="59"/>
      <c r="X297" s="48"/>
      <c r="Y297" s="50">
        <f>SUBTOTAL(9,Y298:Y299)</f>
        <v>0</v>
      </c>
      <c r="Z297" s="51"/>
      <c r="AA297" s="48"/>
      <c r="AB297" s="48"/>
      <c r="AC297" s="7"/>
    </row>
    <row r="298" spans="1:29" x14ac:dyDescent="0.3">
      <c r="A298" s="43" t="str">
        <f>INDEX(Table_Numbering[L1],MATCH(Table681620[[#This Row],[L1]],Table_Numbering[L1 Description (Cost Area)],0))</f>
        <v>A</v>
      </c>
      <c r="B298" s="43" t="str">
        <f>IFERROR(INDEX(Table_Numbering[L2],MATCH(Table681620[[#This Row],[L2]],Table_Numbering[L2 Description (Area)],0)),"0")</f>
        <v>7</v>
      </c>
      <c r="C298" s="43" t="str">
        <f>IFERROR(INDEX(Table_Numbering[L3],MATCH(Table681620[[#This Row],[L3]],Table_Numbering[L3 Description (Sub Area)],0)),"0")</f>
        <v>04</v>
      </c>
      <c r="D298" s="43" t="str">
        <f>Table681620[[#This Row],[N1]]&amp;Table681620[[#This Row],[N2]]&amp;Table681620[[#This Row],[N3]]</f>
        <v>A704</v>
      </c>
      <c r="E298" s="43" t="str">
        <f>TEXT(COUNTIF(C$7:C296,Table681620[[#This Row],[N3]]),"00")</f>
        <v>26</v>
      </c>
      <c r="F298" s="43">
        <f>COUNTIFS(J$7:J298,J298,K$7:K298,K298,L$7:L298,L298,M$7:M298,M298)</f>
        <v>1</v>
      </c>
      <c r="G298" s="43" t="str">
        <f>TEXT(COUNTIFS(A$7:A298,A298,B$7:B298,B298,E$7:E298,E298,F$7:F298,1),"00")</f>
        <v>01</v>
      </c>
      <c r="H298" s="43" t="str">
        <f t="shared" si="10"/>
        <v>00</v>
      </c>
      <c r="I298" s="44" t="str">
        <f t="shared" si="11"/>
        <v>4</v>
      </c>
      <c r="J298" s="75" t="s">
        <v>38</v>
      </c>
      <c r="K298" s="45" t="s">
        <v>133</v>
      </c>
      <c r="L298" s="45" t="s">
        <v>1550</v>
      </c>
      <c r="M298" s="45" t="s">
        <v>1553</v>
      </c>
      <c r="N298" s="45"/>
      <c r="O29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A7.04.26</v>
      </c>
      <c r="P298" s="59" t="s">
        <v>118</v>
      </c>
      <c r="Q298" s="59" t="s">
        <v>42</v>
      </c>
      <c r="R298" s="59"/>
      <c r="S298" s="59" t="s">
        <v>1628</v>
      </c>
      <c r="T298" s="58" t="str">
        <f>IF(Table681620[[#This Row],[LEVEL]]="5",Table681620[[#This Row],[L5]],
IF(Table681620[[#This Row],[LEVEL]]="4",Table681620[[#This Row],[L4]],
IF(Table681620[[#This Row],[LEVEL]]="3",Table681620[[#This Row],[L3]],
IF(Table681620[[#This Row],[LEVEL]]="2",Table681620[[#This Row],[L2]],
IF(Table681620[[#This Row],[LEVEL]]="1",Table681620[[#This Row],[L1]],"")))))</f>
        <v>Site Disability / Remote Area Allowance</v>
      </c>
      <c r="U298" s="47" t="s">
        <v>153</v>
      </c>
      <c r="V298" s="72" t="s">
        <v>44</v>
      </c>
      <c r="W298" s="59"/>
      <c r="X298" s="48"/>
      <c r="Y298" s="62">
        <f>Table681620[[#This Row],[Qty]]*Table681620[[#This Row],[Rate]]</f>
        <v>0</v>
      </c>
      <c r="Z298" s="51"/>
      <c r="AA298" s="63" t="s">
        <v>466</v>
      </c>
      <c r="AB298" s="64" t="s">
        <v>467</v>
      </c>
      <c r="AC298" s="7"/>
    </row>
    <row r="299" spans="1:29" x14ac:dyDescent="0.3">
      <c r="A299" s="43" t="str">
        <f>INDEX(Table_Numbering[L1],MATCH(Table681620[[#This Row],[L1]],Table_Numbering[L1 Description (Cost Area)],0))</f>
        <v>A</v>
      </c>
      <c r="B299" s="43" t="str">
        <f>IFERROR(INDEX(Table_Numbering[L2],MATCH(Table681620[[#This Row],[L2]],Table_Numbering[L2 Description (Area)],0)),"0")</f>
        <v>7</v>
      </c>
      <c r="C299" s="43" t="str">
        <f>IFERROR(INDEX(Table_Numbering[L3],MATCH(Table681620[[#This Row],[L3]],Table_Numbering[L3 Description (Sub Area)],0)),"0")</f>
        <v>04</v>
      </c>
      <c r="D299" s="43" t="str">
        <f>Table681620[[#This Row],[N1]]&amp;Table681620[[#This Row],[N2]]&amp;Table681620[[#This Row],[N3]]</f>
        <v>A704</v>
      </c>
      <c r="E299" s="43" t="str">
        <f>TEXT(COUNTIF(C$7:C297,Table681620[[#This Row],[N3]]),"00")</f>
        <v>27</v>
      </c>
      <c r="F299" s="43">
        <f>COUNTIFS(J$7:J299,J299,K$7:K299,K299,L$7:L299,L299,M$7:M299,M299)</f>
        <v>1</v>
      </c>
      <c r="G299" s="43" t="str">
        <f>TEXT(COUNTIFS(A$7:A299,A299,B$7:B299,B299,E$7:E299,E299,F$7:F299,1),"00")</f>
        <v>02</v>
      </c>
      <c r="H299" s="43" t="str">
        <f t="shared" si="10"/>
        <v>00</v>
      </c>
      <c r="I299" s="44" t="str">
        <f t="shared" si="11"/>
        <v>4</v>
      </c>
      <c r="J299" s="75" t="s">
        <v>38</v>
      </c>
      <c r="K299" s="45" t="s">
        <v>133</v>
      </c>
      <c r="L299" s="45" t="s">
        <v>1550</v>
      </c>
      <c r="M299" s="45" t="s">
        <v>1555</v>
      </c>
      <c r="N299" s="45"/>
      <c r="O29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A7.04.27</v>
      </c>
      <c r="P299" s="59" t="s">
        <v>118</v>
      </c>
      <c r="Q299" s="59" t="s">
        <v>42</v>
      </c>
      <c r="R299" s="59"/>
      <c r="S299" s="59" t="s">
        <v>1629</v>
      </c>
      <c r="T299" s="58" t="str">
        <f>IF(Table681620[[#This Row],[LEVEL]]="5",Table681620[[#This Row],[L5]],
IF(Table681620[[#This Row],[LEVEL]]="4",Table681620[[#This Row],[L4]],
IF(Table681620[[#This Row],[LEVEL]]="3",Table681620[[#This Row],[L3]],
IF(Table681620[[#This Row],[LEVEL]]="2",Table681620[[#This Row],[L2]],
IF(Table681620[[#This Row],[LEVEL]]="1",Table681620[[#This Row],[L1]],"")))))</f>
        <v>Living Away from Home Allowance (LAFHA)</v>
      </c>
      <c r="U299" s="47" t="s">
        <v>233</v>
      </c>
      <c r="V299" s="72" t="s">
        <v>44</v>
      </c>
      <c r="W299" s="59"/>
      <c r="X299" s="48"/>
      <c r="Y299" s="62">
        <f>Table681620[[#This Row],[Qty]]*Table681620[[#This Row],[Rate]]</f>
        <v>0</v>
      </c>
      <c r="Z299" s="51"/>
      <c r="AA299" s="63" t="s">
        <v>466</v>
      </c>
      <c r="AB299" s="64" t="s">
        <v>467</v>
      </c>
      <c r="AC299" s="7"/>
    </row>
    <row r="300" spans="1:29" x14ac:dyDescent="0.3">
      <c r="A300" s="43" t="str">
        <f>INDEX(Table_Numbering[L1],MATCH(Table681620[[#This Row],[L1]],Table_Numbering[L1 Description (Cost Area)],0))</f>
        <v>P</v>
      </c>
      <c r="B300" s="43" t="str">
        <f>IFERROR(INDEX(Table_Numbering[L2],MATCH(Table681620[[#This Row],[L2]],Table_Numbering[L2 Description (Area)],0)),"0")</f>
        <v>0</v>
      </c>
      <c r="C300" s="43" t="str">
        <f>IFERROR(INDEX(Table_Numbering[L3],MATCH(Table681620[[#This Row],[L3]],Table_Numbering[L3 Description (Sub Area)],0)),"0")</f>
        <v>0</v>
      </c>
      <c r="D300" s="43" t="str">
        <f>Table681620[[#This Row],[N1]]&amp;Table681620[[#This Row],[N2]]&amp;Table681620[[#This Row],[N3]]</f>
        <v>P00</v>
      </c>
      <c r="E300" s="43" t="str">
        <f>TEXT(COUNTIF(C$7:C298,Table681620[[#This Row],[N3]]),"00")</f>
        <v>09</v>
      </c>
      <c r="F300" s="43">
        <f>COUNTIFS(J$7:J300,J300,K$7:K300,K300,L$7:L300,L300,M$7:M300,M300)</f>
        <v>0</v>
      </c>
      <c r="G300" s="43" t="str">
        <f>TEXT(COUNTIFS(A$7:A300,A300,B$7:B300,B300,E$7:E300,E300,F$7:F300,1),"00")</f>
        <v>00</v>
      </c>
      <c r="H300" s="43" t="str">
        <f t="shared" si="10"/>
        <v>00</v>
      </c>
      <c r="I300" s="44" t="str">
        <f t="shared" si="11"/>
        <v>1</v>
      </c>
      <c r="J300" s="75" t="s">
        <v>772</v>
      </c>
      <c r="K300" s="45"/>
      <c r="L300" s="45"/>
      <c r="M300" s="45"/>
      <c r="N300" s="45"/>
      <c r="O30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v>
      </c>
      <c r="P300" s="59"/>
      <c r="Q300" s="59"/>
      <c r="R300" s="59"/>
      <c r="S300" s="59"/>
      <c r="T300" s="46" t="str">
        <f>IF(Table681620[[#This Row],[LEVEL]]="5",Table681620[[#This Row],[L5]],
IF(Table681620[[#This Row],[LEVEL]]="4",Table681620[[#This Row],[L4]],
IF(Table681620[[#This Row],[LEVEL]]="3",Table681620[[#This Row],[L3]],
IF(Table681620[[#This Row],[LEVEL]]="2",Table681620[[#This Row],[L2]],
IF(Table681620[[#This Row],[LEVEL]]="1",Table681620[[#This Row],[L1]],"")))))</f>
        <v>Section B - Provisional Sum</v>
      </c>
      <c r="U300" s="47"/>
      <c r="V300" s="72"/>
      <c r="W300" s="59"/>
      <c r="X300" s="48"/>
      <c r="Y300" s="50">
        <f>SUBTOTAL(9,Y301:Y324)</f>
        <v>0</v>
      </c>
      <c r="Z300" s="51"/>
      <c r="AA300" s="64"/>
      <c r="AB300" s="64"/>
      <c r="AC300" s="7"/>
    </row>
    <row r="301" spans="1:29" x14ac:dyDescent="0.3">
      <c r="A301" s="43" t="str">
        <f>INDEX(Table_Numbering[L1],MATCH(Table681620[[#This Row],[L1]],Table_Numbering[L1 Description (Cost Area)],0))</f>
        <v>P</v>
      </c>
      <c r="B301" s="43" t="str">
        <f>IFERROR(INDEX(Table_Numbering[L2],MATCH(Table681620[[#This Row],[L2]],Table_Numbering[L2 Description (Area)],0)),"0")</f>
        <v>1</v>
      </c>
      <c r="C301" s="43" t="str">
        <f>IFERROR(INDEX(Table_Numbering[L3],MATCH(Table681620[[#This Row],[L3]],Table_Numbering[L3 Description (Sub Area)],0)),"0")</f>
        <v>0</v>
      </c>
      <c r="D301" s="43" t="str">
        <f>Table681620[[#This Row],[N1]]&amp;Table681620[[#This Row],[N2]]&amp;Table681620[[#This Row],[N3]]</f>
        <v>P10</v>
      </c>
      <c r="E301" s="43" t="str">
        <f>TEXT(COUNTIF(C$7:C299,Table681620[[#This Row],[N3]]),"00")</f>
        <v>09</v>
      </c>
      <c r="F301" s="43">
        <f>COUNTIFS(J$7:J301,J301,K$7:K301,K301,L$7:L301,L301,M$7:M301,M301)</f>
        <v>0</v>
      </c>
      <c r="G301" s="43" t="str">
        <f>TEXT(COUNTIFS(A$7:A301,A301,B$7:B301,B301,E$7:E301,E301,F$7:F301,1),"00")</f>
        <v>00</v>
      </c>
      <c r="H301" s="43" t="str">
        <f t="shared" si="10"/>
        <v>00</v>
      </c>
      <c r="I301" s="44" t="str">
        <f t="shared" si="11"/>
        <v>2</v>
      </c>
      <c r="J301" s="75" t="s">
        <v>772</v>
      </c>
      <c r="K301" s="45" t="s">
        <v>773</v>
      </c>
      <c r="L301" s="45"/>
      <c r="M301" s="45"/>
      <c r="N301" s="45"/>
      <c r="O30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v>
      </c>
      <c r="P301" s="59"/>
      <c r="Q301" s="59"/>
      <c r="R301" s="59"/>
      <c r="S301" s="59"/>
      <c r="T301" s="48" t="str">
        <f>IF(Table681620[[#This Row],[LEVEL]]="5",Table681620[[#This Row],[L5]],
IF(Table681620[[#This Row],[LEVEL]]="4",Table681620[[#This Row],[L4]],
IF(Table681620[[#This Row],[LEVEL]]="3",Table681620[[#This Row],[L3]],
IF(Table681620[[#This Row],[LEVEL]]="2",Table681620[[#This Row],[L2]],
IF(Table681620[[#This Row],[LEVEL]]="1",Table681620[[#This Row],[L1]],"")))))</f>
        <v>PROVISIONAL SUMS</v>
      </c>
      <c r="U301" s="47"/>
      <c r="V301" s="72"/>
      <c r="W301" s="59"/>
      <c r="X301" s="48"/>
      <c r="Y301" s="50">
        <f>SUBTOTAL(9,Y302:Y324)</f>
        <v>0</v>
      </c>
      <c r="Z301" s="51"/>
      <c r="AA301" s="48"/>
      <c r="AB301" s="48"/>
      <c r="AC301" s="7"/>
    </row>
    <row r="302" spans="1:29" x14ac:dyDescent="0.3">
      <c r="A302" s="43" t="str">
        <f>INDEX(Table_Numbering[L1],MATCH(Table681620[[#This Row],[L1]],Table_Numbering[L1 Description (Cost Area)],0))</f>
        <v>P</v>
      </c>
      <c r="B302" s="43" t="str">
        <f>IFERROR(INDEX(Table_Numbering[L2],MATCH(Table681620[[#This Row],[L2]],Table_Numbering[L2 Description (Area)],0)),"0")</f>
        <v>1</v>
      </c>
      <c r="C302" s="43" t="str">
        <f>IFERROR(INDEX(Table_Numbering[L3],MATCH(Table681620[[#This Row],[L3]],Table_Numbering[L3 Description (Sub Area)],0)),"0")</f>
        <v>01</v>
      </c>
      <c r="D302" s="43" t="str">
        <f>Table681620[[#This Row],[N1]]&amp;Table681620[[#This Row],[N2]]&amp;Table681620[[#This Row],[N3]]</f>
        <v>P101</v>
      </c>
      <c r="E302" s="43" t="str">
        <f>TEXT(COUNTIF(C$7:C300,Table681620[[#This Row],[N3]]),"00")</f>
        <v>53</v>
      </c>
      <c r="F302" s="43">
        <f>COUNTIFS(J$7:J302,J302,K$7:K302,K302,L$7:L302,L302,M$7:M302,M302)</f>
        <v>0</v>
      </c>
      <c r="G302" s="43" t="str">
        <f>TEXT(COUNTIFS(A$7:A302,A302,B$7:B302,B302,E$7:E302,E302,F$7:F302,1),"00")</f>
        <v>00</v>
      </c>
      <c r="H302" s="43" t="str">
        <f t="shared" si="10"/>
        <v>00</v>
      </c>
      <c r="I302" s="44" t="str">
        <f t="shared" si="11"/>
        <v>3</v>
      </c>
      <c r="J302" s="75" t="s">
        <v>772</v>
      </c>
      <c r="K302" s="45" t="s">
        <v>773</v>
      </c>
      <c r="L302" s="45" t="s">
        <v>774</v>
      </c>
      <c r="M302" s="45"/>
      <c r="N302" s="45"/>
      <c r="O30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P1.01</v>
      </c>
      <c r="P302" s="59"/>
      <c r="Q302" s="59"/>
      <c r="R302" s="59"/>
      <c r="S302" s="59"/>
      <c r="T302" s="55" t="str">
        <f>IF(Table681620[[#This Row],[LEVEL]]="5",Table681620[[#This Row],[L5]],
IF(Table681620[[#This Row],[LEVEL]]="4",Table681620[[#This Row],[L4]],
IF(Table681620[[#This Row],[LEVEL]]="3",Table681620[[#This Row],[L3]],
IF(Table681620[[#This Row],[LEVEL]]="2",Table681620[[#This Row],[L2]],
IF(Table681620[[#This Row],[LEVEL]]="1",Table681620[[#This Row],[L1]],"")))))</f>
        <v>SITE CONDITIONS</v>
      </c>
      <c r="U302" s="47"/>
      <c r="V302" s="72"/>
      <c r="W302" s="59"/>
      <c r="X302" s="48"/>
      <c r="Y302" s="50">
        <f>SUBTOTAL(9,Y303:Y305)</f>
        <v>0</v>
      </c>
      <c r="Z302" s="51"/>
      <c r="AA302" s="48"/>
      <c r="AB302" s="48"/>
      <c r="AC302" s="7"/>
    </row>
    <row r="303" spans="1:29" x14ac:dyDescent="0.3">
      <c r="A303" s="43" t="str">
        <f>INDEX(Table_Numbering[L1],MATCH(Table681620[[#This Row],[L1]],Table_Numbering[L1 Description (Cost Area)],0))</f>
        <v>P</v>
      </c>
      <c r="B303" s="43" t="str">
        <f>IFERROR(INDEX(Table_Numbering[L2],MATCH(Table681620[[#This Row],[L2]],Table_Numbering[L2 Description (Area)],0)),"0")</f>
        <v>1</v>
      </c>
      <c r="C303" s="43" t="str">
        <f>IFERROR(INDEX(Table_Numbering[L3],MATCH(Table681620[[#This Row],[L3]],Table_Numbering[L3 Description (Sub Area)],0)),"0")</f>
        <v>01</v>
      </c>
      <c r="D303" s="43" t="str">
        <f>Table681620[[#This Row],[N1]]&amp;Table681620[[#This Row],[N2]]&amp;Table681620[[#This Row],[N3]]</f>
        <v>P101</v>
      </c>
      <c r="E303" s="43" t="str">
        <f>TEXT(COUNTIF(C$7:C301,Table681620[[#This Row],[N3]]),"00")</f>
        <v>53</v>
      </c>
      <c r="F303" s="43">
        <f>COUNTIFS(J$7:J303,J303,K$7:K303,K303,L$7:L303,L303,M$7:M303,M303)</f>
        <v>1</v>
      </c>
      <c r="G303" s="43" t="str">
        <f>TEXT(COUNTIFS(A$7:A303,A303,B$7:B303,B303,E$7:E303,E303,F$7:F303,1),"00")</f>
        <v>01</v>
      </c>
      <c r="H303" s="43" t="str">
        <f t="shared" si="10"/>
        <v>00</v>
      </c>
      <c r="I303" s="44" t="str">
        <f t="shared" si="11"/>
        <v>4</v>
      </c>
      <c r="J303" s="75" t="s">
        <v>772</v>
      </c>
      <c r="K303" s="45" t="s">
        <v>773</v>
      </c>
      <c r="L303" s="45" t="s">
        <v>774</v>
      </c>
      <c r="M303" s="45" t="s">
        <v>135</v>
      </c>
      <c r="N303" s="45"/>
      <c r="O30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P1.01.53</v>
      </c>
      <c r="P303" s="59" t="s">
        <v>775</v>
      </c>
      <c r="Q303" s="59" t="s">
        <v>776</v>
      </c>
      <c r="R303" s="59"/>
      <c r="S303" s="59" t="s">
        <v>1556</v>
      </c>
      <c r="T303" s="58" t="str">
        <f>IF(Table681620[[#This Row],[LEVEL]]="5",Table681620[[#This Row],[L5]],
IF(Table681620[[#This Row],[LEVEL]]="4",Table681620[[#This Row],[L4]],
IF(Table681620[[#This Row],[LEVEL]]="3",Table681620[[#This Row],[L3]],
IF(Table681620[[#This Row],[LEVEL]]="2",Table681620[[#This Row],[L2]],
IF(Table681620[[#This Row],[LEVEL]]="1",Table681620[[#This Row],[L1]],"")))))</f>
        <v>Latent Conditions Allowance</v>
      </c>
      <c r="U303" s="47" t="s">
        <v>62</v>
      </c>
      <c r="V303" s="72" t="s">
        <v>137</v>
      </c>
      <c r="W303" s="59">
        <v>1</v>
      </c>
      <c r="X303" s="48"/>
      <c r="Y303" s="62">
        <f>Table681620[[#This Row],[Qty]]*Table681620[[#This Row],[Rate]]</f>
        <v>0</v>
      </c>
      <c r="Z303" s="51"/>
      <c r="AA303" s="48" t="s">
        <v>778</v>
      </c>
      <c r="AB303" s="48" t="s">
        <v>2359</v>
      </c>
      <c r="AC303" s="7"/>
    </row>
    <row r="304" spans="1:29" x14ac:dyDescent="0.3">
      <c r="A304" s="43" t="str">
        <f>INDEX(Table_Numbering[L1],MATCH(Table681620[[#This Row],[L1]],Table_Numbering[L1 Description (Cost Area)],0))</f>
        <v>P</v>
      </c>
      <c r="B304" s="43" t="str">
        <f>IFERROR(INDEX(Table_Numbering[L2],MATCH(Table681620[[#This Row],[L2]],Table_Numbering[L2 Description (Area)],0)),"0")</f>
        <v>1</v>
      </c>
      <c r="C304" s="43" t="str">
        <f>IFERROR(INDEX(Table_Numbering[L3],MATCH(Table681620[[#This Row],[L3]],Table_Numbering[L3 Description (Sub Area)],0)),"0")</f>
        <v>01</v>
      </c>
      <c r="D304" s="43" t="str">
        <f>Table681620[[#This Row],[N1]]&amp;Table681620[[#This Row],[N2]]&amp;Table681620[[#This Row],[N3]]</f>
        <v>P101</v>
      </c>
      <c r="E304" s="43" t="str">
        <f>TEXT(COUNTIF(C$7:C302,Table681620[[#This Row],[N3]]),"00")</f>
        <v>54</v>
      </c>
      <c r="F304" s="43">
        <f>COUNTIFS(J$7:J304,J304,K$7:K304,K304,L$7:L304,L304,M$7:M304,M304)</f>
        <v>1</v>
      </c>
      <c r="G304" s="43" t="str">
        <f>TEXT(COUNTIFS(A$7:A304,A304,B$7:B304,B304,E$7:E304,E304,F$7:F304,1),"00")</f>
        <v>01</v>
      </c>
      <c r="H304" s="43" t="str">
        <f t="shared" si="10"/>
        <v>00</v>
      </c>
      <c r="I304" s="44" t="str">
        <f t="shared" si="11"/>
        <v>4</v>
      </c>
      <c r="J304" s="75" t="s">
        <v>772</v>
      </c>
      <c r="K304" s="45" t="s">
        <v>773</v>
      </c>
      <c r="L304" s="45" t="s">
        <v>774</v>
      </c>
      <c r="M304" s="45" t="s">
        <v>139</v>
      </c>
      <c r="N304" s="45"/>
      <c r="O30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P1.01.54</v>
      </c>
      <c r="P304" s="59" t="s">
        <v>775</v>
      </c>
      <c r="Q304" s="59" t="s">
        <v>776</v>
      </c>
      <c r="R304" s="59"/>
      <c r="S304" s="59" t="s">
        <v>1557</v>
      </c>
      <c r="T304" s="58" t="str">
        <f>IF(Table681620[[#This Row],[LEVEL]]="5",Table681620[[#This Row],[L5]],
IF(Table681620[[#This Row],[LEVEL]]="4",Table681620[[#This Row],[L4]],
IF(Table681620[[#This Row],[LEVEL]]="3",Table681620[[#This Row],[L3]],
IF(Table681620[[#This Row],[LEVEL]]="2",Table681620[[#This Row],[L2]],
IF(Table681620[[#This Row],[LEVEL]]="1",Table681620[[#This Row],[L1]],"")))))</f>
        <v>Rock Excavation Allowance</v>
      </c>
      <c r="U304" s="47" t="s">
        <v>239</v>
      </c>
      <c r="V304" s="72" t="s">
        <v>137</v>
      </c>
      <c r="W304" s="59"/>
      <c r="X304" s="48"/>
      <c r="Y304" s="62">
        <f>Table681620[[#This Row],[Qty]]*Table681620[[#This Row],[Rate]]</f>
        <v>0</v>
      </c>
      <c r="Z304" s="51"/>
      <c r="AA304" s="48" t="s">
        <v>780</v>
      </c>
      <c r="AB304" s="48" t="s">
        <v>2359</v>
      </c>
      <c r="AC304" s="7"/>
    </row>
    <row r="305" spans="1:29" x14ac:dyDescent="0.3">
      <c r="A305" s="43" t="str">
        <f>INDEX(Table_Numbering[L1],MATCH(Table681620[[#This Row],[L1]],Table_Numbering[L1 Description (Cost Area)],0))</f>
        <v>P</v>
      </c>
      <c r="B305" s="43" t="str">
        <f>IFERROR(INDEX(Table_Numbering[L2],MATCH(Table681620[[#This Row],[L2]],Table_Numbering[L2 Description (Area)],0)),"0")</f>
        <v>1</v>
      </c>
      <c r="C305" s="43" t="str">
        <f>IFERROR(INDEX(Table_Numbering[L3],MATCH(Table681620[[#This Row],[L3]],Table_Numbering[L3 Description (Sub Area)],0)),"0")</f>
        <v>01</v>
      </c>
      <c r="D305" s="43" t="str">
        <f>Table681620[[#This Row],[N1]]&amp;Table681620[[#This Row],[N2]]&amp;Table681620[[#This Row],[N3]]</f>
        <v>P101</v>
      </c>
      <c r="E305" s="43" t="str">
        <f>TEXT(COUNTIF(C$7:C303,Table681620[[#This Row],[N3]]),"00")</f>
        <v>55</v>
      </c>
      <c r="F305" s="43">
        <f>COUNTIFS(J$7:J305,J305,K$7:K305,K305,L$7:L305,L305,M$7:M305,M305)</f>
        <v>1</v>
      </c>
      <c r="G305" s="43" t="str">
        <f>TEXT(COUNTIFS(A$7:A305,A305,B$7:B305,B305,E$7:E305,E305,F$7:F305,1),"00")</f>
        <v>01</v>
      </c>
      <c r="H305" s="43" t="str">
        <f t="shared" si="10"/>
        <v>00</v>
      </c>
      <c r="I305" s="44" t="str">
        <f t="shared" si="11"/>
        <v>4</v>
      </c>
      <c r="J305" s="75" t="s">
        <v>772</v>
      </c>
      <c r="K305" s="45" t="s">
        <v>773</v>
      </c>
      <c r="L305" s="45" t="s">
        <v>774</v>
      </c>
      <c r="M305" s="45" t="s">
        <v>782</v>
      </c>
      <c r="N305" s="45"/>
      <c r="O30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P1.01.55</v>
      </c>
      <c r="P305" s="59" t="s">
        <v>775</v>
      </c>
      <c r="Q305" s="59" t="s">
        <v>776</v>
      </c>
      <c r="R305" s="59"/>
      <c r="S305" s="59" t="s">
        <v>1558</v>
      </c>
      <c r="T305" s="58" t="str">
        <f>IF(Table681620[[#This Row],[LEVEL]]="5",Table681620[[#This Row],[L5]],
IF(Table681620[[#This Row],[LEVEL]]="4",Table681620[[#This Row],[L4]],
IF(Table681620[[#This Row],[LEVEL]]="3",Table681620[[#This Row],[L3]],
IF(Table681620[[#This Row],[LEVEL]]="2",Table681620[[#This Row],[L2]],
IF(Table681620[[#This Row],[LEVEL]]="1",Table681620[[#This Row],[L1]],"")))))</f>
        <v>Contaminated Soil Allowance</v>
      </c>
      <c r="U305" s="47" t="s">
        <v>239</v>
      </c>
      <c r="V305" s="72" t="s">
        <v>137</v>
      </c>
      <c r="W305" s="59"/>
      <c r="X305" s="48"/>
      <c r="Y305" s="62">
        <f>Table681620[[#This Row],[Qty]]*Table681620[[#This Row],[Rate]]</f>
        <v>0</v>
      </c>
      <c r="Z305" s="51"/>
      <c r="AA305" s="48" t="s">
        <v>783</v>
      </c>
      <c r="AB305" s="48" t="s">
        <v>2359</v>
      </c>
      <c r="AC305" s="7"/>
    </row>
    <row r="306" spans="1:29" x14ac:dyDescent="0.3">
      <c r="A306" s="43" t="str">
        <f>INDEX(Table_Numbering[L1],MATCH(Table681620[[#This Row],[L1]],Table_Numbering[L1 Description (Cost Area)],0))</f>
        <v>P</v>
      </c>
      <c r="B306" s="43" t="str">
        <f>IFERROR(INDEX(Table_Numbering[L2],MATCH(Table681620[[#This Row],[L2]],Table_Numbering[L2 Description (Area)],0)),"0")</f>
        <v>1</v>
      </c>
      <c r="C306" s="43" t="str">
        <f>IFERROR(INDEX(Table_Numbering[L3],MATCH(Table681620[[#This Row],[L3]],Table_Numbering[L3 Description (Sub Area)],0)),"0")</f>
        <v>02</v>
      </c>
      <c r="D306" s="43" t="str">
        <f>Table681620[[#This Row],[N1]]&amp;Table681620[[#This Row],[N2]]&amp;Table681620[[#This Row],[N3]]</f>
        <v>P102</v>
      </c>
      <c r="E306" s="43" t="str">
        <f>TEXT(COUNTIF(C$7:C304,Table681620[[#This Row],[N3]]),"00")</f>
        <v>31</v>
      </c>
      <c r="F306" s="43">
        <f>COUNTIFS(J$7:J306,J306,K$7:K306,K306,L$7:L306,L306,M$7:M306,M306)</f>
        <v>0</v>
      </c>
      <c r="G306" s="43" t="str">
        <f>TEXT(COUNTIFS(A$7:A306,A306,B$7:B306,B306,E$7:E306,E306,F$7:F306,1),"00")</f>
        <v>00</v>
      </c>
      <c r="H306" s="43" t="str">
        <f t="shared" si="10"/>
        <v>00</v>
      </c>
      <c r="I306" s="44" t="str">
        <f t="shared" si="11"/>
        <v>3</v>
      </c>
      <c r="J306" s="75" t="s">
        <v>772</v>
      </c>
      <c r="K306" s="45" t="s">
        <v>773</v>
      </c>
      <c r="L306" s="45" t="s">
        <v>785</v>
      </c>
      <c r="M306" s="45"/>
      <c r="N306" s="45"/>
      <c r="O30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P1.02</v>
      </c>
      <c r="P306" s="59"/>
      <c r="Q306" s="59"/>
      <c r="R306" s="59"/>
      <c r="S306" s="59"/>
      <c r="T306" s="55" t="str">
        <f>IF(Table681620[[#This Row],[LEVEL]]="5",Table681620[[#This Row],[L5]],
IF(Table681620[[#This Row],[LEVEL]]="4",Table681620[[#This Row],[L4]],
IF(Table681620[[#This Row],[LEVEL]]="3",Table681620[[#This Row],[L3]],
IF(Table681620[[#This Row],[LEVEL]]="2",Table681620[[#This Row],[L2]],
IF(Table681620[[#This Row],[LEVEL]]="1",Table681620[[#This Row],[L1]],"")))))</f>
        <v>HAZMAT</v>
      </c>
      <c r="U306" s="47"/>
      <c r="V306" s="72"/>
      <c r="W306" s="59"/>
      <c r="X306" s="48"/>
      <c r="Y306" s="50">
        <f>SUBTOTAL(9,Y307:Y309)</f>
        <v>0</v>
      </c>
      <c r="Z306" s="51"/>
      <c r="AA306" s="48"/>
      <c r="AB306" s="48"/>
      <c r="AC306" s="7"/>
    </row>
    <row r="307" spans="1:29" x14ac:dyDescent="0.3">
      <c r="A307" s="43" t="str">
        <f>INDEX(Table_Numbering[L1],MATCH(Table681620[[#This Row],[L1]],Table_Numbering[L1 Description (Cost Area)],0))</f>
        <v>P</v>
      </c>
      <c r="B307" s="43" t="str">
        <f>IFERROR(INDEX(Table_Numbering[L2],MATCH(Table681620[[#This Row],[L2]],Table_Numbering[L2 Description (Area)],0)),"0")</f>
        <v>1</v>
      </c>
      <c r="C307" s="43" t="str">
        <f>IFERROR(INDEX(Table_Numbering[L3],MATCH(Table681620[[#This Row],[L3]],Table_Numbering[L3 Description (Sub Area)],0)),"0")</f>
        <v>02</v>
      </c>
      <c r="D307" s="43" t="str">
        <f>Table681620[[#This Row],[N1]]&amp;Table681620[[#This Row],[N2]]&amp;Table681620[[#This Row],[N3]]</f>
        <v>P102</v>
      </c>
      <c r="E307" s="43" t="str">
        <f>TEXT(COUNTIF(C$7:C305,Table681620[[#This Row],[N3]]),"00")</f>
        <v>31</v>
      </c>
      <c r="F307" s="43">
        <f>COUNTIFS(J$7:J307,J307,K$7:K307,K307,L$7:L307,L307,M$7:M307,M307)</f>
        <v>1</v>
      </c>
      <c r="G307" s="43" t="str">
        <f>TEXT(COUNTIFS(A$7:A307,A307,B$7:B307,B307,E$7:E307,E307,F$7:F307,1),"00")</f>
        <v>01</v>
      </c>
      <c r="H307" s="43" t="str">
        <f t="shared" si="10"/>
        <v>00</v>
      </c>
      <c r="I307" s="44" t="str">
        <f t="shared" si="11"/>
        <v>4</v>
      </c>
      <c r="J307" s="75" t="s">
        <v>772</v>
      </c>
      <c r="K307" s="45" t="s">
        <v>773</v>
      </c>
      <c r="L307" s="45" t="s">
        <v>785</v>
      </c>
      <c r="M307" s="45" t="s">
        <v>787</v>
      </c>
      <c r="N307" s="45"/>
      <c r="O30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P1.02.31</v>
      </c>
      <c r="P307" s="59" t="s">
        <v>346</v>
      </c>
      <c r="Q307" s="59" t="s">
        <v>786</v>
      </c>
      <c r="R307" s="59"/>
      <c r="S307" s="59" t="s">
        <v>1566</v>
      </c>
      <c r="T307" s="58" t="str">
        <f>IF(Table681620[[#This Row],[LEVEL]]="5",Table681620[[#This Row],[L5]],
IF(Table681620[[#This Row],[LEVEL]]="4",Table681620[[#This Row],[L4]],
IF(Table681620[[#This Row],[LEVEL]]="3",Table681620[[#This Row],[L3]],
IF(Table681620[[#This Row],[LEVEL]]="2",Table681620[[#This Row],[L2]],
IF(Table681620[[#This Row],[LEVEL]]="1",Table681620[[#This Row],[L1]],"")))))</f>
        <v>Additional Asbestos Removal</v>
      </c>
      <c r="U307" s="47" t="s">
        <v>246</v>
      </c>
      <c r="V307" s="72" t="s">
        <v>137</v>
      </c>
      <c r="W307" s="59"/>
      <c r="X307" s="48"/>
      <c r="Y307" s="62">
        <f>Table681620[[#This Row],[Qty]]*Table681620[[#This Row],[Rate]]</f>
        <v>0</v>
      </c>
      <c r="Z307" s="51"/>
      <c r="AA307" s="48" t="s">
        <v>563</v>
      </c>
      <c r="AB307" s="48" t="s">
        <v>2359</v>
      </c>
      <c r="AC307" s="7"/>
    </row>
    <row r="308" spans="1:29" x14ac:dyDescent="0.3">
      <c r="A308" s="43" t="str">
        <f>INDEX(Table_Numbering[L1],MATCH(Table681620[[#This Row],[L1]],Table_Numbering[L1 Description (Cost Area)],0))</f>
        <v>P</v>
      </c>
      <c r="B308" s="43" t="str">
        <f>IFERROR(INDEX(Table_Numbering[L2],MATCH(Table681620[[#This Row],[L2]],Table_Numbering[L2 Description (Area)],0)),"0")</f>
        <v>1</v>
      </c>
      <c r="C308" s="43" t="str">
        <f>IFERROR(INDEX(Table_Numbering[L3],MATCH(Table681620[[#This Row],[L3]],Table_Numbering[L3 Description (Sub Area)],0)),"0")</f>
        <v>02</v>
      </c>
      <c r="D308" s="43" t="str">
        <f>Table681620[[#This Row],[N1]]&amp;Table681620[[#This Row],[N2]]&amp;Table681620[[#This Row],[N3]]</f>
        <v>P102</v>
      </c>
      <c r="E308" s="43" t="str">
        <f>TEXT(COUNTIF(C$7:C306,Table681620[[#This Row],[N3]]),"00")</f>
        <v>32</v>
      </c>
      <c r="F308" s="43">
        <f>COUNTIFS(J$7:J308,J308,K$7:K308,K308,L$7:L308,L308,M$7:M308,M308)</f>
        <v>1</v>
      </c>
      <c r="G308" s="43" t="str">
        <f>TEXT(COUNTIFS(A$7:A308,A308,B$7:B308,B308,E$7:E308,E308,F$7:F308,1),"00")</f>
        <v>01</v>
      </c>
      <c r="H308" s="43" t="str">
        <f t="shared" si="10"/>
        <v>00</v>
      </c>
      <c r="I308" s="44" t="str">
        <f t="shared" si="11"/>
        <v>4</v>
      </c>
      <c r="J308" s="75" t="s">
        <v>772</v>
      </c>
      <c r="K308" s="45" t="s">
        <v>773</v>
      </c>
      <c r="L308" s="45" t="s">
        <v>785</v>
      </c>
      <c r="M308" s="45" t="s">
        <v>788</v>
      </c>
      <c r="N308" s="45"/>
      <c r="O30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P1.02.32</v>
      </c>
      <c r="P308" s="59" t="s">
        <v>346</v>
      </c>
      <c r="Q308" s="59" t="s">
        <v>786</v>
      </c>
      <c r="R308" s="59"/>
      <c r="S308" s="59" t="s">
        <v>1567</v>
      </c>
      <c r="T308" s="58" t="str">
        <f>IF(Table681620[[#This Row],[LEVEL]]="5",Table681620[[#This Row],[L5]],
IF(Table681620[[#This Row],[LEVEL]]="4",Table681620[[#This Row],[L4]],
IF(Table681620[[#This Row],[LEVEL]]="3",Table681620[[#This Row],[L3]],
IF(Table681620[[#This Row],[LEVEL]]="2",Table681620[[#This Row],[L2]],
IF(Table681620[[#This Row],[LEVEL]]="1",Table681620[[#This Row],[L1]],"")))))</f>
        <v>Lead Paint Removal</v>
      </c>
      <c r="U308" s="47" t="s">
        <v>246</v>
      </c>
      <c r="V308" s="72" t="s">
        <v>137</v>
      </c>
      <c r="W308" s="59"/>
      <c r="X308" s="48"/>
      <c r="Y308" s="62">
        <f>Table681620[[#This Row],[Qty]]*Table681620[[#This Row],[Rate]]</f>
        <v>0</v>
      </c>
      <c r="Z308" s="51"/>
      <c r="AA308" s="48" t="s">
        <v>563</v>
      </c>
      <c r="AB308" s="48" t="s">
        <v>2359</v>
      </c>
      <c r="AC308" s="7"/>
    </row>
    <row r="309" spans="1:29" x14ac:dyDescent="0.3">
      <c r="A309" s="43" t="str">
        <f>INDEX(Table_Numbering[L1],MATCH(Table681620[[#This Row],[L1]],Table_Numbering[L1 Description (Cost Area)],0))</f>
        <v>P</v>
      </c>
      <c r="B309" s="43" t="str">
        <f>IFERROR(INDEX(Table_Numbering[L2],MATCH(Table681620[[#This Row],[L2]],Table_Numbering[L2 Description (Area)],0)),"0")</f>
        <v>1</v>
      </c>
      <c r="C309" s="43" t="str">
        <f>IFERROR(INDEX(Table_Numbering[L3],MATCH(Table681620[[#This Row],[L3]],Table_Numbering[L3 Description (Sub Area)],0)),"0")</f>
        <v>02</v>
      </c>
      <c r="D309" s="43" t="str">
        <f>Table681620[[#This Row],[N1]]&amp;Table681620[[#This Row],[N2]]&amp;Table681620[[#This Row],[N3]]</f>
        <v>P102</v>
      </c>
      <c r="E309" s="43" t="str">
        <f>TEXT(COUNTIF(C$7:C307,Table681620[[#This Row],[N3]]),"00")</f>
        <v>33</v>
      </c>
      <c r="F309" s="43">
        <f>COUNTIFS(J$7:J309,J309,K$7:K309,K309,L$7:L309,L309,M$7:M309,M309)</f>
        <v>1</v>
      </c>
      <c r="G309" s="43" t="str">
        <f>TEXT(COUNTIFS(A$7:A309,A309,B$7:B309,B309,E$7:E309,E309,F$7:F309,1),"00")</f>
        <v>01</v>
      </c>
      <c r="H309" s="43" t="str">
        <f t="shared" si="10"/>
        <v>00</v>
      </c>
      <c r="I309" s="44" t="str">
        <f t="shared" si="11"/>
        <v>4</v>
      </c>
      <c r="J309" s="75" t="s">
        <v>772</v>
      </c>
      <c r="K309" s="45" t="s">
        <v>773</v>
      </c>
      <c r="L309" s="45" t="s">
        <v>785</v>
      </c>
      <c r="M309" s="45" t="s">
        <v>789</v>
      </c>
      <c r="N309" s="45"/>
      <c r="O30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P1.02.33</v>
      </c>
      <c r="P309" s="59" t="s">
        <v>346</v>
      </c>
      <c r="Q309" s="59" t="s">
        <v>786</v>
      </c>
      <c r="R309" s="59"/>
      <c r="S309" s="59" t="s">
        <v>1568</v>
      </c>
      <c r="T309" s="58" t="str">
        <f>IF(Table681620[[#This Row],[LEVEL]]="5",Table681620[[#This Row],[L5]],
IF(Table681620[[#This Row],[LEVEL]]="4",Table681620[[#This Row],[L4]],
IF(Table681620[[#This Row],[LEVEL]]="3",Table681620[[#This Row],[L3]],
IF(Table681620[[#This Row],[LEVEL]]="2",Table681620[[#This Row],[L2]],
IF(Table681620[[#This Row],[LEVEL]]="1",Table681620[[#This Row],[L1]],"")))))</f>
        <v>Synthetic Mineral Fibre Removal</v>
      </c>
      <c r="U309" s="47" t="s">
        <v>246</v>
      </c>
      <c r="V309" s="72" t="s">
        <v>137</v>
      </c>
      <c r="W309" s="59"/>
      <c r="X309" s="48"/>
      <c r="Y309" s="62">
        <f>Table681620[[#This Row],[Qty]]*Table681620[[#This Row],[Rate]]</f>
        <v>0</v>
      </c>
      <c r="Z309" s="51"/>
      <c r="AA309" s="48" t="s">
        <v>563</v>
      </c>
      <c r="AB309" s="48" t="s">
        <v>2359</v>
      </c>
      <c r="AC309" s="7"/>
    </row>
    <row r="310" spans="1:29" x14ac:dyDescent="0.3">
      <c r="A310" s="43" t="str">
        <f>INDEX(Table_Numbering[L1],MATCH(Table681620[[#This Row],[L1]],Table_Numbering[L1 Description (Cost Area)],0))</f>
        <v>P</v>
      </c>
      <c r="B310" s="43" t="str">
        <f>IFERROR(INDEX(Table_Numbering[L2],MATCH(Table681620[[#This Row],[L2]],Table_Numbering[L2 Description (Area)],0)),"0")</f>
        <v>1</v>
      </c>
      <c r="C310" s="43" t="str">
        <f>IFERROR(INDEX(Table_Numbering[L3],MATCH(Table681620[[#This Row],[L3]],Table_Numbering[L3 Description (Sub Area)],0)),"0")</f>
        <v>04</v>
      </c>
      <c r="D310" s="43" t="str">
        <f>Table681620[[#This Row],[N1]]&amp;Table681620[[#This Row],[N2]]&amp;Table681620[[#This Row],[N3]]</f>
        <v>P104</v>
      </c>
      <c r="E310" s="43" t="str">
        <f>TEXT(COUNTIF(C$7:C308,Table681620[[#This Row],[N3]]),"00")</f>
        <v>29</v>
      </c>
      <c r="F310" s="43">
        <f>COUNTIFS(J$7:J310,J310,K$7:K310,K310,L$7:L310,L310,M$7:M310,M310)</f>
        <v>0</v>
      </c>
      <c r="G310" s="43" t="str">
        <f>TEXT(COUNTIFS(A$7:A310,A310,B$7:B310,B310,E$7:E310,E310,F$7:F310,1),"00")</f>
        <v>00</v>
      </c>
      <c r="H310" s="43" t="str">
        <f t="shared" si="10"/>
        <v>00</v>
      </c>
      <c r="I310" s="44" t="str">
        <f t="shared" si="11"/>
        <v>3</v>
      </c>
      <c r="J310" s="75" t="s">
        <v>772</v>
      </c>
      <c r="K310" s="45" t="s">
        <v>773</v>
      </c>
      <c r="L310" s="45" t="s">
        <v>728</v>
      </c>
      <c r="M310" s="45"/>
      <c r="N310" s="45"/>
      <c r="O31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P1.04</v>
      </c>
      <c r="P310" s="59"/>
      <c r="Q310" s="59"/>
      <c r="R310" s="59"/>
      <c r="S310" s="59"/>
      <c r="T310" s="55" t="str">
        <f>IF(Table681620[[#This Row],[LEVEL]]="5",Table681620[[#This Row],[L5]],
IF(Table681620[[#This Row],[LEVEL]]="4",Table681620[[#This Row],[L4]],
IF(Table681620[[#This Row],[LEVEL]]="3",Table681620[[#This Row],[L3]],
IF(Table681620[[#This Row],[LEVEL]]="2",Table681620[[#This Row],[L2]],
IF(Table681620[[#This Row],[LEVEL]]="1",Table681620[[#This Row],[L1]],"")))))</f>
        <v>SERVICES</v>
      </c>
      <c r="U310" s="47"/>
      <c r="V310" s="72"/>
      <c r="W310" s="59"/>
      <c r="X310" s="48"/>
      <c r="Y310" s="50">
        <f>SUBTOTAL(9,Y311:Y313)</f>
        <v>0</v>
      </c>
      <c r="Z310" s="51"/>
      <c r="AA310" s="48"/>
      <c r="AB310" s="48"/>
      <c r="AC310" s="7"/>
    </row>
    <row r="311" spans="1:29" x14ac:dyDescent="0.3">
      <c r="A311" s="43" t="str">
        <f>INDEX(Table_Numbering[L1],MATCH(Table681620[[#This Row],[L1]],Table_Numbering[L1 Description (Cost Area)],0))</f>
        <v>P</v>
      </c>
      <c r="B311" s="43" t="str">
        <f>IFERROR(INDEX(Table_Numbering[L2],MATCH(Table681620[[#This Row],[L2]],Table_Numbering[L2 Description (Area)],0)),"0")</f>
        <v>1</v>
      </c>
      <c r="C311" s="43" t="str">
        <f>IFERROR(INDEX(Table_Numbering[L3],MATCH(Table681620[[#This Row],[L3]],Table_Numbering[L3 Description (Sub Area)],0)),"0")</f>
        <v>04</v>
      </c>
      <c r="D311" s="43" t="str">
        <f>Table681620[[#This Row],[N1]]&amp;Table681620[[#This Row],[N2]]&amp;Table681620[[#This Row],[N3]]</f>
        <v>P104</v>
      </c>
      <c r="E311" s="43" t="str">
        <f>TEXT(COUNTIF(C$7:C309,Table681620[[#This Row],[N3]]),"00")</f>
        <v>29</v>
      </c>
      <c r="F311" s="43">
        <f>COUNTIFS(J$7:J311,J311,K$7:K311,K311,L$7:L311,L311,M$7:M311,M311)</f>
        <v>1</v>
      </c>
      <c r="G311" s="43" t="str">
        <f>TEXT(COUNTIFS(A$7:A311,A311,B$7:B311,B311,E$7:E311,E311,F$7:F311,1),"00")</f>
        <v>01</v>
      </c>
      <c r="H311" s="43" t="str">
        <f t="shared" si="10"/>
        <v>00</v>
      </c>
      <c r="I311" s="44" t="str">
        <f t="shared" si="11"/>
        <v>4</v>
      </c>
      <c r="J311" s="75" t="s">
        <v>772</v>
      </c>
      <c r="K311" s="45" t="s">
        <v>773</v>
      </c>
      <c r="L311" s="45" t="s">
        <v>728</v>
      </c>
      <c r="M311" s="45" t="s">
        <v>791</v>
      </c>
      <c r="N311" s="45"/>
      <c r="O31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P1.04.29</v>
      </c>
      <c r="P311" s="59" t="s">
        <v>790</v>
      </c>
      <c r="Q311" s="59" t="s">
        <v>776</v>
      </c>
      <c r="R311" s="59"/>
      <c r="S311" s="59" t="s">
        <v>1578</v>
      </c>
      <c r="T311" s="58" t="str">
        <f>IF(Table681620[[#This Row],[LEVEL]]="5",Table681620[[#This Row],[L5]],
IF(Table681620[[#This Row],[LEVEL]]="4",Table681620[[#This Row],[L4]],
IF(Table681620[[#This Row],[LEVEL]]="3",Table681620[[#This Row],[L3]],
IF(Table681620[[#This Row],[LEVEL]]="2",Table681620[[#This Row],[L2]],
IF(Table681620[[#This Row],[LEVEL]]="1",Table681620[[#This Row],[L1]],"")))))</f>
        <v>Electrical Services Diversion</v>
      </c>
      <c r="U311" s="47" t="s">
        <v>62</v>
      </c>
      <c r="V311" s="72" t="s">
        <v>137</v>
      </c>
      <c r="W311" s="59">
        <v>1</v>
      </c>
      <c r="X311" s="48"/>
      <c r="Y311" s="62">
        <f>Table681620[[#This Row],[Qty]]*Table681620[[#This Row],[Rate]]</f>
        <v>0</v>
      </c>
      <c r="Z311" s="51"/>
      <c r="AA311" s="48" t="s">
        <v>778</v>
      </c>
      <c r="AB311" s="48" t="s">
        <v>2359</v>
      </c>
      <c r="AC311" s="7"/>
    </row>
    <row r="312" spans="1:29" x14ac:dyDescent="0.3">
      <c r="A312" s="43" t="str">
        <f>INDEX(Table_Numbering[L1],MATCH(Table681620[[#This Row],[L1]],Table_Numbering[L1 Description (Cost Area)],0))</f>
        <v>P</v>
      </c>
      <c r="B312" s="43" t="str">
        <f>IFERROR(INDEX(Table_Numbering[L2],MATCH(Table681620[[#This Row],[L2]],Table_Numbering[L2 Description (Area)],0)),"0")</f>
        <v>1</v>
      </c>
      <c r="C312" s="43" t="str">
        <f>IFERROR(INDEX(Table_Numbering[L3],MATCH(Table681620[[#This Row],[L3]],Table_Numbering[L3 Description (Sub Area)],0)),"0")</f>
        <v>04</v>
      </c>
      <c r="D312" s="43" t="str">
        <f>Table681620[[#This Row],[N1]]&amp;Table681620[[#This Row],[N2]]&amp;Table681620[[#This Row],[N3]]</f>
        <v>P104</v>
      </c>
      <c r="E312" s="43" t="str">
        <f>TEXT(COUNTIF(C$7:C310,Table681620[[#This Row],[N3]]),"00")</f>
        <v>30</v>
      </c>
      <c r="F312" s="43">
        <f>COUNTIFS(J$7:J312,J312,K$7:K312,K312,L$7:L312,L312,M$7:M312,M312)</f>
        <v>1</v>
      </c>
      <c r="G312" s="43" t="str">
        <f>TEXT(COUNTIFS(A$7:A312,A312,B$7:B312,B312,E$7:E312,E312,F$7:F312,1),"00")</f>
        <v>01</v>
      </c>
      <c r="H312" s="43" t="str">
        <f t="shared" si="10"/>
        <v>00</v>
      </c>
      <c r="I312" s="44" t="str">
        <f t="shared" si="11"/>
        <v>4</v>
      </c>
      <c r="J312" s="75" t="s">
        <v>772</v>
      </c>
      <c r="K312" s="45" t="s">
        <v>773</v>
      </c>
      <c r="L312" s="45" t="s">
        <v>728</v>
      </c>
      <c r="M312" s="45" t="s">
        <v>793</v>
      </c>
      <c r="N312" s="45"/>
      <c r="O31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P1.04.30</v>
      </c>
      <c r="P312" s="59" t="s">
        <v>790</v>
      </c>
      <c r="Q312" s="59" t="s">
        <v>776</v>
      </c>
      <c r="R312" s="59"/>
      <c r="S312" s="59" t="s">
        <v>1579</v>
      </c>
      <c r="T312" s="58" t="str">
        <f>IF(Table681620[[#This Row],[LEVEL]]="5",Table681620[[#This Row],[L5]],
IF(Table681620[[#This Row],[LEVEL]]="4",Table681620[[#This Row],[L4]],
IF(Table681620[[#This Row],[LEVEL]]="3",Table681620[[#This Row],[L3]],
IF(Table681620[[#This Row],[LEVEL]]="2",Table681620[[#This Row],[L2]],
IF(Table681620[[#This Row],[LEVEL]]="1",Table681620[[#This Row],[L1]],"")))))</f>
        <v>Hydraulic Services Diversion</v>
      </c>
      <c r="U312" s="47" t="s">
        <v>62</v>
      </c>
      <c r="V312" s="72" t="s">
        <v>137</v>
      </c>
      <c r="W312" s="59">
        <v>1</v>
      </c>
      <c r="X312" s="48"/>
      <c r="Y312" s="62">
        <f>Table681620[[#This Row],[Qty]]*Table681620[[#This Row],[Rate]]</f>
        <v>0</v>
      </c>
      <c r="Z312" s="51"/>
      <c r="AA312" s="48" t="s">
        <v>778</v>
      </c>
      <c r="AB312" s="48" t="s">
        <v>2359</v>
      </c>
      <c r="AC312" s="7"/>
    </row>
    <row r="313" spans="1:29" x14ac:dyDescent="0.3">
      <c r="A313" s="43" t="str">
        <f>INDEX(Table_Numbering[L1],MATCH(Table681620[[#This Row],[L1]],Table_Numbering[L1 Description (Cost Area)],0))</f>
        <v>P</v>
      </c>
      <c r="B313" s="43" t="str">
        <f>IFERROR(INDEX(Table_Numbering[L2],MATCH(Table681620[[#This Row],[L2]],Table_Numbering[L2 Description (Area)],0)),"0")</f>
        <v>1</v>
      </c>
      <c r="C313" s="43" t="str">
        <f>IFERROR(INDEX(Table_Numbering[L3],MATCH(Table681620[[#This Row],[L3]],Table_Numbering[L3 Description (Sub Area)],0)),"0")</f>
        <v>04</v>
      </c>
      <c r="D313" s="43" t="str">
        <f>Table681620[[#This Row],[N1]]&amp;Table681620[[#This Row],[N2]]&amp;Table681620[[#This Row],[N3]]</f>
        <v>P104</v>
      </c>
      <c r="E313" s="43" t="str">
        <f>TEXT(COUNTIF(C$7:C311,Table681620[[#This Row],[N3]]),"00")</f>
        <v>31</v>
      </c>
      <c r="F313" s="43">
        <f>COUNTIFS(J$7:J313,J313,K$7:K313,K313,L$7:L313,L313,M$7:M313,M313)</f>
        <v>1</v>
      </c>
      <c r="G313" s="43" t="str">
        <f>TEXT(COUNTIFS(A$7:A313,A313,B$7:B313,B313,E$7:E313,E313,F$7:F313,1),"00")</f>
        <v>02</v>
      </c>
      <c r="H313" s="43" t="str">
        <f t="shared" si="10"/>
        <v>00</v>
      </c>
      <c r="I313" s="44" t="str">
        <f t="shared" si="11"/>
        <v>4</v>
      </c>
      <c r="J313" s="75" t="s">
        <v>772</v>
      </c>
      <c r="K313" s="45" t="s">
        <v>773</v>
      </c>
      <c r="L313" s="45" t="s">
        <v>728</v>
      </c>
      <c r="M313" s="45" t="s">
        <v>794</v>
      </c>
      <c r="N313" s="45"/>
      <c r="O31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P1.04.31</v>
      </c>
      <c r="P313" s="59" t="s">
        <v>790</v>
      </c>
      <c r="Q313" s="59" t="s">
        <v>776</v>
      </c>
      <c r="R313" s="59"/>
      <c r="S313" s="59" t="s">
        <v>1580</v>
      </c>
      <c r="T313" s="58" t="str">
        <f>IF(Table681620[[#This Row],[LEVEL]]="5",Table681620[[#This Row],[L5]],
IF(Table681620[[#This Row],[LEVEL]]="4",Table681620[[#This Row],[L4]],
IF(Table681620[[#This Row],[LEVEL]]="3",Table681620[[#This Row],[L3]],
IF(Table681620[[#This Row],[LEVEL]]="2",Table681620[[#This Row],[L2]],
IF(Table681620[[#This Row],[LEVEL]]="1",Table681620[[#This Row],[L1]],"")))))</f>
        <v>Communications/Data Diversion</v>
      </c>
      <c r="U313" s="47" t="s">
        <v>62</v>
      </c>
      <c r="V313" s="72" t="s">
        <v>137</v>
      </c>
      <c r="W313" s="59">
        <v>1</v>
      </c>
      <c r="X313" s="48"/>
      <c r="Y313" s="62">
        <f>Table681620[[#This Row],[Qty]]*Table681620[[#This Row],[Rate]]</f>
        <v>0</v>
      </c>
      <c r="Z313" s="51"/>
      <c r="AA313" s="48" t="s">
        <v>778</v>
      </c>
      <c r="AB313" s="48" t="s">
        <v>2359</v>
      </c>
      <c r="AC313" s="7"/>
    </row>
    <row r="314" spans="1:29" x14ac:dyDescent="0.3">
      <c r="A314" s="43" t="str">
        <f>INDEX(Table_Numbering[L1],MATCH(Table681620[[#This Row],[L1]],Table_Numbering[L1 Description (Cost Area)],0))</f>
        <v>P</v>
      </c>
      <c r="B314" s="43" t="str">
        <f>IFERROR(INDEX(Table_Numbering[L2],MATCH(Table681620[[#This Row],[L2]],Table_Numbering[L2 Description (Area)],0)),"0")</f>
        <v>1</v>
      </c>
      <c r="C314" s="43" t="str">
        <f>IFERROR(INDEX(Table_Numbering[L3],MATCH(Table681620[[#This Row],[L3]],Table_Numbering[L3 Description (Sub Area)],0)),"0")</f>
        <v>04</v>
      </c>
      <c r="D314" s="43" t="str">
        <f>Table681620[[#This Row],[N1]]&amp;Table681620[[#This Row],[N2]]&amp;Table681620[[#This Row],[N3]]</f>
        <v>P104</v>
      </c>
      <c r="E314" s="43" t="str">
        <f>TEXT(COUNTIF(C$7:C312,Table681620[[#This Row],[N3]]),"00")</f>
        <v>32</v>
      </c>
      <c r="F314" s="43">
        <f>COUNTIFS(J$7:J314,J314,K$7:K314,K314,L$7:L314,L314,M$7:M314,M314)</f>
        <v>0</v>
      </c>
      <c r="G314" s="43" t="str">
        <f>TEXT(COUNTIFS(A$7:A314,A314,B$7:B314,B314,E$7:E314,E314,F$7:F314,1),"00")</f>
        <v>01</v>
      </c>
      <c r="H314" s="43" t="str">
        <f t="shared" si="10"/>
        <v>00</v>
      </c>
      <c r="I314" s="44" t="str">
        <f t="shared" si="11"/>
        <v>3</v>
      </c>
      <c r="J314" s="75" t="s">
        <v>772</v>
      </c>
      <c r="K314" s="45" t="s">
        <v>773</v>
      </c>
      <c r="L314" s="45" t="s">
        <v>494</v>
      </c>
      <c r="M314" s="45"/>
      <c r="N314" s="45"/>
      <c r="O31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P1.04</v>
      </c>
      <c r="P314" s="59"/>
      <c r="Q314" s="59"/>
      <c r="R314" s="59"/>
      <c r="S314" s="59"/>
      <c r="T314" s="55" t="str">
        <f>IF(Table681620[[#This Row],[LEVEL]]="5",Table681620[[#This Row],[L5]],
IF(Table681620[[#This Row],[LEVEL]]="4",Table681620[[#This Row],[L4]],
IF(Table681620[[#This Row],[LEVEL]]="3",Table681620[[#This Row],[L3]],
IF(Table681620[[#This Row],[LEVEL]]="2",Table681620[[#This Row],[L2]],
IF(Table681620[[#This Row],[LEVEL]]="1",Table681620[[#This Row],[L1]],"")))))</f>
        <v>DESIGN</v>
      </c>
      <c r="U314" s="47"/>
      <c r="V314" s="72"/>
      <c r="W314" s="59"/>
      <c r="X314" s="48"/>
      <c r="Y314" s="50">
        <f>SUBTOTAL(9,Y315:Y317)</f>
        <v>0</v>
      </c>
      <c r="Z314" s="51"/>
      <c r="AA314" s="48"/>
      <c r="AB314" s="48"/>
      <c r="AC314" s="7"/>
    </row>
    <row r="315" spans="1:29" x14ac:dyDescent="0.3">
      <c r="A315" s="43" t="str">
        <f>INDEX(Table_Numbering[L1],MATCH(Table681620[[#This Row],[L1]],Table_Numbering[L1 Description (Cost Area)],0))</f>
        <v>P</v>
      </c>
      <c r="B315" s="43" t="str">
        <f>IFERROR(INDEX(Table_Numbering[L2],MATCH(Table681620[[#This Row],[L2]],Table_Numbering[L2 Description (Area)],0)),"0")</f>
        <v>1</v>
      </c>
      <c r="C315" s="43" t="str">
        <f>IFERROR(INDEX(Table_Numbering[L3],MATCH(Table681620[[#This Row],[L3]],Table_Numbering[L3 Description (Sub Area)],0)),"0")</f>
        <v>04</v>
      </c>
      <c r="D315" s="43" t="str">
        <f>Table681620[[#This Row],[N1]]&amp;Table681620[[#This Row],[N2]]&amp;Table681620[[#This Row],[N3]]</f>
        <v>P104</v>
      </c>
      <c r="E315" s="43" t="str">
        <f>TEXT(COUNTIF(C$7:C313,Table681620[[#This Row],[N3]]),"00")</f>
        <v>33</v>
      </c>
      <c r="F315" s="43">
        <f>COUNTIFS(J$7:J315,J315,K$7:K315,K315,L$7:L315,L315,M$7:M315,M315)</f>
        <v>1</v>
      </c>
      <c r="G315" s="43" t="str">
        <f>TEXT(COUNTIFS(A$7:A315,A315,B$7:B315,B315,E$7:E315,E315,F$7:F315,1),"00")</f>
        <v>02</v>
      </c>
      <c r="H315" s="43" t="str">
        <f t="shared" si="10"/>
        <v>00</v>
      </c>
      <c r="I315" s="44" t="str">
        <f t="shared" si="11"/>
        <v>4</v>
      </c>
      <c r="J315" s="75" t="s">
        <v>772</v>
      </c>
      <c r="K315" s="45" t="s">
        <v>773</v>
      </c>
      <c r="L315" s="45" t="s">
        <v>494</v>
      </c>
      <c r="M315" s="45" t="s">
        <v>796</v>
      </c>
      <c r="N315" s="45"/>
      <c r="O315"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P1.04.33</v>
      </c>
      <c r="P315" s="59" t="s">
        <v>140</v>
      </c>
      <c r="Q315" s="59" t="s">
        <v>795</v>
      </c>
      <c r="R315" s="59"/>
      <c r="S315" s="59" t="s">
        <v>1957</v>
      </c>
      <c r="T315" s="58" t="str">
        <f>IF(Table681620[[#This Row],[LEVEL]]="5",Table681620[[#This Row],[L5]],
IF(Table681620[[#This Row],[LEVEL]]="4",Table681620[[#This Row],[L4]],
IF(Table681620[[#This Row],[LEVEL]]="3",Table681620[[#This Row],[L3]],
IF(Table681620[[#This Row],[LEVEL]]="2",Table681620[[#This Row],[L2]],
IF(Table681620[[#This Row],[LEVEL]]="1",Table681620[[#This Row],[L1]],"")))))</f>
        <v>Architectural Design Development</v>
      </c>
      <c r="U315" s="47" t="s">
        <v>62</v>
      </c>
      <c r="V315" s="72" t="s">
        <v>137</v>
      </c>
      <c r="W315" s="59">
        <v>1</v>
      </c>
      <c r="X315" s="48"/>
      <c r="Y315" s="62">
        <f>Table681620[[#This Row],[Qty]]*Table681620[[#This Row],[Rate]]</f>
        <v>0</v>
      </c>
      <c r="Z315" s="51"/>
      <c r="AA315" s="48" t="s">
        <v>778</v>
      </c>
      <c r="AB315" s="48" t="s">
        <v>2359</v>
      </c>
      <c r="AC315" s="7"/>
    </row>
    <row r="316" spans="1:29" x14ac:dyDescent="0.3">
      <c r="A316" s="43" t="str">
        <f>INDEX(Table_Numbering[L1],MATCH(Table681620[[#This Row],[L1]],Table_Numbering[L1 Description (Cost Area)],0))</f>
        <v>P</v>
      </c>
      <c r="B316" s="43" t="str">
        <f>IFERROR(INDEX(Table_Numbering[L2],MATCH(Table681620[[#This Row],[L2]],Table_Numbering[L2 Description (Area)],0)),"0")</f>
        <v>1</v>
      </c>
      <c r="C316" s="43" t="str">
        <f>IFERROR(INDEX(Table_Numbering[L3],MATCH(Table681620[[#This Row],[L3]],Table_Numbering[L3 Description (Sub Area)],0)),"0")</f>
        <v>04</v>
      </c>
      <c r="D316" s="43" t="str">
        <f>Table681620[[#This Row],[N1]]&amp;Table681620[[#This Row],[N2]]&amp;Table681620[[#This Row],[N3]]</f>
        <v>P104</v>
      </c>
      <c r="E316" s="43" t="str">
        <f>TEXT(COUNTIF(C$7:C314,Table681620[[#This Row],[N3]]),"00")</f>
        <v>34</v>
      </c>
      <c r="F316" s="43">
        <f>COUNTIFS(J$7:J316,J316,K$7:K316,K316,L$7:L316,L316,M$7:M316,M316)</f>
        <v>1</v>
      </c>
      <c r="G316" s="43" t="str">
        <f>TEXT(COUNTIFS(A$7:A316,A316,B$7:B316,B316,E$7:E316,E316,F$7:F316,1),"00")</f>
        <v>01</v>
      </c>
      <c r="H316" s="43" t="str">
        <f t="shared" si="10"/>
        <v>00</v>
      </c>
      <c r="I316" s="44" t="str">
        <f t="shared" si="11"/>
        <v>4</v>
      </c>
      <c r="J316" s="75" t="s">
        <v>772</v>
      </c>
      <c r="K316" s="45" t="s">
        <v>773</v>
      </c>
      <c r="L316" s="45" t="s">
        <v>494</v>
      </c>
      <c r="M316" s="45" t="s">
        <v>798</v>
      </c>
      <c r="N316" s="45"/>
      <c r="O316"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P1.04.34</v>
      </c>
      <c r="P316" s="59" t="s">
        <v>140</v>
      </c>
      <c r="Q316" s="59" t="s">
        <v>795</v>
      </c>
      <c r="R316" s="59"/>
      <c r="S316" s="59" t="s">
        <v>1958</v>
      </c>
      <c r="T316" s="58" t="str">
        <f>IF(Table681620[[#This Row],[LEVEL]]="5",Table681620[[#This Row],[L5]],
IF(Table681620[[#This Row],[LEVEL]]="4",Table681620[[#This Row],[L4]],
IF(Table681620[[#This Row],[LEVEL]]="3",Table681620[[#This Row],[L3]],
IF(Table681620[[#This Row],[LEVEL]]="2",Table681620[[#This Row],[L2]],
IF(Table681620[[#This Row],[LEVEL]]="1",Table681620[[#This Row],[L1]],"")))))</f>
        <v>Structural Design Development</v>
      </c>
      <c r="U316" s="47" t="s">
        <v>62</v>
      </c>
      <c r="V316" s="72" t="s">
        <v>137</v>
      </c>
      <c r="W316" s="59">
        <v>1</v>
      </c>
      <c r="X316" s="48"/>
      <c r="Y316" s="62">
        <f>Table681620[[#This Row],[Qty]]*Table681620[[#This Row],[Rate]]</f>
        <v>0</v>
      </c>
      <c r="Z316" s="51"/>
      <c r="AA316" s="48" t="s">
        <v>778</v>
      </c>
      <c r="AB316" s="48" t="s">
        <v>2359</v>
      </c>
      <c r="AC316" s="7"/>
    </row>
    <row r="317" spans="1:29" x14ac:dyDescent="0.3">
      <c r="A317" s="43" t="str">
        <f>INDEX(Table_Numbering[L1],MATCH(Table681620[[#This Row],[L1]],Table_Numbering[L1 Description (Cost Area)],0))</f>
        <v>P</v>
      </c>
      <c r="B317" s="43" t="str">
        <f>IFERROR(INDEX(Table_Numbering[L2],MATCH(Table681620[[#This Row],[L2]],Table_Numbering[L2 Description (Area)],0)),"0")</f>
        <v>1</v>
      </c>
      <c r="C317" s="43" t="str">
        <f>IFERROR(INDEX(Table_Numbering[L3],MATCH(Table681620[[#This Row],[L3]],Table_Numbering[L3 Description (Sub Area)],0)),"0")</f>
        <v>04</v>
      </c>
      <c r="D317" s="43" t="str">
        <f>Table681620[[#This Row],[N1]]&amp;Table681620[[#This Row],[N2]]&amp;Table681620[[#This Row],[N3]]</f>
        <v>P104</v>
      </c>
      <c r="E317" s="43" t="str">
        <f>TEXT(COUNTIF(C$7:C315,Table681620[[#This Row],[N3]]),"00")</f>
        <v>35</v>
      </c>
      <c r="F317" s="43">
        <f>COUNTIFS(J$7:J317,J317,K$7:K317,K317,L$7:L317,L317,M$7:M317,M317)</f>
        <v>1</v>
      </c>
      <c r="G317" s="43" t="str">
        <f>TEXT(COUNTIFS(A$7:A317,A317,B$7:B317,B317,E$7:E317,E317,F$7:F317,1),"00")</f>
        <v>01</v>
      </c>
      <c r="H317" s="43" t="str">
        <f t="shared" si="10"/>
        <v>00</v>
      </c>
      <c r="I317" s="44" t="str">
        <f t="shared" si="11"/>
        <v>4</v>
      </c>
      <c r="J317" s="75" t="s">
        <v>772</v>
      </c>
      <c r="K317" s="45" t="s">
        <v>773</v>
      </c>
      <c r="L317" s="45" t="s">
        <v>494</v>
      </c>
      <c r="M317" s="45" t="s">
        <v>799</v>
      </c>
      <c r="N317" s="45"/>
      <c r="O317"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P1.04.35</v>
      </c>
      <c r="P317" s="59" t="s">
        <v>140</v>
      </c>
      <c r="Q317" s="59" t="s">
        <v>795</v>
      </c>
      <c r="R317" s="59"/>
      <c r="S317" s="59" t="s">
        <v>1959</v>
      </c>
      <c r="T317" s="58" t="str">
        <f>IF(Table681620[[#This Row],[LEVEL]]="5",Table681620[[#This Row],[L5]],
IF(Table681620[[#This Row],[LEVEL]]="4",Table681620[[#This Row],[L4]],
IF(Table681620[[#This Row],[LEVEL]]="3",Table681620[[#This Row],[L3]],
IF(Table681620[[#This Row],[LEVEL]]="2",Table681620[[#This Row],[L2]],
IF(Table681620[[#This Row],[LEVEL]]="1",Table681620[[#This Row],[L1]],"")))))</f>
        <v>Services Design Development</v>
      </c>
      <c r="U317" s="47" t="s">
        <v>62</v>
      </c>
      <c r="V317" s="72" t="s">
        <v>137</v>
      </c>
      <c r="W317" s="59">
        <v>1</v>
      </c>
      <c r="X317" s="48"/>
      <c r="Y317" s="62">
        <f>Table681620[[#This Row],[Qty]]*Table681620[[#This Row],[Rate]]</f>
        <v>0</v>
      </c>
      <c r="Z317" s="51"/>
      <c r="AA317" s="48" t="s">
        <v>778</v>
      </c>
      <c r="AB317" s="48" t="s">
        <v>2359</v>
      </c>
      <c r="AC317" s="7"/>
    </row>
    <row r="318" spans="1:29" x14ac:dyDescent="0.3">
      <c r="A318" s="43" t="str">
        <f>INDEX(Table_Numbering[L1],MATCH(Table681620[[#This Row],[L1]],Table_Numbering[L1 Description (Cost Area)],0))</f>
        <v>P</v>
      </c>
      <c r="B318" s="43" t="str">
        <f>IFERROR(INDEX(Table_Numbering[L2],MATCH(Table681620[[#This Row],[L2]],Table_Numbering[L2 Description (Area)],0)),"0")</f>
        <v>1</v>
      </c>
      <c r="C318" s="43" t="str">
        <f>IFERROR(INDEX(Table_Numbering[L3],MATCH(Table681620[[#This Row],[L3]],Table_Numbering[L3 Description (Sub Area)],0)),"0")</f>
        <v>05</v>
      </c>
      <c r="D318" s="43" t="str">
        <f>Table681620[[#This Row],[N1]]&amp;Table681620[[#This Row],[N2]]&amp;Table681620[[#This Row],[N3]]</f>
        <v>P105</v>
      </c>
      <c r="E318" s="43" t="str">
        <f>TEXT(COUNTIF(C$7:C316,Table681620[[#This Row],[N3]]),"00")</f>
        <v>31</v>
      </c>
      <c r="F318" s="43">
        <f>COUNTIFS(J$7:J318,J318,K$7:K318,K318,L$7:L318,L318,M$7:M318,M318)</f>
        <v>0</v>
      </c>
      <c r="G318" s="43" t="str">
        <f>TEXT(COUNTIFS(A$7:A318,A318,B$7:B318,B318,E$7:E318,E318,F$7:F318,1),"00")</f>
        <v>02</v>
      </c>
      <c r="H318" s="43" t="str">
        <f t="shared" si="10"/>
        <v>00</v>
      </c>
      <c r="I318" s="44" t="str">
        <f t="shared" si="11"/>
        <v>3</v>
      </c>
      <c r="J318" s="75" t="s">
        <v>772</v>
      </c>
      <c r="K318" s="45" t="s">
        <v>773</v>
      </c>
      <c r="L318" s="45" t="s">
        <v>800</v>
      </c>
      <c r="M318" s="45"/>
      <c r="N318" s="45"/>
      <c r="O318"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P1.05</v>
      </c>
      <c r="P318" s="59"/>
      <c r="Q318" s="59"/>
      <c r="R318" s="59"/>
      <c r="S318" s="59"/>
      <c r="T318" s="55" t="str">
        <f>IF(Table681620[[#This Row],[LEVEL]]="5",Table681620[[#This Row],[L5]],
IF(Table681620[[#This Row],[LEVEL]]="4",Table681620[[#This Row],[L4]],
IF(Table681620[[#This Row],[LEVEL]]="3",Table681620[[#This Row],[L3]],
IF(Table681620[[#This Row],[LEVEL]]="2",Table681620[[#This Row],[L2]],
IF(Table681620[[#This Row],[LEVEL]]="1",Table681620[[#This Row],[L1]],"")))))</f>
        <v>CONTINGENCY</v>
      </c>
      <c r="U318" s="47"/>
      <c r="V318" s="72"/>
      <c r="W318" s="59"/>
      <c r="X318" s="48"/>
      <c r="Y318" s="50">
        <f>SUBTOTAL(9,Y319:Y321)</f>
        <v>0</v>
      </c>
      <c r="Z318" s="51"/>
      <c r="AA318" s="48"/>
      <c r="AB318" s="48"/>
      <c r="AC318" s="7"/>
    </row>
    <row r="319" spans="1:29" x14ac:dyDescent="0.3">
      <c r="A319" s="43" t="str">
        <f>INDEX(Table_Numbering[L1],MATCH(Table681620[[#This Row],[L1]],Table_Numbering[L1 Description (Cost Area)],0))</f>
        <v>P</v>
      </c>
      <c r="B319" s="43" t="str">
        <f>IFERROR(INDEX(Table_Numbering[L2],MATCH(Table681620[[#This Row],[L2]],Table_Numbering[L2 Description (Area)],0)),"0")</f>
        <v>1</v>
      </c>
      <c r="C319" s="43" t="str">
        <f>IFERROR(INDEX(Table_Numbering[L3],MATCH(Table681620[[#This Row],[L3]],Table_Numbering[L3 Description (Sub Area)],0)),"0")</f>
        <v>05</v>
      </c>
      <c r="D319" s="43" t="str">
        <f>Table681620[[#This Row],[N1]]&amp;Table681620[[#This Row],[N2]]&amp;Table681620[[#This Row],[N3]]</f>
        <v>P105</v>
      </c>
      <c r="E319" s="43" t="str">
        <f>TEXT(COUNTIF(C$7:C317,Table681620[[#This Row],[N3]]),"00")</f>
        <v>31</v>
      </c>
      <c r="F319" s="43">
        <f>COUNTIFS(J$7:J319,J319,K$7:K319,K319,L$7:L319,L319,M$7:M319,M319)</f>
        <v>1</v>
      </c>
      <c r="G319" s="43" t="str">
        <f>TEXT(COUNTIFS(A$7:A319,A319,B$7:B319,B319,E$7:E319,E319,F$7:F319,1),"00")</f>
        <v>03</v>
      </c>
      <c r="H319" s="43" t="str">
        <f t="shared" si="10"/>
        <v>00</v>
      </c>
      <c r="I319" s="44" t="str">
        <f t="shared" si="11"/>
        <v>4</v>
      </c>
      <c r="J319" s="75" t="s">
        <v>772</v>
      </c>
      <c r="K319" s="45" t="s">
        <v>773</v>
      </c>
      <c r="L319" s="45" t="s">
        <v>800</v>
      </c>
      <c r="M319" s="45" t="s">
        <v>801</v>
      </c>
      <c r="N319" s="45"/>
      <c r="O319"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P1.05.31</v>
      </c>
      <c r="P319" s="59" t="s">
        <v>428</v>
      </c>
      <c r="Q319" s="59" t="s">
        <v>776</v>
      </c>
      <c r="R319" s="59"/>
      <c r="S319" s="59" t="s">
        <v>1581</v>
      </c>
      <c r="T319" s="58" t="str">
        <f>IF(Table681620[[#This Row],[LEVEL]]="5",Table681620[[#This Row],[L5]],
IF(Table681620[[#This Row],[LEVEL]]="4",Table681620[[#This Row],[L4]],
IF(Table681620[[#This Row],[LEVEL]]="3",Table681620[[#This Row],[L3]],
IF(Table681620[[#This Row],[LEVEL]]="2",Table681620[[#This Row],[L2]],
IF(Table681620[[#This Row],[LEVEL]]="1",Table681620[[#This Row],[L1]],"")))))</f>
        <v>General Contingency Allowance</v>
      </c>
      <c r="U319" s="47" t="s">
        <v>62</v>
      </c>
      <c r="V319" s="72" t="s">
        <v>137</v>
      </c>
      <c r="W319" s="59">
        <v>1</v>
      </c>
      <c r="X319" s="48"/>
      <c r="Y319" s="62">
        <f>Table681620[[#This Row],[Qty]]*Table681620[[#This Row],[Rate]]</f>
        <v>0</v>
      </c>
      <c r="Z319" s="51"/>
      <c r="AA319" s="48" t="s">
        <v>778</v>
      </c>
      <c r="AB319" s="48" t="s">
        <v>2359</v>
      </c>
      <c r="AC319" s="7"/>
    </row>
    <row r="320" spans="1:29" x14ac:dyDescent="0.3">
      <c r="A320" s="43" t="str">
        <f>INDEX(Table_Numbering[L1],MATCH(Table681620[[#This Row],[L1]],Table_Numbering[L1 Description (Cost Area)],0))</f>
        <v>P</v>
      </c>
      <c r="B320" s="43" t="str">
        <f>IFERROR(INDEX(Table_Numbering[L2],MATCH(Table681620[[#This Row],[L2]],Table_Numbering[L2 Description (Area)],0)),"0")</f>
        <v>1</v>
      </c>
      <c r="C320" s="43" t="str">
        <f>IFERROR(INDEX(Table_Numbering[L3],MATCH(Table681620[[#This Row],[L3]],Table_Numbering[L3 Description (Sub Area)],0)),"0")</f>
        <v>05</v>
      </c>
      <c r="D320" s="43" t="str">
        <f>Table681620[[#This Row],[N1]]&amp;Table681620[[#This Row],[N2]]&amp;Table681620[[#This Row],[N3]]</f>
        <v>P105</v>
      </c>
      <c r="E320" s="43" t="str">
        <f>TEXT(COUNTIF(C$7:C318,Table681620[[#This Row],[N3]]),"00")</f>
        <v>32</v>
      </c>
      <c r="F320" s="43">
        <f>COUNTIFS(J$7:J320,J320,K$7:K320,K320,L$7:L320,L320,M$7:M320,M320)</f>
        <v>1</v>
      </c>
      <c r="G320" s="43" t="str">
        <f>TEXT(COUNTIFS(A$7:A320,A320,B$7:B320,B320,E$7:E320,E320,F$7:F320,1),"00")</f>
        <v>02</v>
      </c>
      <c r="H320" s="43" t="str">
        <f t="shared" si="10"/>
        <v>00</v>
      </c>
      <c r="I320" s="44" t="str">
        <f t="shared" si="11"/>
        <v>4</v>
      </c>
      <c r="J320" s="75" t="s">
        <v>772</v>
      </c>
      <c r="K320" s="45" t="s">
        <v>773</v>
      </c>
      <c r="L320" s="45" t="s">
        <v>800</v>
      </c>
      <c r="M320" s="45" t="s">
        <v>802</v>
      </c>
      <c r="N320" s="45"/>
      <c r="O320"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P1.05.32</v>
      </c>
      <c r="P320" s="59" t="s">
        <v>116</v>
      </c>
      <c r="Q320" s="59" t="s">
        <v>776</v>
      </c>
      <c r="R320" s="59"/>
      <c r="S320" s="59" t="s">
        <v>1582</v>
      </c>
      <c r="T320" s="58" t="str">
        <f>IF(Table681620[[#This Row],[LEVEL]]="5",Table681620[[#This Row],[L5]],
IF(Table681620[[#This Row],[LEVEL]]="4",Table681620[[#This Row],[L4]],
IF(Table681620[[#This Row],[LEVEL]]="3",Table681620[[#This Row],[L3]],
IF(Table681620[[#This Row],[LEVEL]]="2",Table681620[[#This Row],[L2]],
IF(Table681620[[#This Row],[LEVEL]]="1",Table681620[[#This Row],[L1]],"")))))</f>
        <v>Interface Coordination Allowance</v>
      </c>
      <c r="U320" s="47" t="s">
        <v>62</v>
      </c>
      <c r="V320" s="72" t="s">
        <v>137</v>
      </c>
      <c r="W320" s="59">
        <v>1</v>
      </c>
      <c r="X320" s="48"/>
      <c r="Y320" s="62">
        <f>Table681620[[#This Row],[Qty]]*Table681620[[#This Row],[Rate]]</f>
        <v>0</v>
      </c>
      <c r="Z320" s="51"/>
      <c r="AA320" s="48" t="s">
        <v>778</v>
      </c>
      <c r="AB320" s="48" t="s">
        <v>2359</v>
      </c>
      <c r="AC320" s="7"/>
    </row>
    <row r="321" spans="1:29" x14ac:dyDescent="0.3">
      <c r="A321" s="43" t="str">
        <f>INDEX(Table_Numbering[L1],MATCH(Table681620[[#This Row],[L1]],Table_Numbering[L1 Description (Cost Area)],0))</f>
        <v>P</v>
      </c>
      <c r="B321" s="43" t="str">
        <f>IFERROR(INDEX(Table_Numbering[L2],MATCH(Table681620[[#This Row],[L2]],Table_Numbering[L2 Description (Area)],0)),"0")</f>
        <v>1</v>
      </c>
      <c r="C321" s="43" t="str">
        <f>IFERROR(INDEX(Table_Numbering[L3],MATCH(Table681620[[#This Row],[L3]],Table_Numbering[L3 Description (Sub Area)],0)),"0")</f>
        <v>05</v>
      </c>
      <c r="D321" s="43" t="str">
        <f>Table681620[[#This Row],[N1]]&amp;Table681620[[#This Row],[N2]]&amp;Table681620[[#This Row],[N3]]</f>
        <v>P105</v>
      </c>
      <c r="E321" s="43" t="str">
        <f>TEXT(COUNTIF(C$7:C319,Table681620[[#This Row],[N3]]),"00")</f>
        <v>33</v>
      </c>
      <c r="F321" s="43">
        <f>COUNTIFS(J$7:J321,J321,K$7:K321,K321,L$7:L321,L321,M$7:M321,M321)</f>
        <v>1</v>
      </c>
      <c r="G321" s="43" t="str">
        <f>TEXT(COUNTIFS(A$7:A321,A321,B$7:B321,B321,E$7:E321,E321,F$7:F321,1),"00")</f>
        <v>03</v>
      </c>
      <c r="H321" s="43" t="str">
        <f t="shared" si="10"/>
        <v>00</v>
      </c>
      <c r="I321" s="44" t="str">
        <f t="shared" si="11"/>
        <v>4</v>
      </c>
      <c r="J321" s="75" t="s">
        <v>772</v>
      </c>
      <c r="K321" s="45" t="s">
        <v>773</v>
      </c>
      <c r="L321" s="45" t="s">
        <v>800</v>
      </c>
      <c r="M321" s="45" t="s">
        <v>138</v>
      </c>
      <c r="N321" s="45"/>
      <c r="O321"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P1.05.33</v>
      </c>
      <c r="P321" s="59" t="s">
        <v>804</v>
      </c>
      <c r="Q321" s="59" t="s">
        <v>805</v>
      </c>
      <c r="R321" s="59"/>
      <c r="S321" s="59" t="s">
        <v>1583</v>
      </c>
      <c r="T321" s="58" t="str">
        <f>IF(Table681620[[#This Row],[LEVEL]]="5",Table681620[[#This Row],[L5]],
IF(Table681620[[#This Row],[LEVEL]]="4",Table681620[[#This Row],[L4]],
IF(Table681620[[#This Row],[LEVEL]]="3",Table681620[[#This Row],[L3]],
IF(Table681620[[#This Row],[LEVEL]]="2",Table681620[[#This Row],[L2]],
IF(Table681620[[#This Row],[LEVEL]]="1",Table681620[[#This Row],[L1]],"")))))</f>
        <v>Inclement Weather Allowance</v>
      </c>
      <c r="U321" s="47" t="s">
        <v>43</v>
      </c>
      <c r="V321" s="72" t="s">
        <v>137</v>
      </c>
      <c r="W321" s="59"/>
      <c r="X321" s="48"/>
      <c r="Y321" s="62">
        <f>Table681620[[#This Row],[Qty]]*Table681620[[#This Row],[Rate]]</f>
        <v>0</v>
      </c>
      <c r="Z321" s="51"/>
      <c r="AA321" s="48" t="s">
        <v>806</v>
      </c>
      <c r="AB321" s="48" t="s">
        <v>2359</v>
      </c>
      <c r="AC321" s="7"/>
    </row>
    <row r="322" spans="1:29" x14ac:dyDescent="0.3">
      <c r="A322" s="43" t="str">
        <f>INDEX(Table_Numbering[L1],MATCH(Table681620[[#This Row],[L1]],Table_Numbering[L1 Description (Cost Area)],0))</f>
        <v>P</v>
      </c>
      <c r="B322" s="43" t="str">
        <f>IFERROR(INDEX(Table_Numbering[L2],MATCH(Table681620[[#This Row],[L2]],Table_Numbering[L2 Description (Area)],0)),"0")</f>
        <v>1</v>
      </c>
      <c r="C322" s="43" t="str">
        <f>IFERROR(INDEX(Table_Numbering[L3],MATCH(Table681620[[#This Row],[L3]],Table_Numbering[L3 Description (Sub Area)],0)),"0")</f>
        <v>06</v>
      </c>
      <c r="D322" s="43" t="str">
        <f>Table681620[[#This Row],[N1]]&amp;Table681620[[#This Row],[N2]]&amp;Table681620[[#This Row],[N3]]</f>
        <v>P106</v>
      </c>
      <c r="E322" s="43" t="str">
        <f>TEXT(COUNTIF(C$7:C320,Table681620[[#This Row],[N3]]),"00")</f>
        <v>12</v>
      </c>
      <c r="F322" s="43">
        <f>COUNTIFS(J$7:J322,J322,K$7:K322,K322,L$7:L322,L322,M$7:M322,M322)</f>
        <v>0</v>
      </c>
      <c r="G322" s="43" t="str">
        <f>TEXT(COUNTIFS(A$7:A322,A322,B$7:B322,B322,E$7:E322,E322,F$7:F322,1),"00")</f>
        <v>00</v>
      </c>
      <c r="H322" s="43" t="str">
        <f t="shared" si="10"/>
        <v>00</v>
      </c>
      <c r="I322" s="44" t="str">
        <f t="shared" si="11"/>
        <v>3</v>
      </c>
      <c r="J322" s="75" t="s">
        <v>772</v>
      </c>
      <c r="K322" s="45" t="s">
        <v>773</v>
      </c>
      <c r="L322" s="45" t="s">
        <v>808</v>
      </c>
      <c r="M322" s="45"/>
      <c r="N322" s="45"/>
      <c r="O322"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P1.06</v>
      </c>
      <c r="P322" s="59"/>
      <c r="Q322" s="59"/>
      <c r="R322" s="59"/>
      <c r="S322" s="59"/>
      <c r="T322" s="55" t="str">
        <f>IF(Table681620[[#This Row],[LEVEL]]="5",Table681620[[#This Row],[L5]],
IF(Table681620[[#This Row],[LEVEL]]="4",Table681620[[#This Row],[L4]],
IF(Table681620[[#This Row],[LEVEL]]="3",Table681620[[#This Row],[L3]],
IF(Table681620[[#This Row],[LEVEL]]="2",Table681620[[#This Row],[L2]],
IF(Table681620[[#This Row],[LEVEL]]="1",Table681620[[#This Row],[L1]],"")))))</f>
        <v>AV WORKS</v>
      </c>
      <c r="U322" s="47"/>
      <c r="V322" s="72"/>
      <c r="W322" s="59"/>
      <c r="X322" s="48"/>
      <c r="Y322" s="50">
        <f>SUBTOTAL(9,Y323:Y324)</f>
        <v>0</v>
      </c>
      <c r="Z322" s="51"/>
      <c r="AA322" s="48"/>
      <c r="AB322" s="48"/>
      <c r="AC322" s="7"/>
    </row>
    <row r="323" spans="1:29" x14ac:dyDescent="0.3">
      <c r="A323" s="43" t="str">
        <f>INDEX(Table_Numbering[L1],MATCH(Table681620[[#This Row],[L1]],Table_Numbering[L1 Description (Cost Area)],0))</f>
        <v>P</v>
      </c>
      <c r="B323" s="43" t="str">
        <f>IFERROR(INDEX(Table_Numbering[L2],MATCH(Table681620[[#This Row],[L2]],Table_Numbering[L2 Description (Area)],0)),"0")</f>
        <v>1</v>
      </c>
      <c r="C323" s="43" t="str">
        <f>IFERROR(INDEX(Table_Numbering[L3],MATCH(Table681620[[#This Row],[L3]],Table_Numbering[L3 Description (Sub Area)],0)),"0")</f>
        <v>06</v>
      </c>
      <c r="D323" s="43" t="str">
        <f>Table681620[[#This Row],[N1]]&amp;Table681620[[#This Row],[N2]]&amp;Table681620[[#This Row],[N3]]</f>
        <v>P106</v>
      </c>
      <c r="E323" s="43" t="str">
        <f>TEXT(COUNTIF(C$7:C321,Table681620[[#This Row],[N3]]),"00")</f>
        <v>12</v>
      </c>
      <c r="F323" s="43">
        <f>COUNTIFS(J$7:J323,J323,K$7:K323,K323,L$7:L323,L323,M$7:M323,M323)</f>
        <v>1</v>
      </c>
      <c r="G323" s="43" t="str">
        <f>TEXT(COUNTIFS(A$7:A323,A323,B$7:B323,B323,E$7:E323,E323,F$7:F323,1),"00")</f>
        <v>01</v>
      </c>
      <c r="H323" s="43" t="str">
        <f t="shared" si="10"/>
        <v>00</v>
      </c>
      <c r="I323" s="44" t="str">
        <f t="shared" si="11"/>
        <v>4</v>
      </c>
      <c r="J323" s="75" t="s">
        <v>772</v>
      </c>
      <c r="K323" s="45" t="s">
        <v>773</v>
      </c>
      <c r="L323" s="45" t="s">
        <v>808</v>
      </c>
      <c r="M323" s="45" t="s">
        <v>809</v>
      </c>
      <c r="N323" s="45"/>
      <c r="O323"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P1.06.12</v>
      </c>
      <c r="P323" s="59" t="s">
        <v>136</v>
      </c>
      <c r="Q323" s="59" t="s">
        <v>776</v>
      </c>
      <c r="R323" s="59"/>
      <c r="S323" s="59" t="s">
        <v>1630</v>
      </c>
      <c r="T323" s="58" t="str">
        <f>IF(Table681620[[#This Row],[LEVEL]]="5",Table681620[[#This Row],[L5]],
IF(Table681620[[#This Row],[LEVEL]]="4",Table681620[[#This Row],[L4]],
IF(Table681620[[#This Row],[LEVEL]]="3",Table681620[[#This Row],[L3]],
IF(Table681620[[#This Row],[LEVEL]]="2",Table681620[[#This Row],[L2]],
IF(Table681620[[#This Row],[LEVEL]]="1",Table681620[[#This Row],[L1]],"")))))</f>
        <v>AV Contractor Attendance</v>
      </c>
      <c r="U323" s="47" t="s">
        <v>771</v>
      </c>
      <c r="V323" s="72" t="s">
        <v>137</v>
      </c>
      <c r="W323" s="59"/>
      <c r="X323" s="48"/>
      <c r="Y323" s="62">
        <f>Table681620[[#This Row],[Qty]]*Table681620[[#This Row],[Rate]]</f>
        <v>0</v>
      </c>
      <c r="Z323" s="51"/>
      <c r="AA323" s="48" t="s">
        <v>810</v>
      </c>
      <c r="AB323" s="48" t="s">
        <v>2359</v>
      </c>
      <c r="AC323" s="7"/>
    </row>
    <row r="324" spans="1:29" x14ac:dyDescent="0.3">
      <c r="A324" s="43" t="str">
        <f>INDEX(Table_Numbering[L1],MATCH(Table681620[[#This Row],[L1]],Table_Numbering[L1 Description (Cost Area)],0))</f>
        <v>P</v>
      </c>
      <c r="B324" s="43" t="str">
        <f>IFERROR(INDEX(Table_Numbering[L2],MATCH(Table681620[[#This Row],[L2]],Table_Numbering[L2 Description (Area)],0)),"0")</f>
        <v>1</v>
      </c>
      <c r="C324" s="43" t="str">
        <f>IFERROR(INDEX(Table_Numbering[L3],MATCH(Table681620[[#This Row],[L3]],Table_Numbering[L3 Description (Sub Area)],0)),"0")</f>
        <v>06</v>
      </c>
      <c r="D324" s="43" t="str">
        <f>Table681620[[#This Row],[N1]]&amp;Table681620[[#This Row],[N2]]&amp;Table681620[[#This Row],[N3]]</f>
        <v>P106</v>
      </c>
      <c r="E324" s="43" t="str">
        <f>TEXT(COUNTIF(C$7:C322,Table681620[[#This Row],[N3]]),"00")</f>
        <v>13</v>
      </c>
      <c r="F324" s="43">
        <f>COUNTIFS(J$7:J324,J324,K$7:K324,K324,L$7:L324,L324,M$7:M324,M324)</f>
        <v>1</v>
      </c>
      <c r="G324" s="43" t="str">
        <f>TEXT(COUNTIFS(A$7:A324,A324,B$7:B324,B324,E$7:E324,E324,F$7:F324,1),"00")</f>
        <v>01</v>
      </c>
      <c r="H324" s="43" t="str">
        <f t="shared" si="10"/>
        <v>00</v>
      </c>
      <c r="I324" s="44" t="str">
        <f t="shared" si="11"/>
        <v>4</v>
      </c>
      <c r="J324" s="75" t="s">
        <v>772</v>
      </c>
      <c r="K324" s="45" t="s">
        <v>773</v>
      </c>
      <c r="L324" s="45" t="s">
        <v>808</v>
      </c>
      <c r="M324" s="45" t="s">
        <v>812</v>
      </c>
      <c r="N324" s="45"/>
      <c r="O324" s="46" t="str">
        <f>IF(Table681620[[#This Row],[LEVEL]]="5",Table681620[[#This Row],[N1]]&amp;Table681620[[#This Row],[N2]]&amp;"."&amp;Table681620[[#This Row],[N3]]&amp;"."&amp;Table681620[[#This Row],[N6]],
IF(Table681620[[#This Row],[LEVEL]]="4",Table681620[[#This Row],[N1]]&amp;Table681620[[#This Row],[N2]]&amp;"."&amp;Table681620[[#This Row],[N3]]&amp;"."&amp;Table681620[[#This Row],[N4]],
IF(Table681620[[#This Row],[LEVEL]]="3",Table681620[[#This Row],[N1]]&amp;Table681620[[#This Row],[N2]]&amp;"."&amp;Table681620[[#This Row],[N3]],
IF(Table681620[[#This Row],[LEVEL]]="2",Table681620[[#This Row],[N1]]&amp;Table681620[[#This Row],[N2]],
IF(Table681620[[#This Row],[LEVEL]]="1",Table681620[[#This Row],[N1]],"")))))</f>
        <v>P1.06.13</v>
      </c>
      <c r="P324" s="59" t="s">
        <v>136</v>
      </c>
      <c r="Q324" s="59" t="s">
        <v>776</v>
      </c>
      <c r="R324" s="59"/>
      <c r="S324" s="59" t="s">
        <v>1631</v>
      </c>
      <c r="T324" s="58" t="str">
        <f>IF(Table681620[[#This Row],[LEVEL]]="5",Table681620[[#This Row],[L5]],
IF(Table681620[[#This Row],[LEVEL]]="4",Table681620[[#This Row],[L4]],
IF(Table681620[[#This Row],[LEVEL]]="3",Table681620[[#This Row],[L3]],
IF(Table681620[[#This Row],[LEVEL]]="2",Table681620[[#This Row],[L2]],
IF(Table681620[[#This Row],[LEVEL]]="1",Table681620[[#This Row],[L1]],"")))))</f>
        <v>AV Power &amp; Data Points</v>
      </c>
      <c r="U324" s="47" t="s">
        <v>574</v>
      </c>
      <c r="V324" s="72" t="s">
        <v>137</v>
      </c>
      <c r="W324" s="59"/>
      <c r="X324" s="48"/>
      <c r="Y324" s="62">
        <f>Table681620[[#This Row],[Qty]]*Table681620[[#This Row],[Rate]]</f>
        <v>0</v>
      </c>
      <c r="Z324" s="51"/>
      <c r="AA324" s="48" t="s">
        <v>813</v>
      </c>
      <c r="AB324" s="48" t="s">
        <v>2359</v>
      </c>
      <c r="AC324" s="7"/>
    </row>
  </sheetData>
  <phoneticPr fontId="2" type="noConversion"/>
  <conditionalFormatting sqref="AA7:AB324">
    <cfRule type="expression" dxfId="10" priority="1">
      <formula>$I7="0"</formula>
    </cfRule>
    <cfRule type="expression" dxfId="9" priority="2">
      <formula>$I7="1"</formula>
    </cfRule>
    <cfRule type="expression" dxfId="8" priority="3">
      <formula>$I7="2"</formula>
    </cfRule>
    <cfRule type="expression" dxfId="7" priority="4">
      <formula>$I7="3"</formula>
    </cfRule>
    <cfRule type="expression" dxfId="6" priority="5">
      <formula>$I7="4"</formula>
    </cfRule>
  </conditionalFormatting>
  <conditionalFormatting sqref="AD7:AE250 AG7:AH250 AJ7:AK250 O7:Y324 AA7:AB10 AA39:AB39 AA41:AB324">
    <cfRule type="expression" dxfId="5" priority="37">
      <formula>$I7="4"</formula>
    </cfRule>
  </conditionalFormatting>
  <conditionalFormatting sqref="AD7:AE250 AG7:AH250 AJ7:AK250 O7:Y324">
    <cfRule type="expression" dxfId="4" priority="17">
      <formula>$I7="0"</formula>
    </cfRule>
    <cfRule type="expression" dxfId="3" priority="33">
      <formula>$I7="1"</formula>
    </cfRule>
    <cfRule type="expression" dxfId="2" priority="34">
      <formula>$I7="2"</formula>
    </cfRule>
    <cfRule type="expression" dxfId="1" priority="35">
      <formula>$I7="3"</formula>
    </cfRule>
    <cfRule type="expression" dxfId="0" priority="36">
      <formula>$I7="4"</formula>
    </cfRule>
  </conditionalFormatting>
  <pageMargins left="0.7" right="0.7" top="0.75" bottom="0.75" header="0.3" footer="0.3"/>
  <pageSetup orientation="portrait" r:id="rId1"/>
  <ignoredErrors>
    <ignoredError sqref="Y39:Y324 Y7:Y20 Y21:Y38" calculatedColumn="1"/>
  </ignoredErrors>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E9EFF-80A8-4B0B-A6AA-07794EBD63D1}">
  <sheetPr>
    <tabColor theme="5" tint="0.39997558519241921"/>
  </sheetPr>
  <dimension ref="A1:Z250"/>
  <sheetViews>
    <sheetView topLeftCell="D1" workbookViewId="0">
      <pane ySplit="5" topLeftCell="A6" activePane="bottomLeft" state="frozen"/>
      <selection pane="bottomLeft" activeCell="I31" sqref="I31"/>
    </sheetView>
  </sheetViews>
  <sheetFormatPr defaultRowHeight="14.4" outlineLevelCol="1" x14ac:dyDescent="0.3"/>
  <cols>
    <col min="1" max="1" width="13" hidden="1" customWidth="1" outlineLevel="1"/>
    <col min="2" max="2" width="27.33203125" hidden="1" customWidth="1" outlineLevel="1"/>
    <col min="3" max="3" width="22.33203125" hidden="1" customWidth="1" outlineLevel="1"/>
    <col min="4" max="4" width="13" customWidth="1" collapsed="1"/>
    <col min="5" max="5" width="37" customWidth="1"/>
    <col min="6" max="6" width="9.33203125" customWidth="1"/>
    <col min="7" max="7" width="13.109375" customWidth="1"/>
    <col min="8" max="12" width="14.6640625" customWidth="1"/>
    <col min="13" max="13" width="13" customWidth="1"/>
    <col min="14" max="14" width="14.109375" customWidth="1"/>
    <col min="15" max="16" width="13" customWidth="1"/>
    <col min="17" max="19" width="14.6640625" customWidth="1"/>
    <col min="20" max="21" width="37" customWidth="1"/>
    <col min="22" max="22" width="12.5546875" customWidth="1"/>
    <col min="23" max="23" width="11.5546875" customWidth="1"/>
    <col min="24" max="25" width="14.6640625" customWidth="1"/>
    <col min="26" max="26" width="27.6640625" customWidth="1"/>
  </cols>
  <sheetData>
    <row r="1" spans="1:26" ht="41.4" x14ac:dyDescent="0.35">
      <c r="D1" s="4" t="s">
        <v>2360</v>
      </c>
      <c r="E1" s="5"/>
      <c r="F1" s="225"/>
      <c r="G1" s="263"/>
      <c r="H1" s="263"/>
      <c r="I1" s="263"/>
      <c r="J1" s="225"/>
      <c r="K1" s="225"/>
      <c r="L1" s="225"/>
      <c r="M1" s="225"/>
      <c r="N1" s="225"/>
      <c r="O1" s="225"/>
      <c r="P1" s="225"/>
      <c r="Q1" s="225"/>
      <c r="R1" s="225"/>
      <c r="S1" s="225"/>
      <c r="T1" s="225"/>
      <c r="U1" s="225"/>
      <c r="V1" s="225"/>
      <c r="W1" s="225"/>
      <c r="X1" s="225"/>
      <c r="Y1" s="225"/>
      <c r="Z1" s="225"/>
    </row>
    <row r="2" spans="1:26" ht="15.6" x14ac:dyDescent="0.3">
      <c r="D2" s="10"/>
      <c r="E2" s="11"/>
      <c r="F2" s="225"/>
      <c r="G2" s="264"/>
      <c r="H2" s="264"/>
      <c r="I2" s="264"/>
      <c r="J2" s="225"/>
      <c r="K2" s="225"/>
      <c r="L2" s="225"/>
      <c r="M2" s="225"/>
      <c r="N2" s="225"/>
      <c r="O2" s="225"/>
      <c r="P2" s="225"/>
      <c r="Q2" s="225"/>
      <c r="R2" s="225"/>
      <c r="S2" s="225"/>
      <c r="T2" s="225"/>
      <c r="U2" s="225"/>
      <c r="V2" s="225"/>
      <c r="W2" s="225"/>
      <c r="X2" s="225"/>
      <c r="Y2" s="225"/>
      <c r="Z2" s="225"/>
    </row>
    <row r="3" spans="1:26" ht="15.6" x14ac:dyDescent="0.3">
      <c r="D3" s="10" t="s">
        <v>2354</v>
      </c>
      <c r="E3" s="11"/>
      <c r="F3" s="225"/>
      <c r="G3" s="264"/>
      <c r="H3" s="264"/>
      <c r="I3" s="264"/>
      <c r="J3" s="225"/>
      <c r="K3" s="225"/>
      <c r="L3" s="225"/>
      <c r="M3" s="225"/>
      <c r="N3" s="225"/>
      <c r="O3" s="225"/>
      <c r="P3" s="225"/>
      <c r="Q3" s="225"/>
      <c r="R3" s="225"/>
      <c r="S3" s="225"/>
      <c r="T3" s="225"/>
      <c r="U3" s="225"/>
      <c r="V3" s="225"/>
      <c r="W3" s="225"/>
      <c r="X3" s="225"/>
      <c r="Y3" s="225"/>
      <c r="Z3" s="225"/>
    </row>
    <row r="4" spans="1:26" ht="15.6" x14ac:dyDescent="0.3">
      <c r="D4" s="16" t="s">
        <v>2</v>
      </c>
      <c r="E4" s="17" t="s">
        <v>3</v>
      </c>
      <c r="F4" s="225"/>
      <c r="G4" s="225"/>
      <c r="H4" s="225"/>
      <c r="I4" s="225"/>
      <c r="J4" s="226"/>
      <c r="K4" s="225"/>
      <c r="L4" s="225"/>
      <c r="M4" s="225"/>
      <c r="N4" s="225"/>
      <c r="O4" s="225"/>
      <c r="P4" s="225"/>
      <c r="Q4" s="225"/>
      <c r="R4" s="225"/>
      <c r="S4" s="225"/>
      <c r="T4" s="225"/>
      <c r="U4" s="225"/>
      <c r="V4" s="225"/>
      <c r="W4" s="225"/>
      <c r="X4" s="225"/>
      <c r="Y4" s="225"/>
      <c r="Z4" s="225"/>
    </row>
    <row r="5" spans="1:26" ht="28.2" customHeight="1" x14ac:dyDescent="0.3">
      <c r="A5" s="224" t="s">
        <v>459</v>
      </c>
      <c r="B5" s="224" t="s">
        <v>144</v>
      </c>
      <c r="C5" s="224" t="s">
        <v>816</v>
      </c>
      <c r="D5" s="227" t="s">
        <v>24</v>
      </c>
      <c r="E5" s="227" t="s">
        <v>25</v>
      </c>
      <c r="F5" s="228" t="s">
        <v>26</v>
      </c>
      <c r="G5" s="228" t="s">
        <v>461</v>
      </c>
      <c r="H5" s="229" t="s">
        <v>817</v>
      </c>
      <c r="I5" s="229" t="s">
        <v>818</v>
      </c>
      <c r="J5" s="229" t="s">
        <v>819</v>
      </c>
      <c r="K5" s="229" t="s">
        <v>820</v>
      </c>
      <c r="L5" s="229" t="s">
        <v>148</v>
      </c>
      <c r="M5" s="229" t="s">
        <v>821</v>
      </c>
      <c r="N5" s="229" t="s">
        <v>822</v>
      </c>
      <c r="O5" s="229" t="s">
        <v>209</v>
      </c>
      <c r="P5" s="229" t="s">
        <v>210</v>
      </c>
      <c r="Q5" s="229" t="s">
        <v>823</v>
      </c>
      <c r="R5" s="229" t="s">
        <v>824</v>
      </c>
      <c r="S5" s="229" t="s">
        <v>825</v>
      </c>
      <c r="T5" s="228" t="s">
        <v>32</v>
      </c>
      <c r="U5" s="228" t="s">
        <v>33</v>
      </c>
      <c r="V5" s="228" t="s">
        <v>826</v>
      </c>
      <c r="W5" s="228" t="s">
        <v>827</v>
      </c>
      <c r="X5" s="228" t="s">
        <v>828</v>
      </c>
      <c r="Y5" s="228" t="s">
        <v>829</v>
      </c>
      <c r="Z5" s="230" t="s">
        <v>141</v>
      </c>
    </row>
    <row r="6" spans="1:26" x14ac:dyDescent="0.3">
      <c r="A6" s="85" t="s">
        <v>830</v>
      </c>
      <c r="B6" s="85" t="s">
        <v>146</v>
      </c>
      <c r="C6" s="85"/>
      <c r="D6" s="85" t="s">
        <v>147</v>
      </c>
      <c r="E6" s="85" t="s">
        <v>146</v>
      </c>
      <c r="F6" s="103"/>
      <c r="G6" s="103"/>
      <c r="H6" s="96"/>
      <c r="I6" s="96"/>
      <c r="J6" s="96"/>
      <c r="K6" s="96"/>
      <c r="L6" s="96"/>
      <c r="M6" s="96"/>
      <c r="N6" s="96"/>
      <c r="O6" s="96"/>
      <c r="P6" s="96"/>
      <c r="Q6" s="96"/>
      <c r="R6" s="96"/>
      <c r="S6" s="96"/>
      <c r="T6" s="85"/>
      <c r="U6" s="85"/>
      <c r="V6" s="85"/>
      <c r="W6" s="85"/>
      <c r="X6" s="85"/>
      <c r="Y6" s="85"/>
      <c r="Z6" s="90"/>
    </row>
    <row r="7" spans="1:26" x14ac:dyDescent="0.3">
      <c r="A7" s="86" t="s">
        <v>830</v>
      </c>
      <c r="B7" s="86" t="s">
        <v>146</v>
      </c>
      <c r="C7" s="86" t="s">
        <v>151</v>
      </c>
      <c r="D7" s="86" t="s">
        <v>150</v>
      </c>
      <c r="E7" s="86" t="s">
        <v>831</v>
      </c>
      <c r="F7" s="104"/>
      <c r="G7" s="104"/>
      <c r="H7" s="97"/>
      <c r="I7" s="97"/>
      <c r="J7" s="97"/>
      <c r="K7" s="97"/>
      <c r="L7" s="97"/>
      <c r="M7" s="97"/>
      <c r="N7" s="97"/>
      <c r="O7" s="97"/>
      <c r="P7" s="97"/>
      <c r="Q7" s="97"/>
      <c r="R7" s="97"/>
      <c r="S7" s="97"/>
      <c r="T7" s="86"/>
      <c r="U7" s="86"/>
      <c r="V7" s="86"/>
      <c r="W7" s="86"/>
      <c r="X7" s="86"/>
      <c r="Y7" s="86"/>
      <c r="Z7" s="91"/>
    </row>
    <row r="8" spans="1:26" x14ac:dyDescent="0.3">
      <c r="A8" s="87" t="s">
        <v>830</v>
      </c>
      <c r="B8" s="87" t="s">
        <v>146</v>
      </c>
      <c r="C8" s="87" t="s">
        <v>151</v>
      </c>
      <c r="D8" s="87" t="s">
        <v>832</v>
      </c>
      <c r="E8" s="87" t="s">
        <v>152</v>
      </c>
      <c r="F8" s="105" t="s">
        <v>153</v>
      </c>
      <c r="G8" s="105" t="s">
        <v>575</v>
      </c>
      <c r="H8" s="98"/>
      <c r="I8" s="98"/>
      <c r="J8" s="98"/>
      <c r="K8" s="98"/>
      <c r="L8" s="98"/>
      <c r="M8" s="98"/>
      <c r="N8" s="98"/>
      <c r="O8" s="98"/>
      <c r="P8" s="98"/>
      <c r="Q8" s="98"/>
      <c r="R8" s="98"/>
      <c r="S8" s="98"/>
      <c r="T8" s="87" t="s">
        <v>833</v>
      </c>
      <c r="U8" s="87" t="s">
        <v>834</v>
      </c>
      <c r="V8" s="87" t="s">
        <v>835</v>
      </c>
      <c r="W8" s="87" t="s">
        <v>836</v>
      </c>
      <c r="X8" s="87"/>
      <c r="Y8" s="87"/>
      <c r="Z8" s="92"/>
    </row>
    <row r="9" spans="1:26" x14ac:dyDescent="0.3">
      <c r="A9" s="88" t="s">
        <v>830</v>
      </c>
      <c r="B9" s="88" t="s">
        <v>146</v>
      </c>
      <c r="C9" s="88" t="s">
        <v>151</v>
      </c>
      <c r="D9" s="88" t="s">
        <v>837</v>
      </c>
      <c r="E9" s="88" t="s">
        <v>40</v>
      </c>
      <c r="F9" s="106" t="s">
        <v>153</v>
      </c>
      <c r="G9" s="106" t="s">
        <v>575</v>
      </c>
      <c r="H9" s="99"/>
      <c r="I9" s="99"/>
      <c r="J9" s="99"/>
      <c r="K9" s="99"/>
      <c r="L9" s="99"/>
      <c r="M9" s="99"/>
      <c r="N9" s="99"/>
      <c r="O9" s="99"/>
      <c r="P9" s="99"/>
      <c r="Q9" s="99"/>
      <c r="R9" s="99"/>
      <c r="S9" s="99"/>
      <c r="T9" s="88" t="s">
        <v>833</v>
      </c>
      <c r="U9" s="88" t="s">
        <v>834</v>
      </c>
      <c r="V9" s="88" t="s">
        <v>835</v>
      </c>
      <c r="W9" s="88" t="s">
        <v>836</v>
      </c>
      <c r="X9" s="88"/>
      <c r="Y9" s="88"/>
      <c r="Z9" s="93"/>
    </row>
    <row r="10" spans="1:26" x14ac:dyDescent="0.3">
      <c r="A10" s="87" t="s">
        <v>830</v>
      </c>
      <c r="B10" s="87" t="s">
        <v>146</v>
      </c>
      <c r="C10" s="87" t="s">
        <v>151</v>
      </c>
      <c r="D10" s="87" t="s">
        <v>838</v>
      </c>
      <c r="E10" s="87" t="s">
        <v>46</v>
      </c>
      <c r="F10" s="105" t="s">
        <v>153</v>
      </c>
      <c r="G10" s="105" t="s">
        <v>575</v>
      </c>
      <c r="H10" s="98"/>
      <c r="I10" s="98"/>
      <c r="J10" s="98"/>
      <c r="K10" s="98"/>
      <c r="L10" s="98"/>
      <c r="M10" s="98"/>
      <c r="N10" s="98"/>
      <c r="O10" s="98"/>
      <c r="P10" s="98"/>
      <c r="Q10" s="98"/>
      <c r="R10" s="98"/>
      <c r="S10" s="98"/>
      <c r="T10" s="87" t="s">
        <v>839</v>
      </c>
      <c r="U10" s="87" t="s">
        <v>834</v>
      </c>
      <c r="V10" s="87" t="s">
        <v>835</v>
      </c>
      <c r="W10" s="87" t="s">
        <v>836</v>
      </c>
      <c r="X10" s="87"/>
      <c r="Y10" s="87"/>
      <c r="Z10" s="92"/>
    </row>
    <row r="11" spans="1:26" x14ac:dyDescent="0.3">
      <c r="A11" s="88" t="s">
        <v>830</v>
      </c>
      <c r="B11" s="88" t="s">
        <v>146</v>
      </c>
      <c r="C11" s="88" t="s">
        <v>151</v>
      </c>
      <c r="D11" s="88" t="s">
        <v>840</v>
      </c>
      <c r="E11" s="88" t="s">
        <v>157</v>
      </c>
      <c r="F11" s="106" t="s">
        <v>153</v>
      </c>
      <c r="G11" s="106" t="s">
        <v>575</v>
      </c>
      <c r="H11" s="99"/>
      <c r="I11" s="99"/>
      <c r="J11" s="99"/>
      <c r="K11" s="99"/>
      <c r="L11" s="99"/>
      <c r="M11" s="99"/>
      <c r="N11" s="99"/>
      <c r="O11" s="99"/>
      <c r="P11" s="99"/>
      <c r="Q11" s="99"/>
      <c r="R11" s="99"/>
      <c r="S11" s="99"/>
      <c r="T11" s="88" t="s">
        <v>839</v>
      </c>
      <c r="U11" s="88" t="s">
        <v>834</v>
      </c>
      <c r="V11" s="88" t="s">
        <v>835</v>
      </c>
      <c r="W11" s="88" t="s">
        <v>836</v>
      </c>
      <c r="X11" s="88"/>
      <c r="Y11" s="88"/>
      <c r="Z11" s="93"/>
    </row>
    <row r="12" spans="1:26" x14ac:dyDescent="0.3">
      <c r="A12" s="87" t="s">
        <v>830</v>
      </c>
      <c r="B12" s="87" t="s">
        <v>146</v>
      </c>
      <c r="C12" s="87" t="s">
        <v>151</v>
      </c>
      <c r="D12" s="87" t="s">
        <v>841</v>
      </c>
      <c r="E12" s="87" t="s">
        <v>159</v>
      </c>
      <c r="F12" s="105" t="s">
        <v>153</v>
      </c>
      <c r="G12" s="105" t="s">
        <v>575</v>
      </c>
      <c r="H12" s="98"/>
      <c r="I12" s="98"/>
      <c r="J12" s="98"/>
      <c r="K12" s="98"/>
      <c r="L12" s="98"/>
      <c r="M12" s="98"/>
      <c r="N12" s="98"/>
      <c r="O12" s="98"/>
      <c r="P12" s="98"/>
      <c r="Q12" s="98"/>
      <c r="R12" s="98"/>
      <c r="S12" s="98"/>
      <c r="T12" s="87" t="s">
        <v>839</v>
      </c>
      <c r="U12" s="87" t="s">
        <v>834</v>
      </c>
      <c r="V12" s="87" t="s">
        <v>835</v>
      </c>
      <c r="W12" s="87" t="s">
        <v>836</v>
      </c>
      <c r="X12" s="87"/>
      <c r="Y12" s="87"/>
      <c r="Z12" s="92"/>
    </row>
    <row r="13" spans="1:26" x14ac:dyDescent="0.3">
      <c r="A13" s="86" t="s">
        <v>830</v>
      </c>
      <c r="B13" s="86" t="s">
        <v>146</v>
      </c>
      <c r="C13" s="86" t="s">
        <v>161</v>
      </c>
      <c r="D13" s="86" t="s">
        <v>154</v>
      </c>
      <c r="E13" s="86" t="s">
        <v>842</v>
      </c>
      <c r="F13" s="104"/>
      <c r="G13" s="104"/>
      <c r="H13" s="97"/>
      <c r="I13" s="97"/>
      <c r="J13" s="97"/>
      <c r="K13" s="97"/>
      <c r="L13" s="97"/>
      <c r="M13" s="97"/>
      <c r="N13" s="97"/>
      <c r="O13" s="97"/>
      <c r="P13" s="97"/>
      <c r="Q13" s="97"/>
      <c r="R13" s="97"/>
      <c r="S13" s="97"/>
      <c r="T13" s="86"/>
      <c r="U13" s="86"/>
      <c r="V13" s="86"/>
      <c r="W13" s="86"/>
      <c r="X13" s="86"/>
      <c r="Y13" s="86"/>
      <c r="Z13" s="91"/>
    </row>
    <row r="14" spans="1:26" x14ac:dyDescent="0.3">
      <c r="A14" s="87" t="s">
        <v>830</v>
      </c>
      <c r="B14" s="87" t="s">
        <v>146</v>
      </c>
      <c r="C14" s="87" t="s">
        <v>161</v>
      </c>
      <c r="D14" s="87" t="s">
        <v>843</v>
      </c>
      <c r="E14" s="87" t="s">
        <v>47</v>
      </c>
      <c r="F14" s="105" t="s">
        <v>153</v>
      </c>
      <c r="G14" s="105" t="s">
        <v>575</v>
      </c>
      <c r="H14" s="98"/>
      <c r="I14" s="98"/>
      <c r="J14" s="98"/>
      <c r="K14" s="98"/>
      <c r="L14" s="98"/>
      <c r="M14" s="98"/>
      <c r="N14" s="98"/>
      <c r="O14" s="98"/>
      <c r="P14" s="98"/>
      <c r="Q14" s="98"/>
      <c r="R14" s="98"/>
      <c r="S14" s="98"/>
      <c r="T14" s="87" t="s">
        <v>844</v>
      </c>
      <c r="U14" s="87" t="s">
        <v>834</v>
      </c>
      <c r="V14" s="87" t="s">
        <v>835</v>
      </c>
      <c r="W14" s="87" t="s">
        <v>836</v>
      </c>
      <c r="X14" s="87"/>
      <c r="Y14" s="87"/>
      <c r="Z14" s="92"/>
    </row>
    <row r="15" spans="1:26" x14ac:dyDescent="0.3">
      <c r="A15" s="88" t="s">
        <v>830</v>
      </c>
      <c r="B15" s="88" t="s">
        <v>146</v>
      </c>
      <c r="C15" s="88" t="s">
        <v>161</v>
      </c>
      <c r="D15" s="88" t="s">
        <v>845</v>
      </c>
      <c r="E15" s="88" t="s">
        <v>163</v>
      </c>
      <c r="F15" s="106" t="s">
        <v>153</v>
      </c>
      <c r="G15" s="106" t="s">
        <v>575</v>
      </c>
      <c r="H15" s="99"/>
      <c r="I15" s="99"/>
      <c r="J15" s="99"/>
      <c r="K15" s="99"/>
      <c r="L15" s="99"/>
      <c r="M15" s="99"/>
      <c r="N15" s="99"/>
      <c r="O15" s="99"/>
      <c r="P15" s="99"/>
      <c r="Q15" s="99"/>
      <c r="R15" s="99"/>
      <c r="S15" s="99"/>
      <c r="T15" s="88" t="s">
        <v>844</v>
      </c>
      <c r="U15" s="88" t="s">
        <v>834</v>
      </c>
      <c r="V15" s="88" t="s">
        <v>835</v>
      </c>
      <c r="W15" s="88" t="s">
        <v>836</v>
      </c>
      <c r="X15" s="88"/>
      <c r="Y15" s="88"/>
      <c r="Z15" s="93"/>
    </row>
    <row r="16" spans="1:26" x14ac:dyDescent="0.3">
      <c r="A16" s="87" t="s">
        <v>830</v>
      </c>
      <c r="B16" s="87" t="s">
        <v>146</v>
      </c>
      <c r="C16" s="87" t="s">
        <v>161</v>
      </c>
      <c r="D16" s="87" t="s">
        <v>846</v>
      </c>
      <c r="E16" s="87" t="s">
        <v>165</v>
      </c>
      <c r="F16" s="105" t="s">
        <v>153</v>
      </c>
      <c r="G16" s="105" t="s">
        <v>575</v>
      </c>
      <c r="H16" s="98"/>
      <c r="I16" s="98"/>
      <c r="J16" s="98"/>
      <c r="K16" s="98"/>
      <c r="L16" s="98"/>
      <c r="M16" s="98"/>
      <c r="N16" s="98"/>
      <c r="O16" s="98"/>
      <c r="P16" s="98"/>
      <c r="Q16" s="98"/>
      <c r="R16" s="98"/>
      <c r="S16" s="98"/>
      <c r="T16" s="87" t="s">
        <v>844</v>
      </c>
      <c r="U16" s="87" t="s">
        <v>834</v>
      </c>
      <c r="V16" s="87" t="s">
        <v>835</v>
      </c>
      <c r="W16" s="87" t="s">
        <v>836</v>
      </c>
      <c r="X16" s="87"/>
      <c r="Y16" s="87"/>
      <c r="Z16" s="92"/>
    </row>
    <row r="17" spans="1:26" x14ac:dyDescent="0.3">
      <c r="A17" s="88" t="s">
        <v>830</v>
      </c>
      <c r="B17" s="88" t="s">
        <v>146</v>
      </c>
      <c r="C17" s="88" t="s">
        <v>161</v>
      </c>
      <c r="D17" s="88" t="s">
        <v>847</v>
      </c>
      <c r="E17" s="88" t="s">
        <v>167</v>
      </c>
      <c r="F17" s="106" t="s">
        <v>153</v>
      </c>
      <c r="G17" s="106" t="s">
        <v>575</v>
      </c>
      <c r="H17" s="99"/>
      <c r="I17" s="99"/>
      <c r="J17" s="99"/>
      <c r="K17" s="99"/>
      <c r="L17" s="99"/>
      <c r="M17" s="99"/>
      <c r="N17" s="99"/>
      <c r="O17" s="99"/>
      <c r="P17" s="99"/>
      <c r="Q17" s="99"/>
      <c r="R17" s="99"/>
      <c r="S17" s="99"/>
      <c r="T17" s="88" t="s">
        <v>844</v>
      </c>
      <c r="U17" s="88" t="s">
        <v>834</v>
      </c>
      <c r="V17" s="88" t="s">
        <v>835</v>
      </c>
      <c r="W17" s="88" t="s">
        <v>836</v>
      </c>
      <c r="X17" s="88"/>
      <c r="Y17" s="88"/>
      <c r="Z17" s="93"/>
    </row>
    <row r="18" spans="1:26" x14ac:dyDescent="0.3">
      <c r="A18" s="87" t="s">
        <v>830</v>
      </c>
      <c r="B18" s="87" t="s">
        <v>146</v>
      </c>
      <c r="C18" s="87" t="s">
        <v>161</v>
      </c>
      <c r="D18" s="87" t="s">
        <v>848</v>
      </c>
      <c r="E18" s="87" t="s">
        <v>849</v>
      </c>
      <c r="F18" s="105" t="s">
        <v>153</v>
      </c>
      <c r="G18" s="105" t="s">
        <v>575</v>
      </c>
      <c r="H18" s="98"/>
      <c r="I18" s="98"/>
      <c r="J18" s="98"/>
      <c r="K18" s="98"/>
      <c r="L18" s="98"/>
      <c r="M18" s="98"/>
      <c r="N18" s="98"/>
      <c r="O18" s="98"/>
      <c r="P18" s="98"/>
      <c r="Q18" s="98"/>
      <c r="R18" s="98"/>
      <c r="S18" s="98"/>
      <c r="T18" s="87" t="s">
        <v>844</v>
      </c>
      <c r="U18" s="87" t="s">
        <v>834</v>
      </c>
      <c r="V18" s="87" t="s">
        <v>835</v>
      </c>
      <c r="W18" s="87" t="s">
        <v>836</v>
      </c>
      <c r="X18" s="87"/>
      <c r="Y18" s="87"/>
      <c r="Z18" s="92"/>
    </row>
    <row r="19" spans="1:26" x14ac:dyDescent="0.3">
      <c r="A19" s="86" t="s">
        <v>830</v>
      </c>
      <c r="B19" s="86" t="s">
        <v>146</v>
      </c>
      <c r="C19" s="86" t="s">
        <v>168</v>
      </c>
      <c r="D19" s="86" t="s">
        <v>155</v>
      </c>
      <c r="E19" s="86" t="s">
        <v>850</v>
      </c>
      <c r="F19" s="104"/>
      <c r="G19" s="104"/>
      <c r="H19" s="97"/>
      <c r="I19" s="97"/>
      <c r="J19" s="97"/>
      <c r="K19" s="97"/>
      <c r="L19" s="97"/>
      <c r="M19" s="97"/>
      <c r="N19" s="97"/>
      <c r="O19" s="97"/>
      <c r="P19" s="97"/>
      <c r="Q19" s="97"/>
      <c r="R19" s="97"/>
      <c r="S19" s="97"/>
      <c r="T19" s="86"/>
      <c r="U19" s="86"/>
      <c r="V19" s="86"/>
      <c r="W19" s="86"/>
      <c r="X19" s="86"/>
      <c r="Y19" s="86"/>
      <c r="Z19" s="91"/>
    </row>
    <row r="20" spans="1:26" x14ac:dyDescent="0.3">
      <c r="A20" s="87" t="s">
        <v>830</v>
      </c>
      <c r="B20" s="87" t="s">
        <v>146</v>
      </c>
      <c r="C20" s="87" t="s">
        <v>168</v>
      </c>
      <c r="D20" s="87" t="s">
        <v>851</v>
      </c>
      <c r="E20" s="87" t="s">
        <v>48</v>
      </c>
      <c r="F20" s="105" t="s">
        <v>153</v>
      </c>
      <c r="G20" s="105" t="s">
        <v>575</v>
      </c>
      <c r="H20" s="98"/>
      <c r="I20" s="98"/>
      <c r="J20" s="98"/>
      <c r="K20" s="98"/>
      <c r="L20" s="98"/>
      <c r="M20" s="98"/>
      <c r="N20" s="98"/>
      <c r="O20" s="98"/>
      <c r="P20" s="98"/>
      <c r="Q20" s="98"/>
      <c r="R20" s="98"/>
      <c r="S20" s="98"/>
      <c r="T20" s="87" t="s">
        <v>839</v>
      </c>
      <c r="U20" s="87" t="s">
        <v>834</v>
      </c>
      <c r="V20" s="87" t="s">
        <v>835</v>
      </c>
      <c r="W20" s="87" t="s">
        <v>836</v>
      </c>
      <c r="X20" s="87"/>
      <c r="Y20" s="87"/>
      <c r="Z20" s="92"/>
    </row>
    <row r="21" spans="1:26" x14ac:dyDescent="0.3">
      <c r="A21" s="88" t="s">
        <v>830</v>
      </c>
      <c r="B21" s="88" t="s">
        <v>146</v>
      </c>
      <c r="C21" s="88" t="s">
        <v>168</v>
      </c>
      <c r="D21" s="88" t="s">
        <v>852</v>
      </c>
      <c r="E21" s="88" t="s">
        <v>169</v>
      </c>
      <c r="F21" s="106" t="s">
        <v>153</v>
      </c>
      <c r="G21" s="106" t="s">
        <v>575</v>
      </c>
      <c r="H21" s="99"/>
      <c r="I21" s="99"/>
      <c r="J21" s="99"/>
      <c r="K21" s="99"/>
      <c r="L21" s="99"/>
      <c r="M21" s="99"/>
      <c r="N21" s="99"/>
      <c r="O21" s="99"/>
      <c r="P21" s="99"/>
      <c r="Q21" s="99"/>
      <c r="R21" s="99"/>
      <c r="S21" s="99"/>
      <c r="T21" s="88" t="s">
        <v>839</v>
      </c>
      <c r="U21" s="88" t="s">
        <v>834</v>
      </c>
      <c r="V21" s="88" t="s">
        <v>835</v>
      </c>
      <c r="W21" s="88" t="s">
        <v>836</v>
      </c>
      <c r="X21" s="88"/>
      <c r="Y21" s="88"/>
      <c r="Z21" s="93"/>
    </row>
    <row r="22" spans="1:26" x14ac:dyDescent="0.3">
      <c r="A22" s="87" t="s">
        <v>830</v>
      </c>
      <c r="B22" s="87" t="s">
        <v>146</v>
      </c>
      <c r="C22" s="87" t="s">
        <v>168</v>
      </c>
      <c r="D22" s="87" t="s">
        <v>853</v>
      </c>
      <c r="E22" s="87" t="s">
        <v>170</v>
      </c>
      <c r="F22" s="105" t="s">
        <v>153</v>
      </c>
      <c r="G22" s="105" t="s">
        <v>575</v>
      </c>
      <c r="H22" s="98"/>
      <c r="I22" s="98"/>
      <c r="J22" s="98"/>
      <c r="K22" s="98"/>
      <c r="L22" s="98"/>
      <c r="M22" s="98"/>
      <c r="N22" s="98"/>
      <c r="O22" s="98"/>
      <c r="P22" s="98"/>
      <c r="Q22" s="98"/>
      <c r="R22" s="98"/>
      <c r="S22" s="98"/>
      <c r="T22" s="87" t="s">
        <v>839</v>
      </c>
      <c r="U22" s="87" t="s">
        <v>834</v>
      </c>
      <c r="V22" s="87" t="s">
        <v>835</v>
      </c>
      <c r="W22" s="87" t="s">
        <v>836</v>
      </c>
      <c r="X22" s="87"/>
      <c r="Y22" s="87"/>
      <c r="Z22" s="92"/>
    </row>
    <row r="23" spans="1:26" x14ac:dyDescent="0.3">
      <c r="A23" s="88" t="s">
        <v>830</v>
      </c>
      <c r="B23" s="88" t="s">
        <v>146</v>
      </c>
      <c r="C23" s="88" t="s">
        <v>168</v>
      </c>
      <c r="D23" s="88" t="s">
        <v>854</v>
      </c>
      <c r="E23" s="88" t="s">
        <v>171</v>
      </c>
      <c r="F23" s="106" t="s">
        <v>153</v>
      </c>
      <c r="G23" s="106" t="s">
        <v>575</v>
      </c>
      <c r="H23" s="99"/>
      <c r="I23" s="99"/>
      <c r="J23" s="99"/>
      <c r="K23" s="99"/>
      <c r="L23" s="99"/>
      <c r="M23" s="99"/>
      <c r="N23" s="99"/>
      <c r="O23" s="99"/>
      <c r="P23" s="99"/>
      <c r="Q23" s="99"/>
      <c r="R23" s="99"/>
      <c r="S23" s="99"/>
      <c r="T23" s="88" t="s">
        <v>855</v>
      </c>
      <c r="U23" s="88" t="s">
        <v>834</v>
      </c>
      <c r="V23" s="88" t="s">
        <v>835</v>
      </c>
      <c r="W23" s="88" t="s">
        <v>836</v>
      </c>
      <c r="X23" s="88"/>
      <c r="Y23" s="88"/>
      <c r="Z23" s="93"/>
    </row>
    <row r="24" spans="1:26" x14ac:dyDescent="0.3">
      <c r="A24" s="87" t="s">
        <v>830</v>
      </c>
      <c r="B24" s="87" t="s">
        <v>146</v>
      </c>
      <c r="C24" s="87" t="s">
        <v>168</v>
      </c>
      <c r="D24" s="87" t="s">
        <v>856</v>
      </c>
      <c r="E24" s="87" t="s">
        <v>172</v>
      </c>
      <c r="F24" s="105" t="s">
        <v>153</v>
      </c>
      <c r="G24" s="105" t="s">
        <v>575</v>
      </c>
      <c r="H24" s="98"/>
      <c r="I24" s="98"/>
      <c r="J24" s="98"/>
      <c r="K24" s="98"/>
      <c r="L24" s="98"/>
      <c r="M24" s="98"/>
      <c r="N24" s="98"/>
      <c r="O24" s="98"/>
      <c r="P24" s="98"/>
      <c r="Q24" s="98"/>
      <c r="R24" s="98"/>
      <c r="S24" s="98"/>
      <c r="T24" s="87" t="s">
        <v>839</v>
      </c>
      <c r="U24" s="87" t="s">
        <v>834</v>
      </c>
      <c r="V24" s="87" t="s">
        <v>835</v>
      </c>
      <c r="W24" s="87" t="s">
        <v>836</v>
      </c>
      <c r="X24" s="87"/>
      <c r="Y24" s="87"/>
      <c r="Z24" s="92"/>
    </row>
    <row r="25" spans="1:26" x14ac:dyDescent="0.3">
      <c r="A25" s="86" t="s">
        <v>830</v>
      </c>
      <c r="B25" s="86" t="s">
        <v>146</v>
      </c>
      <c r="C25" s="86" t="s">
        <v>173</v>
      </c>
      <c r="D25" s="86" t="s">
        <v>156</v>
      </c>
      <c r="E25" s="86" t="s">
        <v>857</v>
      </c>
      <c r="F25" s="104"/>
      <c r="G25" s="104"/>
      <c r="H25" s="97"/>
      <c r="I25" s="97"/>
      <c r="J25" s="97"/>
      <c r="K25" s="97"/>
      <c r="L25" s="97"/>
      <c r="M25" s="97"/>
      <c r="N25" s="97"/>
      <c r="O25" s="97"/>
      <c r="P25" s="97"/>
      <c r="Q25" s="97"/>
      <c r="R25" s="97"/>
      <c r="S25" s="97"/>
      <c r="T25" s="86"/>
      <c r="U25" s="86"/>
      <c r="V25" s="86"/>
      <c r="W25" s="86"/>
      <c r="X25" s="86"/>
      <c r="Y25" s="86"/>
      <c r="Z25" s="91"/>
    </row>
    <row r="26" spans="1:26" x14ac:dyDescent="0.3">
      <c r="A26" s="87" t="s">
        <v>830</v>
      </c>
      <c r="B26" s="87" t="s">
        <v>146</v>
      </c>
      <c r="C26" s="87" t="s">
        <v>173</v>
      </c>
      <c r="D26" s="87" t="s">
        <v>858</v>
      </c>
      <c r="E26" s="87" t="s">
        <v>174</v>
      </c>
      <c r="F26" s="105" t="s">
        <v>153</v>
      </c>
      <c r="G26" s="105" t="s">
        <v>575</v>
      </c>
      <c r="H26" s="98"/>
      <c r="I26" s="98"/>
      <c r="J26" s="98"/>
      <c r="K26" s="98"/>
      <c r="L26" s="98"/>
      <c r="M26" s="98"/>
      <c r="N26" s="98"/>
      <c r="O26" s="98"/>
      <c r="P26" s="98"/>
      <c r="Q26" s="98"/>
      <c r="R26" s="98"/>
      <c r="S26" s="98"/>
      <c r="T26" s="87" t="s">
        <v>839</v>
      </c>
      <c r="U26" s="87" t="s">
        <v>834</v>
      </c>
      <c r="V26" s="87" t="s">
        <v>835</v>
      </c>
      <c r="W26" s="87" t="s">
        <v>836</v>
      </c>
      <c r="X26" s="87"/>
      <c r="Y26" s="87"/>
      <c r="Z26" s="92"/>
    </row>
    <row r="27" spans="1:26" x14ac:dyDescent="0.3">
      <c r="A27" s="88" t="s">
        <v>830</v>
      </c>
      <c r="B27" s="88" t="s">
        <v>146</v>
      </c>
      <c r="C27" s="88" t="s">
        <v>173</v>
      </c>
      <c r="D27" s="88" t="s">
        <v>859</v>
      </c>
      <c r="E27" s="88" t="s">
        <v>49</v>
      </c>
      <c r="F27" s="106" t="s">
        <v>153</v>
      </c>
      <c r="G27" s="106" t="s">
        <v>575</v>
      </c>
      <c r="H27" s="99"/>
      <c r="I27" s="99"/>
      <c r="J27" s="99"/>
      <c r="K27" s="99"/>
      <c r="L27" s="99"/>
      <c r="M27" s="99"/>
      <c r="N27" s="99"/>
      <c r="O27" s="99"/>
      <c r="P27" s="99"/>
      <c r="Q27" s="99"/>
      <c r="R27" s="99"/>
      <c r="S27" s="99"/>
      <c r="T27" s="88" t="s">
        <v>839</v>
      </c>
      <c r="U27" s="88" t="s">
        <v>834</v>
      </c>
      <c r="V27" s="88" t="s">
        <v>835</v>
      </c>
      <c r="W27" s="88" t="s">
        <v>836</v>
      </c>
      <c r="X27" s="88"/>
      <c r="Y27" s="88"/>
      <c r="Z27" s="93"/>
    </row>
    <row r="28" spans="1:26" x14ac:dyDescent="0.3">
      <c r="A28" s="87" t="s">
        <v>830</v>
      </c>
      <c r="B28" s="87" t="s">
        <v>146</v>
      </c>
      <c r="C28" s="87" t="s">
        <v>173</v>
      </c>
      <c r="D28" s="87" t="s">
        <v>860</v>
      </c>
      <c r="E28" s="87" t="s">
        <v>175</v>
      </c>
      <c r="F28" s="105" t="s">
        <v>153</v>
      </c>
      <c r="G28" s="105" t="s">
        <v>575</v>
      </c>
      <c r="H28" s="98"/>
      <c r="I28" s="98"/>
      <c r="J28" s="98"/>
      <c r="K28" s="98"/>
      <c r="L28" s="98"/>
      <c r="M28" s="98"/>
      <c r="N28" s="98"/>
      <c r="O28" s="98"/>
      <c r="P28" s="98"/>
      <c r="Q28" s="98"/>
      <c r="R28" s="98"/>
      <c r="S28" s="98"/>
      <c r="T28" s="87" t="s">
        <v>839</v>
      </c>
      <c r="U28" s="87" t="s">
        <v>834</v>
      </c>
      <c r="V28" s="87" t="s">
        <v>835</v>
      </c>
      <c r="W28" s="87" t="s">
        <v>836</v>
      </c>
      <c r="X28" s="87"/>
      <c r="Y28" s="87"/>
      <c r="Z28" s="92"/>
    </row>
    <row r="29" spans="1:26" x14ac:dyDescent="0.3">
      <c r="A29" s="88" t="s">
        <v>830</v>
      </c>
      <c r="B29" s="88" t="s">
        <v>146</v>
      </c>
      <c r="C29" s="88" t="s">
        <v>173</v>
      </c>
      <c r="D29" s="88" t="s">
        <v>861</v>
      </c>
      <c r="E29" s="88" t="s">
        <v>176</v>
      </c>
      <c r="F29" s="106" t="s">
        <v>153</v>
      </c>
      <c r="G29" s="106" t="s">
        <v>575</v>
      </c>
      <c r="H29" s="99"/>
      <c r="I29" s="99"/>
      <c r="J29" s="99"/>
      <c r="K29" s="99"/>
      <c r="L29" s="99"/>
      <c r="M29" s="99"/>
      <c r="N29" s="99"/>
      <c r="O29" s="99"/>
      <c r="P29" s="99"/>
      <c r="Q29" s="99"/>
      <c r="R29" s="99"/>
      <c r="S29" s="99"/>
      <c r="T29" s="88" t="s">
        <v>839</v>
      </c>
      <c r="U29" s="88" t="s">
        <v>834</v>
      </c>
      <c r="V29" s="88" t="s">
        <v>835</v>
      </c>
      <c r="W29" s="88" t="s">
        <v>836</v>
      </c>
      <c r="X29" s="88"/>
      <c r="Y29" s="88"/>
      <c r="Z29" s="93"/>
    </row>
    <row r="30" spans="1:26" x14ac:dyDescent="0.3">
      <c r="A30" s="87" t="s">
        <v>830</v>
      </c>
      <c r="B30" s="87" t="s">
        <v>146</v>
      </c>
      <c r="C30" s="87" t="s">
        <v>173</v>
      </c>
      <c r="D30" s="87" t="s">
        <v>862</v>
      </c>
      <c r="E30" s="87" t="s">
        <v>863</v>
      </c>
      <c r="F30" s="105" t="s">
        <v>153</v>
      </c>
      <c r="G30" s="105" t="s">
        <v>575</v>
      </c>
      <c r="H30" s="98"/>
      <c r="I30" s="98"/>
      <c r="J30" s="98"/>
      <c r="K30" s="98"/>
      <c r="L30" s="98"/>
      <c r="M30" s="98"/>
      <c r="N30" s="98"/>
      <c r="O30" s="98"/>
      <c r="P30" s="98"/>
      <c r="Q30" s="98"/>
      <c r="R30" s="98"/>
      <c r="S30" s="98"/>
      <c r="T30" s="87" t="s">
        <v>839</v>
      </c>
      <c r="U30" s="87" t="s">
        <v>834</v>
      </c>
      <c r="V30" s="87" t="s">
        <v>835</v>
      </c>
      <c r="W30" s="87" t="s">
        <v>836</v>
      </c>
      <c r="X30" s="87"/>
      <c r="Y30" s="87"/>
      <c r="Z30" s="92"/>
    </row>
    <row r="31" spans="1:26" x14ac:dyDescent="0.3">
      <c r="A31" s="86" t="s">
        <v>830</v>
      </c>
      <c r="B31" s="86" t="s">
        <v>146</v>
      </c>
      <c r="C31" s="86" t="s">
        <v>177</v>
      </c>
      <c r="D31" s="86" t="s">
        <v>158</v>
      </c>
      <c r="E31" s="86" t="s">
        <v>864</v>
      </c>
      <c r="F31" s="104"/>
      <c r="G31" s="104"/>
      <c r="H31" s="97"/>
      <c r="I31" s="97"/>
      <c r="J31" s="97"/>
      <c r="K31" s="97"/>
      <c r="L31" s="97"/>
      <c r="M31" s="97"/>
      <c r="N31" s="97"/>
      <c r="O31" s="97"/>
      <c r="P31" s="97"/>
      <c r="Q31" s="97"/>
      <c r="R31" s="97"/>
      <c r="S31" s="97"/>
      <c r="T31" s="86"/>
      <c r="U31" s="86"/>
      <c r="V31" s="86"/>
      <c r="W31" s="86"/>
      <c r="X31" s="86"/>
      <c r="Y31" s="86"/>
      <c r="Z31" s="91"/>
    </row>
    <row r="32" spans="1:26" x14ac:dyDescent="0.3">
      <c r="A32" s="87" t="s">
        <v>830</v>
      </c>
      <c r="B32" s="87" t="s">
        <v>146</v>
      </c>
      <c r="C32" s="87" t="s">
        <v>177</v>
      </c>
      <c r="D32" s="87" t="s">
        <v>865</v>
      </c>
      <c r="E32" s="87" t="s">
        <v>178</v>
      </c>
      <c r="F32" s="105" t="s">
        <v>153</v>
      </c>
      <c r="G32" s="105" t="s">
        <v>575</v>
      </c>
      <c r="H32" s="98"/>
      <c r="I32" s="98"/>
      <c r="J32" s="98"/>
      <c r="K32" s="98"/>
      <c r="L32" s="98"/>
      <c r="M32" s="98"/>
      <c r="N32" s="98"/>
      <c r="O32" s="98"/>
      <c r="P32" s="98"/>
      <c r="Q32" s="98"/>
      <c r="R32" s="98"/>
      <c r="S32" s="98"/>
      <c r="T32" s="87" t="s">
        <v>844</v>
      </c>
      <c r="U32" s="87" t="s">
        <v>834</v>
      </c>
      <c r="V32" s="87" t="s">
        <v>835</v>
      </c>
      <c r="W32" s="87" t="s">
        <v>836</v>
      </c>
      <c r="X32" s="87"/>
      <c r="Y32" s="87"/>
      <c r="Z32" s="92"/>
    </row>
    <row r="33" spans="1:26" x14ac:dyDescent="0.3">
      <c r="A33" s="88" t="s">
        <v>830</v>
      </c>
      <c r="B33" s="88" t="s">
        <v>146</v>
      </c>
      <c r="C33" s="88" t="s">
        <v>177</v>
      </c>
      <c r="D33" s="88" t="s">
        <v>866</v>
      </c>
      <c r="E33" s="88" t="s">
        <v>179</v>
      </c>
      <c r="F33" s="106" t="s">
        <v>153</v>
      </c>
      <c r="G33" s="106" t="s">
        <v>575</v>
      </c>
      <c r="H33" s="99"/>
      <c r="I33" s="99"/>
      <c r="J33" s="99"/>
      <c r="K33" s="99"/>
      <c r="L33" s="99"/>
      <c r="M33" s="99"/>
      <c r="N33" s="99"/>
      <c r="O33" s="99"/>
      <c r="P33" s="99"/>
      <c r="Q33" s="99"/>
      <c r="R33" s="99"/>
      <c r="S33" s="99"/>
      <c r="T33" s="88" t="s">
        <v>844</v>
      </c>
      <c r="U33" s="88" t="s">
        <v>834</v>
      </c>
      <c r="V33" s="88" t="s">
        <v>835</v>
      </c>
      <c r="W33" s="88" t="s">
        <v>836</v>
      </c>
      <c r="X33" s="88"/>
      <c r="Y33" s="88"/>
      <c r="Z33" s="93"/>
    </row>
    <row r="34" spans="1:26" x14ac:dyDescent="0.3">
      <c r="A34" s="87" t="s">
        <v>830</v>
      </c>
      <c r="B34" s="87" t="s">
        <v>146</v>
      </c>
      <c r="C34" s="87" t="s">
        <v>177</v>
      </c>
      <c r="D34" s="87" t="s">
        <v>867</v>
      </c>
      <c r="E34" s="87" t="s">
        <v>180</v>
      </c>
      <c r="F34" s="105" t="s">
        <v>153</v>
      </c>
      <c r="G34" s="105" t="s">
        <v>575</v>
      </c>
      <c r="H34" s="98"/>
      <c r="I34" s="98"/>
      <c r="J34" s="98"/>
      <c r="K34" s="98"/>
      <c r="L34" s="98"/>
      <c r="M34" s="98"/>
      <c r="N34" s="98"/>
      <c r="O34" s="98"/>
      <c r="P34" s="98"/>
      <c r="Q34" s="98"/>
      <c r="R34" s="98"/>
      <c r="S34" s="98"/>
      <c r="T34" s="87" t="s">
        <v>844</v>
      </c>
      <c r="U34" s="87" t="s">
        <v>834</v>
      </c>
      <c r="V34" s="87" t="s">
        <v>835</v>
      </c>
      <c r="W34" s="87" t="s">
        <v>836</v>
      </c>
      <c r="X34" s="87"/>
      <c r="Y34" s="87"/>
      <c r="Z34" s="92"/>
    </row>
    <row r="35" spans="1:26" x14ac:dyDescent="0.3">
      <c r="A35" s="86" t="s">
        <v>830</v>
      </c>
      <c r="B35" s="86" t="s">
        <v>146</v>
      </c>
      <c r="C35" s="86" t="s">
        <v>181</v>
      </c>
      <c r="D35" s="86" t="s">
        <v>160</v>
      </c>
      <c r="E35" s="86" t="s">
        <v>868</v>
      </c>
      <c r="F35" s="104"/>
      <c r="G35" s="104"/>
      <c r="H35" s="97"/>
      <c r="I35" s="97"/>
      <c r="J35" s="97"/>
      <c r="K35" s="97"/>
      <c r="L35" s="97"/>
      <c r="M35" s="97"/>
      <c r="N35" s="97"/>
      <c r="O35" s="97"/>
      <c r="P35" s="97"/>
      <c r="Q35" s="97"/>
      <c r="R35" s="97"/>
      <c r="S35" s="97"/>
      <c r="T35" s="86"/>
      <c r="U35" s="86"/>
      <c r="V35" s="86"/>
      <c r="W35" s="86"/>
      <c r="X35" s="86"/>
      <c r="Y35" s="86"/>
      <c r="Z35" s="91"/>
    </row>
    <row r="36" spans="1:26" x14ac:dyDescent="0.3">
      <c r="A36" s="87" t="s">
        <v>830</v>
      </c>
      <c r="B36" s="87" t="s">
        <v>146</v>
      </c>
      <c r="C36" s="87" t="s">
        <v>181</v>
      </c>
      <c r="D36" s="87" t="s">
        <v>869</v>
      </c>
      <c r="E36" s="87" t="s">
        <v>53</v>
      </c>
      <c r="F36" s="105" t="s">
        <v>153</v>
      </c>
      <c r="G36" s="105" t="s">
        <v>575</v>
      </c>
      <c r="H36" s="98"/>
      <c r="I36" s="98"/>
      <c r="J36" s="98"/>
      <c r="K36" s="98"/>
      <c r="L36" s="98"/>
      <c r="M36" s="98"/>
      <c r="N36" s="98"/>
      <c r="O36" s="98"/>
      <c r="P36" s="98"/>
      <c r="Q36" s="98"/>
      <c r="R36" s="98"/>
      <c r="S36" s="98"/>
      <c r="T36" s="87" t="s">
        <v>844</v>
      </c>
      <c r="U36" s="87" t="s">
        <v>834</v>
      </c>
      <c r="V36" s="87" t="s">
        <v>835</v>
      </c>
      <c r="W36" s="87" t="s">
        <v>836</v>
      </c>
      <c r="X36" s="87"/>
      <c r="Y36" s="87"/>
      <c r="Z36" s="92"/>
    </row>
    <row r="37" spans="1:26" x14ac:dyDescent="0.3">
      <c r="A37" s="88" t="s">
        <v>830</v>
      </c>
      <c r="B37" s="88" t="s">
        <v>146</v>
      </c>
      <c r="C37" s="88" t="s">
        <v>181</v>
      </c>
      <c r="D37" s="88" t="s">
        <v>870</v>
      </c>
      <c r="E37" s="88" t="s">
        <v>55</v>
      </c>
      <c r="F37" s="106" t="s">
        <v>153</v>
      </c>
      <c r="G37" s="106" t="s">
        <v>575</v>
      </c>
      <c r="H37" s="99"/>
      <c r="I37" s="99"/>
      <c r="J37" s="99"/>
      <c r="K37" s="99"/>
      <c r="L37" s="99"/>
      <c r="M37" s="99"/>
      <c r="N37" s="99"/>
      <c r="O37" s="99"/>
      <c r="P37" s="99"/>
      <c r="Q37" s="99"/>
      <c r="R37" s="99"/>
      <c r="S37" s="99"/>
      <c r="T37" s="88" t="s">
        <v>844</v>
      </c>
      <c r="U37" s="88" t="s">
        <v>834</v>
      </c>
      <c r="V37" s="88" t="s">
        <v>835</v>
      </c>
      <c r="W37" s="88" t="s">
        <v>836</v>
      </c>
      <c r="X37" s="88"/>
      <c r="Y37" s="88"/>
      <c r="Z37" s="93"/>
    </row>
    <row r="38" spans="1:26" x14ac:dyDescent="0.3">
      <c r="A38" s="87" t="s">
        <v>830</v>
      </c>
      <c r="B38" s="87" t="s">
        <v>146</v>
      </c>
      <c r="C38" s="87" t="s">
        <v>181</v>
      </c>
      <c r="D38" s="87" t="s">
        <v>871</v>
      </c>
      <c r="E38" s="87" t="s">
        <v>56</v>
      </c>
      <c r="F38" s="105" t="s">
        <v>153</v>
      </c>
      <c r="G38" s="105" t="s">
        <v>575</v>
      </c>
      <c r="H38" s="98"/>
      <c r="I38" s="98"/>
      <c r="J38" s="98"/>
      <c r="K38" s="98"/>
      <c r="L38" s="98"/>
      <c r="M38" s="98"/>
      <c r="N38" s="98"/>
      <c r="O38" s="98"/>
      <c r="P38" s="98"/>
      <c r="Q38" s="98"/>
      <c r="R38" s="98"/>
      <c r="S38" s="98"/>
      <c r="T38" s="87" t="s">
        <v>844</v>
      </c>
      <c r="U38" s="87" t="s">
        <v>834</v>
      </c>
      <c r="V38" s="87" t="s">
        <v>835</v>
      </c>
      <c r="W38" s="87" t="s">
        <v>836</v>
      </c>
      <c r="X38" s="87"/>
      <c r="Y38" s="87"/>
      <c r="Z38" s="92"/>
    </row>
    <row r="39" spans="1:26" x14ac:dyDescent="0.3">
      <c r="A39" s="88" t="s">
        <v>830</v>
      </c>
      <c r="B39" s="88" t="s">
        <v>146</v>
      </c>
      <c r="C39" s="88" t="s">
        <v>181</v>
      </c>
      <c r="D39" s="88" t="s">
        <v>872</v>
      </c>
      <c r="E39" s="88" t="s">
        <v>58</v>
      </c>
      <c r="F39" s="106" t="s">
        <v>153</v>
      </c>
      <c r="G39" s="106" t="s">
        <v>575</v>
      </c>
      <c r="H39" s="99"/>
      <c r="I39" s="99"/>
      <c r="J39" s="99"/>
      <c r="K39" s="99"/>
      <c r="L39" s="99"/>
      <c r="M39" s="99"/>
      <c r="N39" s="99"/>
      <c r="O39" s="99"/>
      <c r="P39" s="99"/>
      <c r="Q39" s="99"/>
      <c r="R39" s="99"/>
      <c r="S39" s="99"/>
      <c r="T39" s="88" t="s">
        <v>844</v>
      </c>
      <c r="U39" s="88" t="s">
        <v>834</v>
      </c>
      <c r="V39" s="88" t="s">
        <v>835</v>
      </c>
      <c r="W39" s="88" t="s">
        <v>836</v>
      </c>
      <c r="X39" s="88"/>
      <c r="Y39" s="88"/>
      <c r="Z39" s="93"/>
    </row>
    <row r="40" spans="1:26" x14ac:dyDescent="0.3">
      <c r="A40" s="87" t="s">
        <v>830</v>
      </c>
      <c r="B40" s="87" t="s">
        <v>146</v>
      </c>
      <c r="C40" s="87" t="s">
        <v>181</v>
      </c>
      <c r="D40" s="87" t="s">
        <v>873</v>
      </c>
      <c r="E40" s="87" t="s">
        <v>182</v>
      </c>
      <c r="F40" s="105" t="s">
        <v>153</v>
      </c>
      <c r="G40" s="105" t="s">
        <v>575</v>
      </c>
      <c r="H40" s="98"/>
      <c r="I40" s="98"/>
      <c r="J40" s="98"/>
      <c r="K40" s="98"/>
      <c r="L40" s="98"/>
      <c r="M40" s="98"/>
      <c r="N40" s="98"/>
      <c r="O40" s="98"/>
      <c r="P40" s="98"/>
      <c r="Q40" s="98"/>
      <c r="R40" s="98"/>
      <c r="S40" s="98"/>
      <c r="T40" s="87" t="s">
        <v>844</v>
      </c>
      <c r="U40" s="87" t="s">
        <v>834</v>
      </c>
      <c r="V40" s="87" t="s">
        <v>835</v>
      </c>
      <c r="W40" s="87" t="s">
        <v>836</v>
      </c>
      <c r="X40" s="87"/>
      <c r="Y40" s="87"/>
      <c r="Z40" s="92"/>
    </row>
    <row r="41" spans="1:26" x14ac:dyDescent="0.3">
      <c r="A41" s="86" t="s">
        <v>830</v>
      </c>
      <c r="B41" s="86" t="s">
        <v>146</v>
      </c>
      <c r="C41" s="86" t="s">
        <v>183</v>
      </c>
      <c r="D41" s="86" t="s">
        <v>162</v>
      </c>
      <c r="E41" s="86" t="s">
        <v>874</v>
      </c>
      <c r="F41" s="104"/>
      <c r="G41" s="104"/>
      <c r="H41" s="97"/>
      <c r="I41" s="97"/>
      <c r="J41" s="97"/>
      <c r="K41" s="97"/>
      <c r="L41" s="97"/>
      <c r="M41" s="97"/>
      <c r="N41" s="97"/>
      <c r="O41" s="97"/>
      <c r="P41" s="97"/>
      <c r="Q41" s="97"/>
      <c r="R41" s="97"/>
      <c r="S41" s="97"/>
      <c r="T41" s="86"/>
      <c r="U41" s="86"/>
      <c r="V41" s="86"/>
      <c r="W41" s="86"/>
      <c r="X41" s="86"/>
      <c r="Y41" s="86"/>
      <c r="Z41" s="91"/>
    </row>
    <row r="42" spans="1:26" x14ac:dyDescent="0.3">
      <c r="A42" s="87" t="s">
        <v>830</v>
      </c>
      <c r="B42" s="87" t="s">
        <v>146</v>
      </c>
      <c r="C42" s="87" t="s">
        <v>183</v>
      </c>
      <c r="D42" s="87" t="s">
        <v>875</v>
      </c>
      <c r="E42" s="87" t="s">
        <v>184</v>
      </c>
      <c r="F42" s="105" t="s">
        <v>153</v>
      </c>
      <c r="G42" s="105" t="s">
        <v>575</v>
      </c>
      <c r="H42" s="98"/>
      <c r="I42" s="98"/>
      <c r="J42" s="98"/>
      <c r="K42" s="98"/>
      <c r="L42" s="98"/>
      <c r="M42" s="98"/>
      <c r="N42" s="98"/>
      <c r="O42" s="98"/>
      <c r="P42" s="98"/>
      <c r="Q42" s="98"/>
      <c r="R42" s="98"/>
      <c r="S42" s="98"/>
      <c r="T42" s="87" t="s">
        <v>839</v>
      </c>
      <c r="U42" s="87" t="s">
        <v>834</v>
      </c>
      <c r="V42" s="87" t="s">
        <v>835</v>
      </c>
      <c r="W42" s="87" t="s">
        <v>836</v>
      </c>
      <c r="X42" s="87"/>
      <c r="Y42" s="87"/>
      <c r="Z42" s="92"/>
    </row>
    <row r="43" spans="1:26" x14ac:dyDescent="0.3">
      <c r="A43" s="88" t="s">
        <v>830</v>
      </c>
      <c r="B43" s="88" t="s">
        <v>146</v>
      </c>
      <c r="C43" s="88" t="s">
        <v>183</v>
      </c>
      <c r="D43" s="88" t="s">
        <v>876</v>
      </c>
      <c r="E43" s="88" t="s">
        <v>185</v>
      </c>
      <c r="F43" s="106" t="s">
        <v>153</v>
      </c>
      <c r="G43" s="106" t="s">
        <v>575</v>
      </c>
      <c r="H43" s="99"/>
      <c r="I43" s="99"/>
      <c r="J43" s="99"/>
      <c r="K43" s="99"/>
      <c r="L43" s="99"/>
      <c r="M43" s="99"/>
      <c r="N43" s="99"/>
      <c r="O43" s="99"/>
      <c r="P43" s="99"/>
      <c r="Q43" s="99"/>
      <c r="R43" s="99"/>
      <c r="S43" s="99"/>
      <c r="T43" s="88" t="s">
        <v>839</v>
      </c>
      <c r="U43" s="88" t="s">
        <v>834</v>
      </c>
      <c r="V43" s="88" t="s">
        <v>835</v>
      </c>
      <c r="W43" s="88" t="s">
        <v>836</v>
      </c>
      <c r="X43" s="88"/>
      <c r="Y43" s="88"/>
      <c r="Z43" s="93"/>
    </row>
    <row r="44" spans="1:26" x14ac:dyDescent="0.3">
      <c r="A44" s="87" t="s">
        <v>830</v>
      </c>
      <c r="B44" s="87" t="s">
        <v>146</v>
      </c>
      <c r="C44" s="87" t="s">
        <v>183</v>
      </c>
      <c r="D44" s="87" t="s">
        <v>877</v>
      </c>
      <c r="E44" s="87" t="s">
        <v>186</v>
      </c>
      <c r="F44" s="105" t="s">
        <v>153</v>
      </c>
      <c r="G44" s="105" t="s">
        <v>575</v>
      </c>
      <c r="H44" s="98"/>
      <c r="I44" s="98"/>
      <c r="J44" s="98"/>
      <c r="K44" s="98"/>
      <c r="L44" s="98"/>
      <c r="M44" s="98"/>
      <c r="N44" s="98"/>
      <c r="O44" s="98"/>
      <c r="P44" s="98"/>
      <c r="Q44" s="98"/>
      <c r="R44" s="98"/>
      <c r="S44" s="98"/>
      <c r="T44" s="87" t="s">
        <v>839</v>
      </c>
      <c r="U44" s="87" t="s">
        <v>834</v>
      </c>
      <c r="V44" s="87" t="s">
        <v>835</v>
      </c>
      <c r="W44" s="87" t="s">
        <v>836</v>
      </c>
      <c r="X44" s="87"/>
      <c r="Y44" s="87"/>
      <c r="Z44" s="92"/>
    </row>
    <row r="45" spans="1:26" x14ac:dyDescent="0.3">
      <c r="A45" s="88" t="s">
        <v>830</v>
      </c>
      <c r="B45" s="88" t="s">
        <v>146</v>
      </c>
      <c r="C45" s="88" t="s">
        <v>183</v>
      </c>
      <c r="D45" s="88" t="s">
        <v>878</v>
      </c>
      <c r="E45" s="88" t="s">
        <v>187</v>
      </c>
      <c r="F45" s="106" t="s">
        <v>153</v>
      </c>
      <c r="G45" s="106" t="s">
        <v>575</v>
      </c>
      <c r="H45" s="99"/>
      <c r="I45" s="99"/>
      <c r="J45" s="99"/>
      <c r="K45" s="99"/>
      <c r="L45" s="99"/>
      <c r="M45" s="99"/>
      <c r="N45" s="99"/>
      <c r="O45" s="99"/>
      <c r="P45" s="99"/>
      <c r="Q45" s="99"/>
      <c r="R45" s="99"/>
      <c r="S45" s="99"/>
      <c r="T45" s="88" t="s">
        <v>839</v>
      </c>
      <c r="U45" s="88" t="s">
        <v>834</v>
      </c>
      <c r="V45" s="88" t="s">
        <v>835</v>
      </c>
      <c r="W45" s="88" t="s">
        <v>836</v>
      </c>
      <c r="X45" s="88"/>
      <c r="Y45" s="88"/>
      <c r="Z45" s="93"/>
    </row>
    <row r="46" spans="1:26" x14ac:dyDescent="0.3">
      <c r="A46" s="87" t="s">
        <v>830</v>
      </c>
      <c r="B46" s="87" t="s">
        <v>146</v>
      </c>
      <c r="C46" s="87" t="s">
        <v>183</v>
      </c>
      <c r="D46" s="87" t="s">
        <v>879</v>
      </c>
      <c r="E46" s="87" t="s">
        <v>188</v>
      </c>
      <c r="F46" s="105" t="s">
        <v>153</v>
      </c>
      <c r="G46" s="105" t="s">
        <v>575</v>
      </c>
      <c r="H46" s="98"/>
      <c r="I46" s="98"/>
      <c r="J46" s="98"/>
      <c r="K46" s="98"/>
      <c r="L46" s="98"/>
      <c r="M46" s="98"/>
      <c r="N46" s="98"/>
      <c r="O46" s="98"/>
      <c r="P46" s="98"/>
      <c r="Q46" s="98"/>
      <c r="R46" s="98"/>
      <c r="S46" s="98"/>
      <c r="T46" s="87" t="s">
        <v>839</v>
      </c>
      <c r="U46" s="87" t="s">
        <v>834</v>
      </c>
      <c r="V46" s="87" t="s">
        <v>835</v>
      </c>
      <c r="W46" s="87" t="s">
        <v>836</v>
      </c>
      <c r="X46" s="87"/>
      <c r="Y46" s="87"/>
      <c r="Z46" s="92"/>
    </row>
    <row r="47" spans="1:26" x14ac:dyDescent="0.3">
      <c r="A47" s="88" t="s">
        <v>830</v>
      </c>
      <c r="B47" s="88" t="s">
        <v>146</v>
      </c>
      <c r="C47" s="88" t="s">
        <v>183</v>
      </c>
      <c r="D47" s="88" t="s">
        <v>880</v>
      </c>
      <c r="E47" s="88" t="s">
        <v>189</v>
      </c>
      <c r="F47" s="106" t="s">
        <v>153</v>
      </c>
      <c r="G47" s="106" t="s">
        <v>575</v>
      </c>
      <c r="H47" s="99"/>
      <c r="I47" s="99"/>
      <c r="J47" s="99"/>
      <c r="K47" s="99"/>
      <c r="L47" s="99"/>
      <c r="M47" s="99"/>
      <c r="N47" s="99"/>
      <c r="O47" s="99"/>
      <c r="P47" s="99"/>
      <c r="Q47" s="99"/>
      <c r="R47" s="99"/>
      <c r="S47" s="99"/>
      <c r="T47" s="88" t="s">
        <v>839</v>
      </c>
      <c r="U47" s="88" t="s">
        <v>834</v>
      </c>
      <c r="V47" s="88" t="s">
        <v>835</v>
      </c>
      <c r="W47" s="88" t="s">
        <v>836</v>
      </c>
      <c r="X47" s="88"/>
      <c r="Y47" s="88"/>
      <c r="Z47" s="93"/>
    </row>
    <row r="48" spans="1:26" x14ac:dyDescent="0.3">
      <c r="A48" s="87" t="s">
        <v>830</v>
      </c>
      <c r="B48" s="87" t="s">
        <v>146</v>
      </c>
      <c r="C48" s="87" t="s">
        <v>183</v>
      </c>
      <c r="D48" s="87" t="s">
        <v>881</v>
      </c>
      <c r="E48" s="87" t="s">
        <v>190</v>
      </c>
      <c r="F48" s="105" t="s">
        <v>153</v>
      </c>
      <c r="G48" s="105" t="s">
        <v>575</v>
      </c>
      <c r="H48" s="98"/>
      <c r="I48" s="98"/>
      <c r="J48" s="98"/>
      <c r="K48" s="98"/>
      <c r="L48" s="98"/>
      <c r="M48" s="98"/>
      <c r="N48" s="98"/>
      <c r="O48" s="98"/>
      <c r="P48" s="98"/>
      <c r="Q48" s="98"/>
      <c r="R48" s="98"/>
      <c r="S48" s="98"/>
      <c r="T48" s="87" t="s">
        <v>839</v>
      </c>
      <c r="U48" s="87" t="s">
        <v>834</v>
      </c>
      <c r="V48" s="87" t="s">
        <v>835</v>
      </c>
      <c r="W48" s="87" t="s">
        <v>836</v>
      </c>
      <c r="X48" s="87"/>
      <c r="Y48" s="87"/>
      <c r="Z48" s="92"/>
    </row>
    <row r="49" spans="1:26" x14ac:dyDescent="0.3">
      <c r="A49" s="88" t="s">
        <v>830</v>
      </c>
      <c r="B49" s="88" t="s">
        <v>146</v>
      </c>
      <c r="C49" s="88" t="s">
        <v>183</v>
      </c>
      <c r="D49" s="88" t="s">
        <v>882</v>
      </c>
      <c r="E49" s="88" t="s">
        <v>191</v>
      </c>
      <c r="F49" s="106" t="s">
        <v>153</v>
      </c>
      <c r="G49" s="106" t="s">
        <v>575</v>
      </c>
      <c r="H49" s="99"/>
      <c r="I49" s="99"/>
      <c r="J49" s="99"/>
      <c r="K49" s="99"/>
      <c r="L49" s="99"/>
      <c r="M49" s="99"/>
      <c r="N49" s="99"/>
      <c r="O49" s="99"/>
      <c r="P49" s="99"/>
      <c r="Q49" s="99"/>
      <c r="R49" s="99"/>
      <c r="S49" s="99"/>
      <c r="T49" s="88" t="s">
        <v>839</v>
      </c>
      <c r="U49" s="88" t="s">
        <v>834</v>
      </c>
      <c r="V49" s="88" t="s">
        <v>835</v>
      </c>
      <c r="W49" s="88" t="s">
        <v>836</v>
      </c>
      <c r="X49" s="88"/>
      <c r="Y49" s="88"/>
      <c r="Z49" s="93"/>
    </row>
    <row r="50" spans="1:26" x14ac:dyDescent="0.3">
      <c r="A50" s="87" t="s">
        <v>830</v>
      </c>
      <c r="B50" s="87" t="s">
        <v>146</v>
      </c>
      <c r="C50" s="87" t="s">
        <v>183</v>
      </c>
      <c r="D50" s="87" t="s">
        <v>883</v>
      </c>
      <c r="E50" s="87" t="s">
        <v>192</v>
      </c>
      <c r="F50" s="105" t="s">
        <v>153</v>
      </c>
      <c r="G50" s="105" t="s">
        <v>575</v>
      </c>
      <c r="H50" s="98"/>
      <c r="I50" s="98"/>
      <c r="J50" s="98"/>
      <c r="K50" s="98"/>
      <c r="L50" s="98"/>
      <c r="M50" s="98"/>
      <c r="N50" s="98"/>
      <c r="O50" s="98"/>
      <c r="P50" s="98"/>
      <c r="Q50" s="98"/>
      <c r="R50" s="98"/>
      <c r="S50" s="98"/>
      <c r="T50" s="87" t="s">
        <v>839</v>
      </c>
      <c r="U50" s="87" t="s">
        <v>834</v>
      </c>
      <c r="V50" s="87" t="s">
        <v>835</v>
      </c>
      <c r="W50" s="87" t="s">
        <v>836</v>
      </c>
      <c r="X50" s="87"/>
      <c r="Y50" s="87"/>
      <c r="Z50" s="92"/>
    </row>
    <row r="51" spans="1:26" x14ac:dyDescent="0.3">
      <c r="A51" s="88" t="s">
        <v>830</v>
      </c>
      <c r="B51" s="88" t="s">
        <v>146</v>
      </c>
      <c r="C51" s="88" t="s">
        <v>183</v>
      </c>
      <c r="D51" s="88" t="s">
        <v>884</v>
      </c>
      <c r="E51" s="88" t="s">
        <v>193</v>
      </c>
      <c r="F51" s="106" t="s">
        <v>153</v>
      </c>
      <c r="G51" s="106" t="s">
        <v>575</v>
      </c>
      <c r="H51" s="99"/>
      <c r="I51" s="99"/>
      <c r="J51" s="99"/>
      <c r="K51" s="99"/>
      <c r="L51" s="99"/>
      <c r="M51" s="99"/>
      <c r="N51" s="99"/>
      <c r="O51" s="99"/>
      <c r="P51" s="99"/>
      <c r="Q51" s="99"/>
      <c r="R51" s="99"/>
      <c r="S51" s="99"/>
      <c r="T51" s="88" t="s">
        <v>839</v>
      </c>
      <c r="U51" s="88" t="s">
        <v>834</v>
      </c>
      <c r="V51" s="88" t="s">
        <v>835</v>
      </c>
      <c r="W51" s="88" t="s">
        <v>836</v>
      </c>
      <c r="X51" s="88"/>
      <c r="Y51" s="88"/>
      <c r="Z51" s="93"/>
    </row>
    <row r="52" spans="1:26" x14ac:dyDescent="0.3">
      <c r="A52" s="87" t="s">
        <v>830</v>
      </c>
      <c r="B52" s="87" t="s">
        <v>146</v>
      </c>
      <c r="C52" s="87" t="s">
        <v>183</v>
      </c>
      <c r="D52" s="87" t="s">
        <v>885</v>
      </c>
      <c r="E52" s="87" t="s">
        <v>194</v>
      </c>
      <c r="F52" s="105" t="s">
        <v>153</v>
      </c>
      <c r="G52" s="105" t="s">
        <v>575</v>
      </c>
      <c r="H52" s="98"/>
      <c r="I52" s="98"/>
      <c r="J52" s="98"/>
      <c r="K52" s="98"/>
      <c r="L52" s="98"/>
      <c r="M52" s="98"/>
      <c r="N52" s="98"/>
      <c r="O52" s="98"/>
      <c r="P52" s="98"/>
      <c r="Q52" s="98"/>
      <c r="R52" s="98"/>
      <c r="S52" s="98"/>
      <c r="T52" s="87" t="s">
        <v>839</v>
      </c>
      <c r="U52" s="87" t="s">
        <v>834</v>
      </c>
      <c r="V52" s="87" t="s">
        <v>835</v>
      </c>
      <c r="W52" s="87" t="s">
        <v>836</v>
      </c>
      <c r="X52" s="87"/>
      <c r="Y52" s="87"/>
      <c r="Z52" s="92"/>
    </row>
    <row r="53" spans="1:26" x14ac:dyDescent="0.3">
      <c r="A53" s="88" t="s">
        <v>830</v>
      </c>
      <c r="B53" s="88" t="s">
        <v>146</v>
      </c>
      <c r="C53" s="88" t="s">
        <v>183</v>
      </c>
      <c r="D53" s="88" t="s">
        <v>886</v>
      </c>
      <c r="E53" s="88" t="s">
        <v>195</v>
      </c>
      <c r="F53" s="106" t="s">
        <v>153</v>
      </c>
      <c r="G53" s="106" t="s">
        <v>575</v>
      </c>
      <c r="H53" s="99"/>
      <c r="I53" s="99"/>
      <c r="J53" s="99"/>
      <c r="K53" s="99"/>
      <c r="L53" s="99"/>
      <c r="M53" s="99"/>
      <c r="N53" s="99"/>
      <c r="O53" s="99"/>
      <c r="P53" s="99"/>
      <c r="Q53" s="99"/>
      <c r="R53" s="99"/>
      <c r="S53" s="99"/>
      <c r="T53" s="88" t="s">
        <v>839</v>
      </c>
      <c r="U53" s="88" t="s">
        <v>834</v>
      </c>
      <c r="V53" s="88" t="s">
        <v>835</v>
      </c>
      <c r="W53" s="88" t="s">
        <v>836</v>
      </c>
      <c r="X53" s="88"/>
      <c r="Y53" s="88"/>
      <c r="Z53" s="93"/>
    </row>
    <row r="54" spans="1:26" x14ac:dyDescent="0.3">
      <c r="A54" s="87" t="s">
        <v>830</v>
      </c>
      <c r="B54" s="87" t="s">
        <v>146</v>
      </c>
      <c r="C54" s="87" t="s">
        <v>183</v>
      </c>
      <c r="D54" s="87" t="s">
        <v>887</v>
      </c>
      <c r="E54" s="87" t="s">
        <v>196</v>
      </c>
      <c r="F54" s="105" t="s">
        <v>153</v>
      </c>
      <c r="G54" s="105" t="s">
        <v>575</v>
      </c>
      <c r="H54" s="98"/>
      <c r="I54" s="98"/>
      <c r="J54" s="98"/>
      <c r="K54" s="98"/>
      <c r="L54" s="98"/>
      <c r="M54" s="98"/>
      <c r="N54" s="98"/>
      <c r="O54" s="98"/>
      <c r="P54" s="98"/>
      <c r="Q54" s="98"/>
      <c r="R54" s="98"/>
      <c r="S54" s="98"/>
      <c r="T54" s="87" t="s">
        <v>839</v>
      </c>
      <c r="U54" s="87" t="s">
        <v>834</v>
      </c>
      <c r="V54" s="87" t="s">
        <v>835</v>
      </c>
      <c r="W54" s="87" t="s">
        <v>836</v>
      </c>
      <c r="X54" s="87"/>
      <c r="Y54" s="87"/>
      <c r="Z54" s="92"/>
    </row>
    <row r="55" spans="1:26" x14ac:dyDescent="0.3">
      <c r="A55" s="88" t="s">
        <v>830</v>
      </c>
      <c r="B55" s="88" t="s">
        <v>146</v>
      </c>
      <c r="C55" s="88" t="s">
        <v>183</v>
      </c>
      <c r="D55" s="88" t="s">
        <v>888</v>
      </c>
      <c r="E55" s="88" t="s">
        <v>889</v>
      </c>
      <c r="F55" s="106" t="s">
        <v>153</v>
      </c>
      <c r="G55" s="106" t="s">
        <v>575</v>
      </c>
      <c r="H55" s="99"/>
      <c r="I55" s="99"/>
      <c r="J55" s="99"/>
      <c r="K55" s="99"/>
      <c r="L55" s="99"/>
      <c r="M55" s="99"/>
      <c r="N55" s="99"/>
      <c r="O55" s="99"/>
      <c r="P55" s="99"/>
      <c r="Q55" s="99"/>
      <c r="R55" s="99"/>
      <c r="S55" s="99"/>
      <c r="T55" s="88" t="s">
        <v>839</v>
      </c>
      <c r="U55" s="88" t="s">
        <v>834</v>
      </c>
      <c r="V55" s="88" t="s">
        <v>835</v>
      </c>
      <c r="W55" s="88" t="s">
        <v>836</v>
      </c>
      <c r="X55" s="88"/>
      <c r="Y55" s="88"/>
      <c r="Z55" s="93"/>
    </row>
    <row r="56" spans="1:26" x14ac:dyDescent="0.3">
      <c r="A56" s="87" t="s">
        <v>830</v>
      </c>
      <c r="B56" s="87" t="s">
        <v>146</v>
      </c>
      <c r="C56" s="87" t="s">
        <v>183</v>
      </c>
      <c r="D56" s="87" t="s">
        <v>890</v>
      </c>
      <c r="E56" s="87" t="s">
        <v>891</v>
      </c>
      <c r="F56" s="105" t="s">
        <v>153</v>
      </c>
      <c r="G56" s="105" t="s">
        <v>575</v>
      </c>
      <c r="H56" s="98"/>
      <c r="I56" s="98"/>
      <c r="J56" s="98"/>
      <c r="K56" s="98"/>
      <c r="L56" s="98"/>
      <c r="M56" s="98"/>
      <c r="N56" s="98"/>
      <c r="O56" s="98"/>
      <c r="P56" s="98"/>
      <c r="Q56" s="98"/>
      <c r="R56" s="98"/>
      <c r="S56" s="98"/>
      <c r="T56" s="87" t="s">
        <v>839</v>
      </c>
      <c r="U56" s="87" t="s">
        <v>834</v>
      </c>
      <c r="V56" s="87" t="s">
        <v>835</v>
      </c>
      <c r="W56" s="87" t="s">
        <v>836</v>
      </c>
      <c r="X56" s="87"/>
      <c r="Y56" s="87"/>
      <c r="Z56" s="92"/>
    </row>
    <row r="57" spans="1:26" x14ac:dyDescent="0.3">
      <c r="A57" s="86" t="s">
        <v>830</v>
      </c>
      <c r="B57" s="86" t="s">
        <v>146</v>
      </c>
      <c r="C57" s="86" t="s">
        <v>197</v>
      </c>
      <c r="D57" s="86" t="s">
        <v>164</v>
      </c>
      <c r="E57" s="86" t="s">
        <v>892</v>
      </c>
      <c r="F57" s="104"/>
      <c r="G57" s="104"/>
      <c r="H57" s="97"/>
      <c r="I57" s="97"/>
      <c r="J57" s="97"/>
      <c r="K57" s="97"/>
      <c r="L57" s="97"/>
      <c r="M57" s="97"/>
      <c r="N57" s="97"/>
      <c r="O57" s="97"/>
      <c r="P57" s="97"/>
      <c r="Q57" s="97"/>
      <c r="R57" s="97"/>
      <c r="S57" s="97"/>
      <c r="T57" s="86"/>
      <c r="U57" s="86"/>
      <c r="V57" s="86"/>
      <c r="W57" s="86"/>
      <c r="X57" s="86"/>
      <c r="Y57" s="86"/>
      <c r="Z57" s="91"/>
    </row>
    <row r="58" spans="1:26" x14ac:dyDescent="0.3">
      <c r="A58" s="87" t="s">
        <v>830</v>
      </c>
      <c r="B58" s="87" t="s">
        <v>146</v>
      </c>
      <c r="C58" s="87" t="s">
        <v>197</v>
      </c>
      <c r="D58" s="87" t="s">
        <v>893</v>
      </c>
      <c r="E58" s="87" t="s">
        <v>198</v>
      </c>
      <c r="F58" s="105" t="s">
        <v>153</v>
      </c>
      <c r="G58" s="105" t="s">
        <v>575</v>
      </c>
      <c r="H58" s="98"/>
      <c r="I58" s="98"/>
      <c r="J58" s="98"/>
      <c r="K58" s="98"/>
      <c r="L58" s="98"/>
      <c r="M58" s="98"/>
      <c r="N58" s="98"/>
      <c r="O58" s="98"/>
      <c r="P58" s="98"/>
      <c r="Q58" s="98"/>
      <c r="R58" s="98"/>
      <c r="S58" s="98"/>
      <c r="T58" s="87" t="s">
        <v>839</v>
      </c>
      <c r="U58" s="87" t="s">
        <v>834</v>
      </c>
      <c r="V58" s="87" t="s">
        <v>835</v>
      </c>
      <c r="W58" s="87" t="s">
        <v>836</v>
      </c>
      <c r="X58" s="87"/>
      <c r="Y58" s="87"/>
      <c r="Z58" s="92"/>
    </row>
    <row r="59" spans="1:26" x14ac:dyDescent="0.3">
      <c r="A59" s="88" t="s">
        <v>830</v>
      </c>
      <c r="B59" s="88" t="s">
        <v>146</v>
      </c>
      <c r="C59" s="88" t="s">
        <v>197</v>
      </c>
      <c r="D59" s="88" t="s">
        <v>894</v>
      </c>
      <c r="E59" s="88" t="s">
        <v>895</v>
      </c>
      <c r="F59" s="106" t="s">
        <v>153</v>
      </c>
      <c r="G59" s="106" t="s">
        <v>575</v>
      </c>
      <c r="H59" s="99"/>
      <c r="I59" s="99"/>
      <c r="J59" s="99"/>
      <c r="K59" s="99"/>
      <c r="L59" s="99"/>
      <c r="M59" s="99"/>
      <c r="N59" s="99"/>
      <c r="O59" s="99"/>
      <c r="P59" s="99"/>
      <c r="Q59" s="99"/>
      <c r="R59" s="99"/>
      <c r="S59" s="99"/>
      <c r="T59" s="88" t="s">
        <v>839</v>
      </c>
      <c r="U59" s="88" t="s">
        <v>834</v>
      </c>
      <c r="V59" s="88" t="s">
        <v>835</v>
      </c>
      <c r="W59" s="88" t="s">
        <v>836</v>
      </c>
      <c r="X59" s="88"/>
      <c r="Y59" s="88"/>
      <c r="Z59" s="93"/>
    </row>
    <row r="60" spans="1:26" x14ac:dyDescent="0.3">
      <c r="A60" s="87" t="s">
        <v>830</v>
      </c>
      <c r="B60" s="87" t="s">
        <v>146</v>
      </c>
      <c r="C60" s="87" t="s">
        <v>197</v>
      </c>
      <c r="D60" s="87" t="s">
        <v>896</v>
      </c>
      <c r="E60" s="87" t="s">
        <v>199</v>
      </c>
      <c r="F60" s="105" t="s">
        <v>153</v>
      </c>
      <c r="G60" s="105" t="s">
        <v>575</v>
      </c>
      <c r="H60" s="98"/>
      <c r="I60" s="98"/>
      <c r="J60" s="98"/>
      <c r="K60" s="98"/>
      <c r="L60" s="98"/>
      <c r="M60" s="98"/>
      <c r="N60" s="98"/>
      <c r="O60" s="98"/>
      <c r="P60" s="98"/>
      <c r="Q60" s="98"/>
      <c r="R60" s="98"/>
      <c r="S60" s="98"/>
      <c r="T60" s="87" t="s">
        <v>839</v>
      </c>
      <c r="U60" s="87" t="s">
        <v>834</v>
      </c>
      <c r="V60" s="87" t="s">
        <v>835</v>
      </c>
      <c r="W60" s="87" t="s">
        <v>836</v>
      </c>
      <c r="X60" s="87"/>
      <c r="Y60" s="87"/>
      <c r="Z60" s="92"/>
    </row>
    <row r="61" spans="1:26" x14ac:dyDescent="0.3">
      <c r="A61" s="88" t="s">
        <v>830</v>
      </c>
      <c r="B61" s="88" t="s">
        <v>146</v>
      </c>
      <c r="C61" s="88" t="s">
        <v>197</v>
      </c>
      <c r="D61" s="88" t="s">
        <v>897</v>
      </c>
      <c r="E61" s="88" t="s">
        <v>200</v>
      </c>
      <c r="F61" s="106" t="s">
        <v>153</v>
      </c>
      <c r="G61" s="106" t="s">
        <v>575</v>
      </c>
      <c r="H61" s="99"/>
      <c r="I61" s="99"/>
      <c r="J61" s="99"/>
      <c r="K61" s="99"/>
      <c r="L61" s="99"/>
      <c r="M61" s="99"/>
      <c r="N61" s="99"/>
      <c r="O61" s="99"/>
      <c r="P61" s="99"/>
      <c r="Q61" s="99"/>
      <c r="R61" s="99"/>
      <c r="S61" s="99"/>
      <c r="T61" s="88" t="s">
        <v>839</v>
      </c>
      <c r="U61" s="88" t="s">
        <v>834</v>
      </c>
      <c r="V61" s="88" t="s">
        <v>835</v>
      </c>
      <c r="W61" s="88" t="s">
        <v>836</v>
      </c>
      <c r="X61" s="88"/>
      <c r="Y61" s="88"/>
      <c r="Z61" s="93"/>
    </row>
    <row r="62" spans="1:26" x14ac:dyDescent="0.3">
      <c r="A62" s="87" t="s">
        <v>830</v>
      </c>
      <c r="B62" s="87" t="s">
        <v>146</v>
      </c>
      <c r="C62" s="87" t="s">
        <v>197</v>
      </c>
      <c r="D62" s="87" t="s">
        <v>898</v>
      </c>
      <c r="E62" s="87" t="s">
        <v>201</v>
      </c>
      <c r="F62" s="105" t="s">
        <v>153</v>
      </c>
      <c r="G62" s="105" t="s">
        <v>575</v>
      </c>
      <c r="H62" s="98"/>
      <c r="I62" s="98"/>
      <c r="J62" s="98"/>
      <c r="K62" s="98"/>
      <c r="L62" s="98"/>
      <c r="M62" s="98"/>
      <c r="N62" s="98"/>
      <c r="O62" s="98"/>
      <c r="P62" s="98"/>
      <c r="Q62" s="98"/>
      <c r="R62" s="98"/>
      <c r="S62" s="98"/>
      <c r="T62" s="87" t="s">
        <v>839</v>
      </c>
      <c r="U62" s="87" t="s">
        <v>834</v>
      </c>
      <c r="V62" s="87" t="s">
        <v>835</v>
      </c>
      <c r="W62" s="87" t="s">
        <v>836</v>
      </c>
      <c r="X62" s="87"/>
      <c r="Y62" s="87"/>
      <c r="Z62" s="92"/>
    </row>
    <row r="63" spans="1:26" x14ac:dyDescent="0.3">
      <c r="A63" s="86" t="s">
        <v>830</v>
      </c>
      <c r="B63" s="86" t="s">
        <v>146</v>
      </c>
      <c r="C63" s="86" t="s">
        <v>202</v>
      </c>
      <c r="D63" s="86" t="s">
        <v>166</v>
      </c>
      <c r="E63" s="86" t="s">
        <v>899</v>
      </c>
      <c r="F63" s="104"/>
      <c r="G63" s="104"/>
      <c r="H63" s="97"/>
      <c r="I63" s="97"/>
      <c r="J63" s="97"/>
      <c r="K63" s="97"/>
      <c r="L63" s="97"/>
      <c r="M63" s="97"/>
      <c r="N63" s="97"/>
      <c r="O63" s="97"/>
      <c r="P63" s="97"/>
      <c r="Q63" s="97"/>
      <c r="R63" s="97"/>
      <c r="S63" s="97"/>
      <c r="T63" s="86"/>
      <c r="U63" s="86"/>
      <c r="V63" s="86"/>
      <c r="W63" s="86"/>
      <c r="X63" s="86"/>
      <c r="Y63" s="86"/>
      <c r="Z63" s="91"/>
    </row>
    <row r="64" spans="1:26" x14ac:dyDescent="0.3">
      <c r="A64" s="87" t="s">
        <v>830</v>
      </c>
      <c r="B64" s="87" t="s">
        <v>146</v>
      </c>
      <c r="C64" s="87" t="s">
        <v>202</v>
      </c>
      <c r="D64" s="87" t="s">
        <v>900</v>
      </c>
      <c r="E64" s="87" t="s">
        <v>203</v>
      </c>
      <c r="F64" s="105" t="s">
        <v>153</v>
      </c>
      <c r="G64" s="105" t="s">
        <v>575</v>
      </c>
      <c r="H64" s="98"/>
      <c r="I64" s="98"/>
      <c r="J64" s="98"/>
      <c r="K64" s="98"/>
      <c r="L64" s="98"/>
      <c r="M64" s="98"/>
      <c r="N64" s="98"/>
      <c r="O64" s="98"/>
      <c r="P64" s="98"/>
      <c r="Q64" s="98"/>
      <c r="R64" s="98"/>
      <c r="S64" s="98"/>
      <c r="T64" s="87" t="s">
        <v>839</v>
      </c>
      <c r="U64" s="87" t="s">
        <v>834</v>
      </c>
      <c r="V64" s="87" t="s">
        <v>835</v>
      </c>
      <c r="W64" s="87" t="s">
        <v>836</v>
      </c>
      <c r="X64" s="87"/>
      <c r="Y64" s="87"/>
      <c r="Z64" s="92" t="s">
        <v>901</v>
      </c>
    </row>
    <row r="65" spans="1:26" x14ac:dyDescent="0.3">
      <c r="A65" s="88" t="s">
        <v>830</v>
      </c>
      <c r="B65" s="88" t="s">
        <v>146</v>
      </c>
      <c r="C65" s="88" t="s">
        <v>202</v>
      </c>
      <c r="D65" s="88" t="s">
        <v>902</v>
      </c>
      <c r="E65" s="88" t="s">
        <v>204</v>
      </c>
      <c r="F65" s="106" t="s">
        <v>153</v>
      </c>
      <c r="G65" s="106" t="s">
        <v>575</v>
      </c>
      <c r="H65" s="99"/>
      <c r="I65" s="99"/>
      <c r="J65" s="99"/>
      <c r="K65" s="99"/>
      <c r="L65" s="99"/>
      <c r="M65" s="99"/>
      <c r="N65" s="99"/>
      <c r="O65" s="99"/>
      <c r="P65" s="99"/>
      <c r="Q65" s="99"/>
      <c r="R65" s="99"/>
      <c r="S65" s="99"/>
      <c r="T65" s="88" t="s">
        <v>839</v>
      </c>
      <c r="U65" s="88" t="s">
        <v>834</v>
      </c>
      <c r="V65" s="88" t="s">
        <v>835</v>
      </c>
      <c r="W65" s="88" t="s">
        <v>836</v>
      </c>
      <c r="X65" s="88"/>
      <c r="Y65" s="88"/>
      <c r="Z65" s="93" t="s">
        <v>901</v>
      </c>
    </row>
    <row r="66" spans="1:26" x14ac:dyDescent="0.3">
      <c r="A66" s="87" t="s">
        <v>830</v>
      </c>
      <c r="B66" s="87" t="s">
        <v>146</v>
      </c>
      <c r="C66" s="87" t="s">
        <v>202</v>
      </c>
      <c r="D66" s="87" t="s">
        <v>903</v>
      </c>
      <c r="E66" s="87" t="s">
        <v>205</v>
      </c>
      <c r="F66" s="105" t="s">
        <v>153</v>
      </c>
      <c r="G66" s="105" t="s">
        <v>575</v>
      </c>
      <c r="H66" s="98"/>
      <c r="I66" s="98"/>
      <c r="J66" s="98"/>
      <c r="K66" s="98"/>
      <c r="L66" s="98"/>
      <c r="M66" s="98"/>
      <c r="N66" s="98"/>
      <c r="O66" s="98"/>
      <c r="P66" s="98"/>
      <c r="Q66" s="98"/>
      <c r="R66" s="98"/>
      <c r="S66" s="98"/>
      <c r="T66" s="87" t="s">
        <v>839</v>
      </c>
      <c r="U66" s="87" t="s">
        <v>834</v>
      </c>
      <c r="V66" s="87" t="s">
        <v>835</v>
      </c>
      <c r="W66" s="87" t="s">
        <v>836</v>
      </c>
      <c r="X66" s="87"/>
      <c r="Y66" s="87"/>
      <c r="Z66" s="92" t="s">
        <v>901</v>
      </c>
    </row>
    <row r="67" spans="1:26" x14ac:dyDescent="0.3">
      <c r="A67" s="88" t="s">
        <v>830</v>
      </c>
      <c r="B67" s="88" t="s">
        <v>146</v>
      </c>
      <c r="C67" s="88" t="s">
        <v>202</v>
      </c>
      <c r="D67" s="88" t="s">
        <v>904</v>
      </c>
      <c r="E67" s="88" t="s">
        <v>206</v>
      </c>
      <c r="F67" s="106" t="s">
        <v>153</v>
      </c>
      <c r="G67" s="106" t="s">
        <v>575</v>
      </c>
      <c r="H67" s="99"/>
      <c r="I67" s="99"/>
      <c r="J67" s="99"/>
      <c r="K67" s="99"/>
      <c r="L67" s="99"/>
      <c r="M67" s="99"/>
      <c r="N67" s="99"/>
      <c r="O67" s="99"/>
      <c r="P67" s="99"/>
      <c r="Q67" s="99"/>
      <c r="R67" s="99"/>
      <c r="S67" s="99"/>
      <c r="T67" s="88" t="s">
        <v>839</v>
      </c>
      <c r="U67" s="88" t="s">
        <v>834</v>
      </c>
      <c r="V67" s="88" t="s">
        <v>835</v>
      </c>
      <c r="W67" s="88" t="s">
        <v>836</v>
      </c>
      <c r="X67" s="88"/>
      <c r="Y67" s="88"/>
      <c r="Z67" s="93" t="s">
        <v>901</v>
      </c>
    </row>
    <row r="68" spans="1:26" x14ac:dyDescent="0.3">
      <c r="A68" s="87" t="s">
        <v>830</v>
      </c>
      <c r="B68" s="87" t="s">
        <v>146</v>
      </c>
      <c r="C68" s="87" t="s">
        <v>202</v>
      </c>
      <c r="D68" s="87" t="s">
        <v>905</v>
      </c>
      <c r="E68" s="87" t="s">
        <v>906</v>
      </c>
      <c r="F68" s="105" t="s">
        <v>153</v>
      </c>
      <c r="G68" s="105" t="s">
        <v>575</v>
      </c>
      <c r="H68" s="98"/>
      <c r="I68" s="98"/>
      <c r="J68" s="98"/>
      <c r="K68" s="98"/>
      <c r="L68" s="98"/>
      <c r="M68" s="98"/>
      <c r="N68" s="98"/>
      <c r="O68" s="98"/>
      <c r="P68" s="98"/>
      <c r="Q68" s="98"/>
      <c r="R68" s="98"/>
      <c r="S68" s="98"/>
      <c r="T68" s="87" t="s">
        <v>839</v>
      </c>
      <c r="U68" s="87" t="s">
        <v>834</v>
      </c>
      <c r="V68" s="87" t="s">
        <v>835</v>
      </c>
      <c r="W68" s="87" t="s">
        <v>836</v>
      </c>
      <c r="X68" s="87"/>
      <c r="Y68" s="87"/>
      <c r="Z68" s="92" t="s">
        <v>901</v>
      </c>
    </row>
    <row r="69" spans="1:26" x14ac:dyDescent="0.3">
      <c r="A69" s="85" t="s">
        <v>830</v>
      </c>
      <c r="B69" s="85" t="s">
        <v>207</v>
      </c>
      <c r="C69" s="85"/>
      <c r="D69" s="85" t="s">
        <v>208</v>
      </c>
      <c r="E69" s="85" t="s">
        <v>207</v>
      </c>
      <c r="F69" s="103"/>
      <c r="G69" s="103"/>
      <c r="H69" s="96"/>
      <c r="I69" s="96"/>
      <c r="J69" s="96"/>
      <c r="K69" s="96"/>
      <c r="L69" s="96"/>
      <c r="M69" s="96"/>
      <c r="N69" s="96"/>
      <c r="O69" s="96"/>
      <c r="P69" s="96"/>
      <c r="Q69" s="96"/>
      <c r="R69" s="96"/>
      <c r="S69" s="96"/>
      <c r="T69" s="85"/>
      <c r="U69" s="85"/>
      <c r="V69" s="85"/>
      <c r="W69" s="85"/>
      <c r="X69" s="85"/>
      <c r="Y69" s="85"/>
      <c r="Z69" s="90"/>
    </row>
    <row r="70" spans="1:26" x14ac:dyDescent="0.3">
      <c r="A70" s="86" t="s">
        <v>830</v>
      </c>
      <c r="B70" s="86" t="s">
        <v>207</v>
      </c>
      <c r="C70" s="86" t="s">
        <v>211</v>
      </c>
      <c r="D70" s="86" t="s">
        <v>212</v>
      </c>
      <c r="E70" s="86" t="s">
        <v>907</v>
      </c>
      <c r="F70" s="104"/>
      <c r="G70" s="104"/>
      <c r="H70" s="97"/>
      <c r="I70" s="97"/>
      <c r="J70" s="97"/>
      <c r="K70" s="97"/>
      <c r="L70" s="97"/>
      <c r="M70" s="97"/>
      <c r="N70" s="97"/>
      <c r="O70" s="97"/>
      <c r="P70" s="97"/>
      <c r="Q70" s="97"/>
      <c r="R70" s="97"/>
      <c r="S70" s="97"/>
      <c r="T70" s="86"/>
      <c r="U70" s="86"/>
      <c r="V70" s="86"/>
      <c r="W70" s="86"/>
      <c r="X70" s="86"/>
      <c r="Y70" s="86"/>
      <c r="Z70" s="91"/>
    </row>
    <row r="71" spans="1:26" x14ac:dyDescent="0.3">
      <c r="A71" s="88" t="s">
        <v>830</v>
      </c>
      <c r="B71" s="88" t="s">
        <v>207</v>
      </c>
      <c r="C71" s="88" t="s">
        <v>211</v>
      </c>
      <c r="D71" s="88" t="s">
        <v>908</v>
      </c>
      <c r="E71" s="88" t="s">
        <v>213</v>
      </c>
      <c r="F71" s="106" t="s">
        <v>214</v>
      </c>
      <c r="G71" s="106" t="s">
        <v>575</v>
      </c>
      <c r="H71" s="99"/>
      <c r="I71" s="99"/>
      <c r="J71" s="99"/>
      <c r="K71" s="99"/>
      <c r="L71" s="99"/>
      <c r="M71" s="99"/>
      <c r="N71" s="99"/>
      <c r="O71" s="99"/>
      <c r="P71" s="99"/>
      <c r="Q71" s="99"/>
      <c r="R71" s="99"/>
      <c r="S71" s="99"/>
      <c r="T71" s="88" t="s">
        <v>909</v>
      </c>
      <c r="U71" s="88" t="s">
        <v>910</v>
      </c>
      <c r="V71" s="88" t="s">
        <v>835</v>
      </c>
      <c r="W71" s="88" t="s">
        <v>836</v>
      </c>
      <c r="X71" s="88"/>
      <c r="Y71" s="88"/>
      <c r="Z71" s="93"/>
    </row>
    <row r="72" spans="1:26" x14ac:dyDescent="0.3">
      <c r="A72" s="87" t="s">
        <v>830</v>
      </c>
      <c r="B72" s="87" t="s">
        <v>207</v>
      </c>
      <c r="C72" s="87" t="s">
        <v>211</v>
      </c>
      <c r="D72" s="87" t="s">
        <v>911</v>
      </c>
      <c r="E72" s="87" t="s">
        <v>912</v>
      </c>
      <c r="F72" s="105" t="s">
        <v>214</v>
      </c>
      <c r="G72" s="105" t="s">
        <v>575</v>
      </c>
      <c r="H72" s="98"/>
      <c r="I72" s="98"/>
      <c r="J72" s="98"/>
      <c r="K72" s="98"/>
      <c r="L72" s="98"/>
      <c r="M72" s="98"/>
      <c r="N72" s="98"/>
      <c r="O72" s="98"/>
      <c r="P72" s="98"/>
      <c r="Q72" s="98"/>
      <c r="R72" s="98"/>
      <c r="S72" s="98"/>
      <c r="T72" s="87" t="s">
        <v>909</v>
      </c>
      <c r="U72" s="87" t="s">
        <v>910</v>
      </c>
      <c r="V72" s="87" t="s">
        <v>835</v>
      </c>
      <c r="W72" s="87" t="s">
        <v>836</v>
      </c>
      <c r="X72" s="87"/>
      <c r="Y72" s="87"/>
      <c r="Z72" s="92"/>
    </row>
    <row r="73" spans="1:26" x14ac:dyDescent="0.3">
      <c r="A73" s="88" t="s">
        <v>830</v>
      </c>
      <c r="B73" s="88" t="s">
        <v>207</v>
      </c>
      <c r="C73" s="88" t="s">
        <v>211</v>
      </c>
      <c r="D73" s="88" t="s">
        <v>913</v>
      </c>
      <c r="E73" s="88" t="s">
        <v>914</v>
      </c>
      <c r="F73" s="106" t="s">
        <v>214</v>
      </c>
      <c r="G73" s="106" t="s">
        <v>575</v>
      </c>
      <c r="H73" s="99"/>
      <c r="I73" s="99"/>
      <c r="J73" s="99"/>
      <c r="K73" s="99"/>
      <c r="L73" s="99"/>
      <c r="M73" s="99"/>
      <c r="N73" s="99"/>
      <c r="O73" s="99"/>
      <c r="P73" s="99"/>
      <c r="Q73" s="99"/>
      <c r="R73" s="99"/>
      <c r="S73" s="99"/>
      <c r="T73" s="88" t="s">
        <v>909</v>
      </c>
      <c r="U73" s="88" t="s">
        <v>910</v>
      </c>
      <c r="V73" s="88" t="s">
        <v>835</v>
      </c>
      <c r="W73" s="88" t="s">
        <v>836</v>
      </c>
      <c r="X73" s="88"/>
      <c r="Y73" s="88"/>
      <c r="Z73" s="93"/>
    </row>
    <row r="74" spans="1:26" x14ac:dyDescent="0.3">
      <c r="A74" s="87" t="s">
        <v>830</v>
      </c>
      <c r="B74" s="87" t="s">
        <v>207</v>
      </c>
      <c r="C74" s="87" t="s">
        <v>211</v>
      </c>
      <c r="D74" s="87" t="s">
        <v>915</v>
      </c>
      <c r="E74" s="87" t="s">
        <v>916</v>
      </c>
      <c r="F74" s="105" t="s">
        <v>214</v>
      </c>
      <c r="G74" s="105" t="s">
        <v>575</v>
      </c>
      <c r="H74" s="98"/>
      <c r="I74" s="98"/>
      <c r="J74" s="98"/>
      <c r="K74" s="98"/>
      <c r="L74" s="98"/>
      <c r="M74" s="98"/>
      <c r="N74" s="98"/>
      <c r="O74" s="98"/>
      <c r="P74" s="98"/>
      <c r="Q74" s="98"/>
      <c r="R74" s="98"/>
      <c r="S74" s="98"/>
      <c r="T74" s="87" t="s">
        <v>909</v>
      </c>
      <c r="U74" s="87" t="s">
        <v>910</v>
      </c>
      <c r="V74" s="87" t="s">
        <v>835</v>
      </c>
      <c r="W74" s="87" t="s">
        <v>836</v>
      </c>
      <c r="X74" s="87"/>
      <c r="Y74" s="87"/>
      <c r="Z74" s="92"/>
    </row>
    <row r="75" spans="1:26" x14ac:dyDescent="0.3">
      <c r="A75" s="88" t="s">
        <v>830</v>
      </c>
      <c r="B75" s="88" t="s">
        <v>207</v>
      </c>
      <c r="C75" s="88" t="s">
        <v>211</v>
      </c>
      <c r="D75" s="88" t="s">
        <v>917</v>
      </c>
      <c r="E75" s="88" t="s">
        <v>216</v>
      </c>
      <c r="F75" s="106" t="s">
        <v>214</v>
      </c>
      <c r="G75" s="106" t="s">
        <v>575</v>
      </c>
      <c r="H75" s="99"/>
      <c r="I75" s="99"/>
      <c r="J75" s="99"/>
      <c r="K75" s="99"/>
      <c r="L75" s="99"/>
      <c r="M75" s="99"/>
      <c r="N75" s="99"/>
      <c r="O75" s="99"/>
      <c r="P75" s="99"/>
      <c r="Q75" s="99"/>
      <c r="R75" s="99"/>
      <c r="S75" s="99"/>
      <c r="T75" s="88" t="s">
        <v>909</v>
      </c>
      <c r="U75" s="88" t="s">
        <v>910</v>
      </c>
      <c r="V75" s="88" t="s">
        <v>835</v>
      </c>
      <c r="W75" s="88" t="s">
        <v>836</v>
      </c>
      <c r="X75" s="88"/>
      <c r="Y75" s="88"/>
      <c r="Z75" s="93"/>
    </row>
    <row r="76" spans="1:26" x14ac:dyDescent="0.3">
      <c r="A76" s="87" t="s">
        <v>830</v>
      </c>
      <c r="B76" s="87" t="s">
        <v>207</v>
      </c>
      <c r="C76" s="87" t="s">
        <v>211</v>
      </c>
      <c r="D76" s="87" t="s">
        <v>918</v>
      </c>
      <c r="E76" s="87" t="s">
        <v>218</v>
      </c>
      <c r="F76" s="105" t="s">
        <v>214</v>
      </c>
      <c r="G76" s="105" t="s">
        <v>575</v>
      </c>
      <c r="H76" s="98"/>
      <c r="I76" s="98"/>
      <c r="J76" s="98"/>
      <c r="K76" s="98"/>
      <c r="L76" s="98"/>
      <c r="M76" s="98"/>
      <c r="N76" s="98"/>
      <c r="O76" s="98"/>
      <c r="P76" s="98"/>
      <c r="Q76" s="98"/>
      <c r="R76" s="98"/>
      <c r="S76" s="98"/>
      <c r="T76" s="87" t="s">
        <v>909</v>
      </c>
      <c r="U76" s="87" t="s">
        <v>910</v>
      </c>
      <c r="V76" s="87" t="s">
        <v>835</v>
      </c>
      <c r="W76" s="87" t="s">
        <v>836</v>
      </c>
      <c r="X76" s="87"/>
      <c r="Y76" s="87"/>
      <c r="Z76" s="92"/>
    </row>
    <row r="77" spans="1:26" x14ac:dyDescent="0.3">
      <c r="A77" s="88" t="s">
        <v>830</v>
      </c>
      <c r="B77" s="88" t="s">
        <v>207</v>
      </c>
      <c r="C77" s="88" t="s">
        <v>211</v>
      </c>
      <c r="D77" s="88" t="s">
        <v>919</v>
      </c>
      <c r="E77" s="88" t="s">
        <v>220</v>
      </c>
      <c r="F77" s="106" t="s">
        <v>214</v>
      </c>
      <c r="G77" s="106" t="s">
        <v>575</v>
      </c>
      <c r="H77" s="99"/>
      <c r="I77" s="99"/>
      <c r="J77" s="99"/>
      <c r="K77" s="99"/>
      <c r="L77" s="99"/>
      <c r="M77" s="99"/>
      <c r="N77" s="99"/>
      <c r="O77" s="99"/>
      <c r="P77" s="99"/>
      <c r="Q77" s="99"/>
      <c r="R77" s="99"/>
      <c r="S77" s="99"/>
      <c r="T77" s="88" t="s">
        <v>909</v>
      </c>
      <c r="U77" s="88" t="s">
        <v>910</v>
      </c>
      <c r="V77" s="88" t="s">
        <v>835</v>
      </c>
      <c r="W77" s="88" t="s">
        <v>836</v>
      </c>
      <c r="X77" s="88"/>
      <c r="Y77" s="88"/>
      <c r="Z77" s="93"/>
    </row>
    <row r="78" spans="1:26" x14ac:dyDescent="0.3">
      <c r="A78" s="87" t="s">
        <v>830</v>
      </c>
      <c r="B78" s="87" t="s">
        <v>207</v>
      </c>
      <c r="C78" s="87" t="s">
        <v>211</v>
      </c>
      <c r="D78" s="87" t="s">
        <v>920</v>
      </c>
      <c r="E78" s="87" t="s">
        <v>222</v>
      </c>
      <c r="F78" s="105" t="s">
        <v>214</v>
      </c>
      <c r="G78" s="105" t="s">
        <v>575</v>
      </c>
      <c r="H78" s="98"/>
      <c r="I78" s="98"/>
      <c r="J78" s="98"/>
      <c r="K78" s="98"/>
      <c r="L78" s="98"/>
      <c r="M78" s="98"/>
      <c r="N78" s="98"/>
      <c r="O78" s="98"/>
      <c r="P78" s="98"/>
      <c r="Q78" s="98"/>
      <c r="R78" s="98"/>
      <c r="S78" s="98"/>
      <c r="T78" s="87" t="s">
        <v>909</v>
      </c>
      <c r="U78" s="87" t="s">
        <v>910</v>
      </c>
      <c r="V78" s="87" t="s">
        <v>835</v>
      </c>
      <c r="W78" s="87" t="s">
        <v>836</v>
      </c>
      <c r="X78" s="87"/>
      <c r="Y78" s="87"/>
      <c r="Z78" s="92"/>
    </row>
    <row r="79" spans="1:26" x14ac:dyDescent="0.3">
      <c r="A79" s="88" t="s">
        <v>830</v>
      </c>
      <c r="B79" s="88" t="s">
        <v>207</v>
      </c>
      <c r="C79" s="88" t="s">
        <v>211</v>
      </c>
      <c r="D79" s="88" t="s">
        <v>921</v>
      </c>
      <c r="E79" s="88" t="s">
        <v>224</v>
      </c>
      <c r="F79" s="106" t="s">
        <v>214</v>
      </c>
      <c r="G79" s="106" t="s">
        <v>575</v>
      </c>
      <c r="H79" s="99"/>
      <c r="I79" s="99"/>
      <c r="J79" s="99"/>
      <c r="K79" s="99"/>
      <c r="L79" s="99"/>
      <c r="M79" s="99"/>
      <c r="N79" s="99"/>
      <c r="O79" s="99"/>
      <c r="P79" s="99"/>
      <c r="Q79" s="99"/>
      <c r="R79" s="99"/>
      <c r="S79" s="99"/>
      <c r="T79" s="88" t="s">
        <v>909</v>
      </c>
      <c r="U79" s="88" t="s">
        <v>910</v>
      </c>
      <c r="V79" s="88" t="s">
        <v>835</v>
      </c>
      <c r="W79" s="88" t="s">
        <v>836</v>
      </c>
      <c r="X79" s="88"/>
      <c r="Y79" s="88"/>
      <c r="Z79" s="93"/>
    </row>
    <row r="80" spans="1:26" x14ac:dyDescent="0.3">
      <c r="A80" s="87" t="s">
        <v>830</v>
      </c>
      <c r="B80" s="87" t="s">
        <v>207</v>
      </c>
      <c r="C80" s="87" t="s">
        <v>211</v>
      </c>
      <c r="D80" s="87" t="s">
        <v>922</v>
      </c>
      <c r="E80" s="87" t="s">
        <v>923</v>
      </c>
      <c r="F80" s="105" t="s">
        <v>214</v>
      </c>
      <c r="G80" s="105" t="s">
        <v>575</v>
      </c>
      <c r="H80" s="98"/>
      <c r="I80" s="98"/>
      <c r="J80" s="98"/>
      <c r="K80" s="98"/>
      <c r="L80" s="98"/>
      <c r="M80" s="98"/>
      <c r="N80" s="98"/>
      <c r="O80" s="98"/>
      <c r="P80" s="98"/>
      <c r="Q80" s="98"/>
      <c r="R80" s="98"/>
      <c r="S80" s="98"/>
      <c r="T80" s="87" t="s">
        <v>909</v>
      </c>
      <c r="U80" s="87" t="s">
        <v>910</v>
      </c>
      <c r="V80" s="87" t="s">
        <v>835</v>
      </c>
      <c r="W80" s="87" t="s">
        <v>836</v>
      </c>
      <c r="X80" s="87"/>
      <c r="Y80" s="87"/>
      <c r="Z80" s="92"/>
    </row>
    <row r="81" spans="1:26" x14ac:dyDescent="0.3">
      <c r="A81" s="86" t="s">
        <v>830</v>
      </c>
      <c r="B81" s="86" t="s">
        <v>207</v>
      </c>
      <c r="C81" s="86" t="s">
        <v>225</v>
      </c>
      <c r="D81" s="86" t="s">
        <v>215</v>
      </c>
      <c r="E81" s="86" t="s">
        <v>924</v>
      </c>
      <c r="F81" s="104"/>
      <c r="G81" s="104"/>
      <c r="H81" s="97"/>
      <c r="I81" s="97"/>
      <c r="J81" s="97"/>
      <c r="K81" s="97"/>
      <c r="L81" s="97"/>
      <c r="M81" s="97"/>
      <c r="N81" s="97"/>
      <c r="O81" s="97"/>
      <c r="P81" s="97"/>
      <c r="Q81" s="97"/>
      <c r="R81" s="97"/>
      <c r="S81" s="97"/>
      <c r="T81" s="86"/>
      <c r="U81" s="86"/>
      <c r="V81" s="86"/>
      <c r="W81" s="86"/>
      <c r="X81" s="86"/>
      <c r="Y81" s="86"/>
      <c r="Z81" s="91"/>
    </row>
    <row r="82" spans="1:26" x14ac:dyDescent="0.3">
      <c r="A82" s="87" t="s">
        <v>830</v>
      </c>
      <c r="B82" s="87" t="s">
        <v>207</v>
      </c>
      <c r="C82" s="87" t="s">
        <v>225</v>
      </c>
      <c r="D82" s="87" t="s">
        <v>925</v>
      </c>
      <c r="E82" s="87" t="s">
        <v>227</v>
      </c>
      <c r="F82" s="105" t="s">
        <v>153</v>
      </c>
      <c r="G82" s="105" t="s">
        <v>575</v>
      </c>
      <c r="H82" s="98"/>
      <c r="I82" s="98"/>
      <c r="J82" s="98"/>
      <c r="K82" s="98"/>
      <c r="L82" s="98"/>
      <c r="M82" s="98"/>
      <c r="N82" s="98"/>
      <c r="O82" s="98"/>
      <c r="P82" s="98"/>
      <c r="Q82" s="98"/>
      <c r="R82" s="98"/>
      <c r="S82" s="98"/>
      <c r="T82" s="87" t="s">
        <v>926</v>
      </c>
      <c r="U82" s="87" t="s">
        <v>927</v>
      </c>
      <c r="V82" s="87" t="s">
        <v>928</v>
      </c>
      <c r="W82" s="87" t="s">
        <v>928</v>
      </c>
      <c r="X82" s="87"/>
      <c r="Y82" s="87"/>
      <c r="Z82" s="92"/>
    </row>
    <row r="83" spans="1:26" x14ac:dyDescent="0.3">
      <c r="A83" s="88" t="s">
        <v>830</v>
      </c>
      <c r="B83" s="88" t="s">
        <v>207</v>
      </c>
      <c r="C83" s="88" t="s">
        <v>225</v>
      </c>
      <c r="D83" s="88" t="s">
        <v>929</v>
      </c>
      <c r="E83" s="88" t="s">
        <v>229</v>
      </c>
      <c r="F83" s="106" t="s">
        <v>153</v>
      </c>
      <c r="G83" s="106" t="s">
        <v>575</v>
      </c>
      <c r="H83" s="99"/>
      <c r="I83" s="99"/>
      <c r="J83" s="99"/>
      <c r="K83" s="99"/>
      <c r="L83" s="99"/>
      <c r="M83" s="99"/>
      <c r="N83" s="99"/>
      <c r="O83" s="99"/>
      <c r="P83" s="99"/>
      <c r="Q83" s="99"/>
      <c r="R83" s="99"/>
      <c r="S83" s="99"/>
      <c r="T83" s="88" t="s">
        <v>926</v>
      </c>
      <c r="U83" s="88" t="s">
        <v>927</v>
      </c>
      <c r="V83" s="88" t="s">
        <v>928</v>
      </c>
      <c r="W83" s="88" t="s">
        <v>928</v>
      </c>
      <c r="X83" s="88"/>
      <c r="Y83" s="88"/>
      <c r="Z83" s="93"/>
    </row>
    <row r="84" spans="1:26" x14ac:dyDescent="0.3">
      <c r="A84" s="87" t="s">
        <v>830</v>
      </c>
      <c r="B84" s="87" t="s">
        <v>207</v>
      </c>
      <c r="C84" s="87" t="s">
        <v>225</v>
      </c>
      <c r="D84" s="87" t="s">
        <v>930</v>
      </c>
      <c r="E84" s="87" t="s">
        <v>931</v>
      </c>
      <c r="F84" s="105" t="s">
        <v>153</v>
      </c>
      <c r="G84" s="105" t="s">
        <v>575</v>
      </c>
      <c r="H84" s="98"/>
      <c r="I84" s="98"/>
      <c r="J84" s="98"/>
      <c r="K84" s="98"/>
      <c r="L84" s="98"/>
      <c r="M84" s="98"/>
      <c r="N84" s="98"/>
      <c r="O84" s="98"/>
      <c r="P84" s="98"/>
      <c r="Q84" s="98"/>
      <c r="R84" s="98"/>
      <c r="S84" s="98"/>
      <c r="T84" s="87" t="s">
        <v>926</v>
      </c>
      <c r="U84" s="87" t="s">
        <v>927</v>
      </c>
      <c r="V84" s="87" t="s">
        <v>928</v>
      </c>
      <c r="W84" s="87" t="s">
        <v>928</v>
      </c>
      <c r="X84" s="87"/>
      <c r="Y84" s="87"/>
      <c r="Z84" s="92"/>
    </row>
    <row r="85" spans="1:26" x14ac:dyDescent="0.3">
      <c r="A85" s="88" t="s">
        <v>830</v>
      </c>
      <c r="B85" s="88" t="s">
        <v>207</v>
      </c>
      <c r="C85" s="88" t="s">
        <v>225</v>
      </c>
      <c r="D85" s="88" t="s">
        <v>932</v>
      </c>
      <c r="E85" s="88" t="s">
        <v>933</v>
      </c>
      <c r="F85" s="106" t="s">
        <v>214</v>
      </c>
      <c r="G85" s="106" t="s">
        <v>575</v>
      </c>
      <c r="H85" s="99"/>
      <c r="I85" s="99"/>
      <c r="J85" s="99"/>
      <c r="K85" s="99"/>
      <c r="L85" s="99"/>
      <c r="M85" s="99"/>
      <c r="N85" s="99"/>
      <c r="O85" s="99"/>
      <c r="P85" s="99"/>
      <c r="Q85" s="99"/>
      <c r="R85" s="99"/>
      <c r="S85" s="99"/>
      <c r="T85" s="88" t="s">
        <v>909</v>
      </c>
      <c r="U85" s="88" t="s">
        <v>910</v>
      </c>
      <c r="V85" s="88" t="s">
        <v>835</v>
      </c>
      <c r="W85" s="88" t="s">
        <v>836</v>
      </c>
      <c r="X85" s="88"/>
      <c r="Y85" s="88"/>
      <c r="Z85" s="93"/>
    </row>
    <row r="86" spans="1:26" x14ac:dyDescent="0.3">
      <c r="A86" s="87" t="s">
        <v>830</v>
      </c>
      <c r="B86" s="87" t="s">
        <v>207</v>
      </c>
      <c r="C86" s="87" t="s">
        <v>225</v>
      </c>
      <c r="D86" s="87" t="s">
        <v>934</v>
      </c>
      <c r="E86" s="87" t="s">
        <v>935</v>
      </c>
      <c r="F86" s="105" t="s">
        <v>214</v>
      </c>
      <c r="G86" s="105" t="s">
        <v>575</v>
      </c>
      <c r="H86" s="98"/>
      <c r="I86" s="98"/>
      <c r="J86" s="98"/>
      <c r="K86" s="98"/>
      <c r="L86" s="98"/>
      <c r="M86" s="98"/>
      <c r="N86" s="98"/>
      <c r="O86" s="98"/>
      <c r="P86" s="98"/>
      <c r="Q86" s="98"/>
      <c r="R86" s="98"/>
      <c r="S86" s="98"/>
      <c r="T86" s="87" t="s">
        <v>909</v>
      </c>
      <c r="U86" s="87" t="s">
        <v>910</v>
      </c>
      <c r="V86" s="87" t="s">
        <v>835</v>
      </c>
      <c r="W86" s="87" t="s">
        <v>836</v>
      </c>
      <c r="X86" s="87"/>
      <c r="Y86" s="87"/>
      <c r="Z86" s="92"/>
    </row>
    <row r="87" spans="1:26" x14ac:dyDescent="0.3">
      <c r="A87" s="86" t="s">
        <v>830</v>
      </c>
      <c r="B87" s="86" t="s">
        <v>207</v>
      </c>
      <c r="C87" s="86" t="s">
        <v>230</v>
      </c>
      <c r="D87" s="86" t="s">
        <v>217</v>
      </c>
      <c r="E87" s="86" t="s">
        <v>936</v>
      </c>
      <c r="F87" s="104"/>
      <c r="G87" s="104"/>
      <c r="H87" s="97"/>
      <c r="I87" s="97"/>
      <c r="J87" s="97"/>
      <c r="K87" s="97"/>
      <c r="L87" s="97"/>
      <c r="M87" s="97"/>
      <c r="N87" s="97"/>
      <c r="O87" s="97"/>
      <c r="P87" s="97"/>
      <c r="Q87" s="97"/>
      <c r="R87" s="97"/>
      <c r="S87" s="97"/>
      <c r="T87" s="86"/>
      <c r="U87" s="86"/>
      <c r="V87" s="86"/>
      <c r="W87" s="86"/>
      <c r="X87" s="86"/>
      <c r="Y87" s="86"/>
      <c r="Z87" s="91"/>
    </row>
    <row r="88" spans="1:26" x14ac:dyDescent="0.3">
      <c r="A88" s="87" t="s">
        <v>830</v>
      </c>
      <c r="B88" s="87" t="s">
        <v>207</v>
      </c>
      <c r="C88" s="87" t="s">
        <v>230</v>
      </c>
      <c r="D88" s="87" t="s">
        <v>937</v>
      </c>
      <c r="E88" s="87" t="s">
        <v>938</v>
      </c>
      <c r="F88" s="105" t="s">
        <v>214</v>
      </c>
      <c r="G88" s="105" t="s">
        <v>575</v>
      </c>
      <c r="H88" s="98"/>
      <c r="I88" s="98"/>
      <c r="J88" s="98"/>
      <c r="K88" s="98"/>
      <c r="L88" s="98"/>
      <c r="M88" s="98"/>
      <c r="N88" s="98"/>
      <c r="O88" s="98"/>
      <c r="P88" s="98"/>
      <c r="Q88" s="98"/>
      <c r="R88" s="98"/>
      <c r="S88" s="98"/>
      <c r="T88" s="87" t="s">
        <v>909</v>
      </c>
      <c r="U88" s="87" t="s">
        <v>939</v>
      </c>
      <c r="V88" s="87" t="s">
        <v>835</v>
      </c>
      <c r="W88" s="87" t="s">
        <v>836</v>
      </c>
      <c r="X88" s="87"/>
      <c r="Y88" s="87"/>
      <c r="Z88" s="92" t="s">
        <v>940</v>
      </c>
    </row>
    <row r="89" spans="1:26" x14ac:dyDescent="0.3">
      <c r="A89" s="88" t="s">
        <v>830</v>
      </c>
      <c r="B89" s="88" t="s">
        <v>207</v>
      </c>
      <c r="C89" s="88" t="s">
        <v>230</v>
      </c>
      <c r="D89" s="88" t="s">
        <v>941</v>
      </c>
      <c r="E89" s="88" t="s">
        <v>942</v>
      </c>
      <c r="F89" s="106" t="s">
        <v>214</v>
      </c>
      <c r="G89" s="106" t="s">
        <v>575</v>
      </c>
      <c r="H89" s="99"/>
      <c r="I89" s="99"/>
      <c r="J89" s="99"/>
      <c r="K89" s="99"/>
      <c r="L89" s="99"/>
      <c r="M89" s="99"/>
      <c r="N89" s="99"/>
      <c r="O89" s="99"/>
      <c r="P89" s="99"/>
      <c r="Q89" s="99"/>
      <c r="R89" s="99"/>
      <c r="S89" s="99"/>
      <c r="T89" s="88" t="s">
        <v>909</v>
      </c>
      <c r="U89" s="88" t="s">
        <v>939</v>
      </c>
      <c r="V89" s="88" t="s">
        <v>835</v>
      </c>
      <c r="W89" s="88" t="s">
        <v>836</v>
      </c>
      <c r="X89" s="88"/>
      <c r="Y89" s="88"/>
      <c r="Z89" s="93" t="s">
        <v>940</v>
      </c>
    </row>
    <row r="90" spans="1:26" x14ac:dyDescent="0.3">
      <c r="A90" s="87" t="s">
        <v>830</v>
      </c>
      <c r="B90" s="87" t="s">
        <v>207</v>
      </c>
      <c r="C90" s="87" t="s">
        <v>230</v>
      </c>
      <c r="D90" s="87" t="s">
        <v>943</v>
      </c>
      <c r="E90" s="87" t="s">
        <v>944</v>
      </c>
      <c r="F90" s="105" t="s">
        <v>214</v>
      </c>
      <c r="G90" s="105" t="s">
        <v>575</v>
      </c>
      <c r="H90" s="98"/>
      <c r="I90" s="98"/>
      <c r="J90" s="98"/>
      <c r="K90" s="98"/>
      <c r="L90" s="98"/>
      <c r="M90" s="98"/>
      <c r="N90" s="98"/>
      <c r="O90" s="98"/>
      <c r="P90" s="98"/>
      <c r="Q90" s="98"/>
      <c r="R90" s="98"/>
      <c r="S90" s="98"/>
      <c r="T90" s="87" t="s">
        <v>909</v>
      </c>
      <c r="U90" s="87" t="s">
        <v>939</v>
      </c>
      <c r="V90" s="87" t="s">
        <v>835</v>
      </c>
      <c r="W90" s="87" t="s">
        <v>836</v>
      </c>
      <c r="X90" s="87"/>
      <c r="Y90" s="87"/>
      <c r="Z90" s="92" t="s">
        <v>940</v>
      </c>
    </row>
    <row r="91" spans="1:26" x14ac:dyDescent="0.3">
      <c r="A91" s="88" t="s">
        <v>830</v>
      </c>
      <c r="B91" s="88" t="s">
        <v>207</v>
      </c>
      <c r="C91" s="88" t="s">
        <v>230</v>
      </c>
      <c r="D91" s="88" t="s">
        <v>945</v>
      </c>
      <c r="E91" s="88" t="s">
        <v>946</v>
      </c>
      <c r="F91" s="106" t="s">
        <v>214</v>
      </c>
      <c r="G91" s="106" t="s">
        <v>575</v>
      </c>
      <c r="H91" s="99"/>
      <c r="I91" s="99"/>
      <c r="J91" s="99"/>
      <c r="K91" s="99"/>
      <c r="L91" s="99"/>
      <c r="M91" s="99"/>
      <c r="N91" s="99"/>
      <c r="O91" s="99"/>
      <c r="P91" s="99"/>
      <c r="Q91" s="99"/>
      <c r="R91" s="99"/>
      <c r="S91" s="99"/>
      <c r="T91" s="88" t="s">
        <v>909</v>
      </c>
      <c r="U91" s="88" t="s">
        <v>910</v>
      </c>
      <c r="V91" s="88" t="s">
        <v>835</v>
      </c>
      <c r="W91" s="88" t="s">
        <v>836</v>
      </c>
      <c r="X91" s="88"/>
      <c r="Y91" s="88"/>
      <c r="Z91" s="93"/>
    </row>
    <row r="92" spans="1:26" x14ac:dyDescent="0.3">
      <c r="A92" s="87" t="s">
        <v>830</v>
      </c>
      <c r="B92" s="87" t="s">
        <v>207</v>
      </c>
      <c r="C92" s="87" t="s">
        <v>230</v>
      </c>
      <c r="D92" s="87" t="s">
        <v>947</v>
      </c>
      <c r="E92" s="87" t="s">
        <v>948</v>
      </c>
      <c r="F92" s="105" t="s">
        <v>214</v>
      </c>
      <c r="G92" s="105" t="s">
        <v>575</v>
      </c>
      <c r="H92" s="98"/>
      <c r="I92" s="98"/>
      <c r="J92" s="98"/>
      <c r="K92" s="98"/>
      <c r="L92" s="98"/>
      <c r="M92" s="98"/>
      <c r="N92" s="98"/>
      <c r="O92" s="98"/>
      <c r="P92" s="98"/>
      <c r="Q92" s="98"/>
      <c r="R92" s="98"/>
      <c r="S92" s="98"/>
      <c r="T92" s="87" t="s">
        <v>909</v>
      </c>
      <c r="U92" s="87" t="s">
        <v>910</v>
      </c>
      <c r="V92" s="87" t="s">
        <v>835</v>
      </c>
      <c r="W92" s="87" t="s">
        <v>836</v>
      </c>
      <c r="X92" s="87"/>
      <c r="Y92" s="87"/>
      <c r="Z92" s="92"/>
    </row>
    <row r="93" spans="1:26" x14ac:dyDescent="0.3">
      <c r="A93" s="88" t="s">
        <v>830</v>
      </c>
      <c r="B93" s="88" t="s">
        <v>207</v>
      </c>
      <c r="C93" s="88" t="s">
        <v>230</v>
      </c>
      <c r="D93" s="88" t="s">
        <v>949</v>
      </c>
      <c r="E93" s="88" t="s">
        <v>950</v>
      </c>
      <c r="F93" s="106" t="s">
        <v>214</v>
      </c>
      <c r="G93" s="106" t="s">
        <v>575</v>
      </c>
      <c r="H93" s="99"/>
      <c r="I93" s="99"/>
      <c r="J93" s="99"/>
      <c r="K93" s="99"/>
      <c r="L93" s="99"/>
      <c r="M93" s="99"/>
      <c r="N93" s="99"/>
      <c r="O93" s="99"/>
      <c r="P93" s="99"/>
      <c r="Q93" s="99"/>
      <c r="R93" s="99"/>
      <c r="S93" s="99"/>
      <c r="T93" s="88" t="s">
        <v>909</v>
      </c>
      <c r="U93" s="88" t="s">
        <v>910</v>
      </c>
      <c r="V93" s="88" t="s">
        <v>835</v>
      </c>
      <c r="W93" s="88" t="s">
        <v>836</v>
      </c>
      <c r="X93" s="88"/>
      <c r="Y93" s="88"/>
      <c r="Z93" s="93"/>
    </row>
    <row r="94" spans="1:26" x14ac:dyDescent="0.3">
      <c r="A94" s="87" t="s">
        <v>830</v>
      </c>
      <c r="B94" s="87" t="s">
        <v>207</v>
      </c>
      <c r="C94" s="87" t="s">
        <v>230</v>
      </c>
      <c r="D94" s="87" t="s">
        <v>951</v>
      </c>
      <c r="E94" s="87" t="s">
        <v>952</v>
      </c>
      <c r="F94" s="105" t="s">
        <v>214</v>
      </c>
      <c r="G94" s="105" t="s">
        <v>575</v>
      </c>
      <c r="H94" s="98"/>
      <c r="I94" s="98"/>
      <c r="J94" s="98"/>
      <c r="K94" s="98"/>
      <c r="L94" s="98"/>
      <c r="M94" s="98"/>
      <c r="N94" s="98"/>
      <c r="O94" s="98"/>
      <c r="P94" s="98"/>
      <c r="Q94" s="98"/>
      <c r="R94" s="98"/>
      <c r="S94" s="98"/>
      <c r="T94" s="87" t="s">
        <v>909</v>
      </c>
      <c r="U94" s="87" t="s">
        <v>910</v>
      </c>
      <c r="V94" s="87" t="s">
        <v>835</v>
      </c>
      <c r="W94" s="87" t="s">
        <v>836</v>
      </c>
      <c r="X94" s="87"/>
      <c r="Y94" s="87"/>
      <c r="Z94" s="92"/>
    </row>
    <row r="95" spans="1:26" x14ac:dyDescent="0.3">
      <c r="A95" s="86" t="s">
        <v>830</v>
      </c>
      <c r="B95" s="86" t="s">
        <v>207</v>
      </c>
      <c r="C95" s="86" t="s">
        <v>231</v>
      </c>
      <c r="D95" s="86" t="s">
        <v>219</v>
      </c>
      <c r="E95" s="86" t="s">
        <v>953</v>
      </c>
      <c r="F95" s="104"/>
      <c r="G95" s="104"/>
      <c r="H95" s="97"/>
      <c r="I95" s="97"/>
      <c r="J95" s="97"/>
      <c r="K95" s="97"/>
      <c r="L95" s="97"/>
      <c r="M95" s="97"/>
      <c r="N95" s="97"/>
      <c r="O95" s="97"/>
      <c r="P95" s="97"/>
      <c r="Q95" s="97"/>
      <c r="R95" s="97"/>
      <c r="S95" s="97"/>
      <c r="T95" s="86"/>
      <c r="U95" s="86"/>
      <c r="V95" s="86"/>
      <c r="W95" s="86"/>
      <c r="X95" s="86"/>
      <c r="Y95" s="86"/>
      <c r="Z95" s="91"/>
    </row>
    <row r="96" spans="1:26" x14ac:dyDescent="0.3">
      <c r="A96" s="87" t="s">
        <v>830</v>
      </c>
      <c r="B96" s="87" t="s">
        <v>207</v>
      </c>
      <c r="C96" s="87" t="s">
        <v>231</v>
      </c>
      <c r="D96" s="87" t="s">
        <v>954</v>
      </c>
      <c r="E96" s="87" t="s">
        <v>955</v>
      </c>
      <c r="F96" s="105" t="s">
        <v>153</v>
      </c>
      <c r="G96" s="105" t="s">
        <v>575</v>
      </c>
      <c r="H96" s="98"/>
      <c r="I96" s="98"/>
      <c r="J96" s="98"/>
      <c r="K96" s="98"/>
      <c r="L96" s="98"/>
      <c r="M96" s="98"/>
      <c r="N96" s="98"/>
      <c r="O96" s="98"/>
      <c r="P96" s="98"/>
      <c r="Q96" s="98"/>
      <c r="R96" s="98"/>
      <c r="S96" s="98"/>
      <c r="T96" s="87" t="s">
        <v>926</v>
      </c>
      <c r="U96" s="87" t="s">
        <v>927</v>
      </c>
      <c r="V96" s="87" t="s">
        <v>928</v>
      </c>
      <c r="W96" s="87" t="s">
        <v>928</v>
      </c>
      <c r="X96" s="87"/>
      <c r="Y96" s="87"/>
      <c r="Z96" s="92"/>
    </row>
    <row r="97" spans="1:26" x14ac:dyDescent="0.3">
      <c r="A97" s="88" t="s">
        <v>830</v>
      </c>
      <c r="B97" s="88" t="s">
        <v>207</v>
      </c>
      <c r="C97" s="88" t="s">
        <v>231</v>
      </c>
      <c r="D97" s="88" t="s">
        <v>956</v>
      </c>
      <c r="E97" s="88" t="s">
        <v>957</v>
      </c>
      <c r="F97" s="106" t="s">
        <v>153</v>
      </c>
      <c r="G97" s="106" t="s">
        <v>575</v>
      </c>
      <c r="H97" s="99"/>
      <c r="I97" s="99"/>
      <c r="J97" s="99"/>
      <c r="K97" s="99"/>
      <c r="L97" s="99"/>
      <c r="M97" s="99"/>
      <c r="N97" s="99"/>
      <c r="O97" s="99"/>
      <c r="P97" s="99"/>
      <c r="Q97" s="99"/>
      <c r="R97" s="99"/>
      <c r="S97" s="99"/>
      <c r="T97" s="88" t="s">
        <v>926</v>
      </c>
      <c r="U97" s="88" t="s">
        <v>927</v>
      </c>
      <c r="V97" s="88" t="s">
        <v>928</v>
      </c>
      <c r="W97" s="88" t="s">
        <v>928</v>
      </c>
      <c r="X97" s="88"/>
      <c r="Y97" s="88"/>
      <c r="Z97" s="93"/>
    </row>
    <row r="98" spans="1:26" x14ac:dyDescent="0.3">
      <c r="A98" s="87" t="s">
        <v>830</v>
      </c>
      <c r="B98" s="87" t="s">
        <v>207</v>
      </c>
      <c r="C98" s="87" t="s">
        <v>231</v>
      </c>
      <c r="D98" s="87" t="s">
        <v>958</v>
      </c>
      <c r="E98" s="87" t="s">
        <v>232</v>
      </c>
      <c r="F98" s="105" t="s">
        <v>153</v>
      </c>
      <c r="G98" s="105" t="s">
        <v>575</v>
      </c>
      <c r="H98" s="98"/>
      <c r="I98" s="98"/>
      <c r="J98" s="98"/>
      <c r="K98" s="98"/>
      <c r="L98" s="98"/>
      <c r="M98" s="98"/>
      <c r="N98" s="98"/>
      <c r="O98" s="98"/>
      <c r="P98" s="98"/>
      <c r="Q98" s="98"/>
      <c r="R98" s="98"/>
      <c r="S98" s="98"/>
      <c r="T98" s="87" t="s">
        <v>926</v>
      </c>
      <c r="U98" s="87" t="s">
        <v>927</v>
      </c>
      <c r="V98" s="87" t="s">
        <v>928</v>
      </c>
      <c r="W98" s="87" t="s">
        <v>928</v>
      </c>
      <c r="X98" s="87"/>
      <c r="Y98" s="87"/>
      <c r="Z98" s="92"/>
    </row>
    <row r="99" spans="1:26" x14ac:dyDescent="0.3">
      <c r="A99" s="88" t="s">
        <v>830</v>
      </c>
      <c r="B99" s="88" t="s">
        <v>207</v>
      </c>
      <c r="C99" s="88" t="s">
        <v>231</v>
      </c>
      <c r="D99" s="88" t="s">
        <v>959</v>
      </c>
      <c r="E99" s="88" t="s">
        <v>960</v>
      </c>
      <c r="F99" s="106" t="s">
        <v>153</v>
      </c>
      <c r="G99" s="106" t="s">
        <v>575</v>
      </c>
      <c r="H99" s="99"/>
      <c r="I99" s="99"/>
      <c r="J99" s="99"/>
      <c r="K99" s="99"/>
      <c r="L99" s="99"/>
      <c r="M99" s="99"/>
      <c r="N99" s="99"/>
      <c r="O99" s="99"/>
      <c r="P99" s="99"/>
      <c r="Q99" s="99"/>
      <c r="R99" s="99"/>
      <c r="S99" s="99"/>
      <c r="T99" s="88" t="s">
        <v>926</v>
      </c>
      <c r="U99" s="88" t="s">
        <v>927</v>
      </c>
      <c r="V99" s="88" t="s">
        <v>928</v>
      </c>
      <c r="W99" s="88" t="s">
        <v>928</v>
      </c>
      <c r="X99" s="88"/>
      <c r="Y99" s="88"/>
      <c r="Z99" s="93"/>
    </row>
    <row r="100" spans="1:26" x14ac:dyDescent="0.3">
      <c r="A100" s="87" t="s">
        <v>830</v>
      </c>
      <c r="B100" s="87" t="s">
        <v>207</v>
      </c>
      <c r="C100" s="87" t="s">
        <v>231</v>
      </c>
      <c r="D100" s="87" t="s">
        <v>961</v>
      </c>
      <c r="E100" s="87" t="s">
        <v>962</v>
      </c>
      <c r="F100" s="105" t="s">
        <v>963</v>
      </c>
      <c r="G100" s="105" t="s">
        <v>575</v>
      </c>
      <c r="H100" s="98"/>
      <c r="I100" s="98"/>
      <c r="J100" s="98"/>
      <c r="K100" s="98"/>
      <c r="L100" s="98"/>
      <c r="M100" s="98"/>
      <c r="N100" s="98"/>
      <c r="O100" s="98"/>
      <c r="P100" s="98"/>
      <c r="Q100" s="98"/>
      <c r="R100" s="98"/>
      <c r="S100" s="98"/>
      <c r="T100" s="87" t="s">
        <v>964</v>
      </c>
      <c r="U100" s="87" t="s">
        <v>965</v>
      </c>
      <c r="V100" s="87" t="s">
        <v>966</v>
      </c>
      <c r="W100" s="87" t="s">
        <v>966</v>
      </c>
      <c r="X100" s="87"/>
      <c r="Y100" s="87"/>
      <c r="Z100" s="92" t="s">
        <v>967</v>
      </c>
    </row>
    <row r="101" spans="1:26" x14ac:dyDescent="0.3">
      <c r="A101" s="88" t="s">
        <v>830</v>
      </c>
      <c r="B101" s="88" t="s">
        <v>207</v>
      </c>
      <c r="C101" s="88" t="s">
        <v>231</v>
      </c>
      <c r="D101" s="88" t="s">
        <v>968</v>
      </c>
      <c r="E101" s="88" t="s">
        <v>969</v>
      </c>
      <c r="F101" s="106" t="s">
        <v>153</v>
      </c>
      <c r="G101" s="106" t="s">
        <v>575</v>
      </c>
      <c r="H101" s="99"/>
      <c r="I101" s="99"/>
      <c r="J101" s="99"/>
      <c r="K101" s="99"/>
      <c r="L101" s="99"/>
      <c r="M101" s="99"/>
      <c r="N101" s="99"/>
      <c r="O101" s="99"/>
      <c r="P101" s="99"/>
      <c r="Q101" s="99"/>
      <c r="R101" s="99"/>
      <c r="S101" s="99"/>
      <c r="T101" s="88" t="s">
        <v>926</v>
      </c>
      <c r="U101" s="88" t="s">
        <v>927</v>
      </c>
      <c r="V101" s="88" t="s">
        <v>928</v>
      </c>
      <c r="W101" s="88" t="s">
        <v>928</v>
      </c>
      <c r="X101" s="88"/>
      <c r="Y101" s="88"/>
      <c r="Z101" s="93"/>
    </row>
    <row r="102" spans="1:26" x14ac:dyDescent="0.3">
      <c r="A102" s="87" t="s">
        <v>830</v>
      </c>
      <c r="B102" s="87" t="s">
        <v>207</v>
      </c>
      <c r="C102" s="87" t="s">
        <v>231</v>
      </c>
      <c r="D102" s="87" t="s">
        <v>970</v>
      </c>
      <c r="E102" s="87" t="s">
        <v>971</v>
      </c>
      <c r="F102" s="105" t="s">
        <v>153</v>
      </c>
      <c r="G102" s="105" t="s">
        <v>575</v>
      </c>
      <c r="H102" s="98"/>
      <c r="I102" s="98"/>
      <c r="J102" s="98"/>
      <c r="K102" s="98"/>
      <c r="L102" s="98"/>
      <c r="M102" s="98"/>
      <c r="N102" s="98"/>
      <c r="O102" s="98"/>
      <c r="P102" s="98"/>
      <c r="Q102" s="98"/>
      <c r="R102" s="98"/>
      <c r="S102" s="98"/>
      <c r="T102" s="87" t="s">
        <v>926</v>
      </c>
      <c r="U102" s="87" t="s">
        <v>927</v>
      </c>
      <c r="V102" s="87" t="s">
        <v>928</v>
      </c>
      <c r="W102" s="87" t="s">
        <v>928</v>
      </c>
      <c r="X102" s="87"/>
      <c r="Y102" s="87"/>
      <c r="Z102" s="92"/>
    </row>
    <row r="103" spans="1:26" x14ac:dyDescent="0.3">
      <c r="A103" s="86" t="s">
        <v>830</v>
      </c>
      <c r="B103" s="86" t="s">
        <v>207</v>
      </c>
      <c r="C103" s="86" t="s">
        <v>234</v>
      </c>
      <c r="D103" s="86" t="s">
        <v>221</v>
      </c>
      <c r="E103" s="86" t="s">
        <v>972</v>
      </c>
      <c r="F103" s="104"/>
      <c r="G103" s="104"/>
      <c r="H103" s="97"/>
      <c r="I103" s="97"/>
      <c r="J103" s="97"/>
      <c r="K103" s="97"/>
      <c r="L103" s="97"/>
      <c r="M103" s="97"/>
      <c r="N103" s="97"/>
      <c r="O103" s="97"/>
      <c r="P103" s="97"/>
      <c r="Q103" s="97"/>
      <c r="R103" s="97"/>
      <c r="S103" s="97"/>
      <c r="T103" s="86"/>
      <c r="U103" s="86"/>
      <c r="V103" s="86"/>
      <c r="W103" s="86"/>
      <c r="X103" s="86"/>
      <c r="Y103" s="86"/>
      <c r="Z103" s="91"/>
    </row>
    <row r="104" spans="1:26" x14ac:dyDescent="0.3">
      <c r="A104" s="87" t="s">
        <v>830</v>
      </c>
      <c r="B104" s="87" t="s">
        <v>207</v>
      </c>
      <c r="C104" s="87" t="s">
        <v>234</v>
      </c>
      <c r="D104" s="87" t="s">
        <v>973</v>
      </c>
      <c r="E104" s="87" t="s">
        <v>974</v>
      </c>
      <c r="F104" s="105" t="s">
        <v>214</v>
      </c>
      <c r="G104" s="105" t="s">
        <v>575</v>
      </c>
      <c r="H104" s="98"/>
      <c r="I104" s="98"/>
      <c r="J104" s="98"/>
      <c r="K104" s="98"/>
      <c r="L104" s="98"/>
      <c r="M104" s="98"/>
      <c r="N104" s="98"/>
      <c r="O104" s="98"/>
      <c r="P104" s="98"/>
      <c r="Q104" s="98"/>
      <c r="R104" s="98"/>
      <c r="S104" s="98"/>
      <c r="T104" s="87" t="s">
        <v>909</v>
      </c>
      <c r="U104" s="87" t="s">
        <v>975</v>
      </c>
      <c r="V104" s="87" t="s">
        <v>835</v>
      </c>
      <c r="W104" s="87" t="s">
        <v>836</v>
      </c>
      <c r="X104" s="87"/>
      <c r="Y104" s="87"/>
      <c r="Z104" s="92"/>
    </row>
    <row r="105" spans="1:26" x14ac:dyDescent="0.3">
      <c r="A105" s="88" t="s">
        <v>830</v>
      </c>
      <c r="B105" s="88" t="s">
        <v>207</v>
      </c>
      <c r="C105" s="88" t="s">
        <v>234</v>
      </c>
      <c r="D105" s="88" t="s">
        <v>976</v>
      </c>
      <c r="E105" s="88" t="s">
        <v>977</v>
      </c>
      <c r="F105" s="106" t="s">
        <v>214</v>
      </c>
      <c r="G105" s="106" t="s">
        <v>575</v>
      </c>
      <c r="H105" s="99"/>
      <c r="I105" s="99"/>
      <c r="J105" s="99"/>
      <c r="K105" s="99"/>
      <c r="L105" s="99"/>
      <c r="M105" s="99"/>
      <c r="N105" s="99"/>
      <c r="O105" s="99"/>
      <c r="P105" s="99"/>
      <c r="Q105" s="99"/>
      <c r="R105" s="99"/>
      <c r="S105" s="99"/>
      <c r="T105" s="88" t="s">
        <v>909</v>
      </c>
      <c r="U105" s="88" t="s">
        <v>975</v>
      </c>
      <c r="V105" s="88" t="s">
        <v>835</v>
      </c>
      <c r="W105" s="88" t="s">
        <v>836</v>
      </c>
      <c r="X105" s="88"/>
      <c r="Y105" s="88"/>
      <c r="Z105" s="93"/>
    </row>
    <row r="106" spans="1:26" x14ac:dyDescent="0.3">
      <c r="A106" s="87" t="s">
        <v>830</v>
      </c>
      <c r="B106" s="87" t="s">
        <v>207</v>
      </c>
      <c r="C106" s="87" t="s">
        <v>234</v>
      </c>
      <c r="D106" s="87" t="s">
        <v>978</v>
      </c>
      <c r="E106" s="87" t="s">
        <v>979</v>
      </c>
      <c r="F106" s="105" t="s">
        <v>153</v>
      </c>
      <c r="G106" s="105" t="s">
        <v>575</v>
      </c>
      <c r="H106" s="98"/>
      <c r="I106" s="98"/>
      <c r="J106" s="98"/>
      <c r="K106" s="98"/>
      <c r="L106" s="98"/>
      <c r="M106" s="98"/>
      <c r="N106" s="98"/>
      <c r="O106" s="98"/>
      <c r="P106" s="98"/>
      <c r="Q106" s="98"/>
      <c r="R106" s="98"/>
      <c r="S106" s="98"/>
      <c r="T106" s="87" t="s">
        <v>926</v>
      </c>
      <c r="U106" s="87" t="s">
        <v>927</v>
      </c>
      <c r="V106" s="87" t="s">
        <v>928</v>
      </c>
      <c r="W106" s="87" t="s">
        <v>928</v>
      </c>
      <c r="X106" s="87"/>
      <c r="Y106" s="87"/>
      <c r="Z106" s="92"/>
    </row>
    <row r="107" spans="1:26" x14ac:dyDescent="0.3">
      <c r="A107" s="88" t="s">
        <v>830</v>
      </c>
      <c r="B107" s="88" t="s">
        <v>207</v>
      </c>
      <c r="C107" s="88" t="s">
        <v>234</v>
      </c>
      <c r="D107" s="88" t="s">
        <v>980</v>
      </c>
      <c r="E107" s="88" t="s">
        <v>981</v>
      </c>
      <c r="F107" s="106" t="s">
        <v>153</v>
      </c>
      <c r="G107" s="106" t="s">
        <v>575</v>
      </c>
      <c r="H107" s="99"/>
      <c r="I107" s="99"/>
      <c r="J107" s="99"/>
      <c r="K107" s="99"/>
      <c r="L107" s="99"/>
      <c r="M107" s="99"/>
      <c r="N107" s="99"/>
      <c r="O107" s="99"/>
      <c r="P107" s="99"/>
      <c r="Q107" s="99"/>
      <c r="R107" s="99"/>
      <c r="S107" s="99"/>
      <c r="T107" s="88" t="s">
        <v>926</v>
      </c>
      <c r="U107" s="88" t="s">
        <v>927</v>
      </c>
      <c r="V107" s="88" t="s">
        <v>928</v>
      </c>
      <c r="W107" s="88" t="s">
        <v>928</v>
      </c>
      <c r="X107" s="88"/>
      <c r="Y107" s="88"/>
      <c r="Z107" s="93"/>
    </row>
    <row r="108" spans="1:26" x14ac:dyDescent="0.3">
      <c r="A108" s="87" t="s">
        <v>830</v>
      </c>
      <c r="B108" s="87" t="s">
        <v>207</v>
      </c>
      <c r="C108" s="87" t="s">
        <v>234</v>
      </c>
      <c r="D108" s="87" t="s">
        <v>982</v>
      </c>
      <c r="E108" s="87" t="s">
        <v>983</v>
      </c>
      <c r="F108" s="105" t="s">
        <v>153</v>
      </c>
      <c r="G108" s="105" t="s">
        <v>575</v>
      </c>
      <c r="H108" s="98"/>
      <c r="I108" s="98"/>
      <c r="J108" s="98"/>
      <c r="K108" s="98"/>
      <c r="L108" s="98"/>
      <c r="M108" s="98"/>
      <c r="N108" s="98"/>
      <c r="O108" s="98"/>
      <c r="P108" s="98"/>
      <c r="Q108" s="98"/>
      <c r="R108" s="98"/>
      <c r="S108" s="98"/>
      <c r="T108" s="87" t="s">
        <v>926</v>
      </c>
      <c r="U108" s="87" t="s">
        <v>927</v>
      </c>
      <c r="V108" s="87" t="s">
        <v>928</v>
      </c>
      <c r="W108" s="87" t="s">
        <v>928</v>
      </c>
      <c r="X108" s="87"/>
      <c r="Y108" s="87"/>
      <c r="Z108" s="92"/>
    </row>
    <row r="109" spans="1:26" x14ac:dyDescent="0.3">
      <c r="A109" s="86" t="s">
        <v>830</v>
      </c>
      <c r="B109" s="86" t="s">
        <v>207</v>
      </c>
      <c r="C109" s="86" t="s">
        <v>984</v>
      </c>
      <c r="D109" s="86" t="s">
        <v>223</v>
      </c>
      <c r="E109" s="86" t="s">
        <v>985</v>
      </c>
      <c r="F109" s="104"/>
      <c r="G109" s="104"/>
      <c r="H109" s="97"/>
      <c r="I109" s="97"/>
      <c r="J109" s="97"/>
      <c r="K109" s="97"/>
      <c r="L109" s="97"/>
      <c r="M109" s="97"/>
      <c r="N109" s="97"/>
      <c r="O109" s="97"/>
      <c r="P109" s="97"/>
      <c r="Q109" s="97"/>
      <c r="R109" s="97"/>
      <c r="S109" s="97"/>
      <c r="T109" s="86"/>
      <c r="U109" s="86"/>
      <c r="V109" s="86"/>
      <c r="W109" s="86"/>
      <c r="X109" s="86"/>
      <c r="Y109" s="86"/>
      <c r="Z109" s="91"/>
    </row>
    <row r="110" spans="1:26" x14ac:dyDescent="0.3">
      <c r="A110" s="87" t="s">
        <v>830</v>
      </c>
      <c r="B110" s="87" t="s">
        <v>207</v>
      </c>
      <c r="C110" s="87" t="s">
        <v>984</v>
      </c>
      <c r="D110" s="87" t="s">
        <v>986</v>
      </c>
      <c r="E110" s="87" t="s">
        <v>987</v>
      </c>
      <c r="F110" s="105" t="s">
        <v>153</v>
      </c>
      <c r="G110" s="105" t="s">
        <v>575</v>
      </c>
      <c r="H110" s="98"/>
      <c r="I110" s="98"/>
      <c r="J110" s="98"/>
      <c r="K110" s="98"/>
      <c r="L110" s="98"/>
      <c r="M110" s="98"/>
      <c r="N110" s="98"/>
      <c r="O110" s="98"/>
      <c r="P110" s="98"/>
      <c r="Q110" s="98"/>
      <c r="R110" s="98"/>
      <c r="S110" s="98"/>
      <c r="T110" s="87" t="s">
        <v>926</v>
      </c>
      <c r="U110" s="87" t="s">
        <v>988</v>
      </c>
      <c r="V110" s="87" t="s">
        <v>928</v>
      </c>
      <c r="W110" s="87" t="s">
        <v>928</v>
      </c>
      <c r="X110" s="87"/>
      <c r="Y110" s="87"/>
      <c r="Z110" s="92"/>
    </row>
    <row r="111" spans="1:26" x14ac:dyDescent="0.3">
      <c r="A111" s="88" t="s">
        <v>830</v>
      </c>
      <c r="B111" s="88" t="s">
        <v>207</v>
      </c>
      <c r="C111" s="88" t="s">
        <v>984</v>
      </c>
      <c r="D111" s="88" t="s">
        <v>989</v>
      </c>
      <c r="E111" s="88" t="s">
        <v>990</v>
      </c>
      <c r="F111" s="106" t="s">
        <v>153</v>
      </c>
      <c r="G111" s="106" t="s">
        <v>575</v>
      </c>
      <c r="H111" s="99"/>
      <c r="I111" s="99"/>
      <c r="J111" s="99"/>
      <c r="K111" s="99"/>
      <c r="L111" s="99"/>
      <c r="M111" s="99"/>
      <c r="N111" s="99"/>
      <c r="O111" s="99"/>
      <c r="P111" s="99"/>
      <c r="Q111" s="99"/>
      <c r="R111" s="99"/>
      <c r="S111" s="99"/>
      <c r="T111" s="88" t="s">
        <v>926</v>
      </c>
      <c r="U111" s="88" t="s">
        <v>988</v>
      </c>
      <c r="V111" s="88" t="s">
        <v>928</v>
      </c>
      <c r="W111" s="88" t="s">
        <v>928</v>
      </c>
      <c r="X111" s="88"/>
      <c r="Y111" s="88"/>
      <c r="Z111" s="93"/>
    </row>
    <row r="112" spans="1:26" x14ac:dyDescent="0.3">
      <c r="A112" s="87" t="s">
        <v>830</v>
      </c>
      <c r="B112" s="87" t="s">
        <v>207</v>
      </c>
      <c r="C112" s="87" t="s">
        <v>984</v>
      </c>
      <c r="D112" s="87" t="s">
        <v>991</v>
      </c>
      <c r="E112" s="87" t="s">
        <v>992</v>
      </c>
      <c r="F112" s="105" t="s">
        <v>214</v>
      </c>
      <c r="G112" s="105" t="s">
        <v>575</v>
      </c>
      <c r="H112" s="98"/>
      <c r="I112" s="98"/>
      <c r="J112" s="98"/>
      <c r="K112" s="98"/>
      <c r="L112" s="98"/>
      <c r="M112" s="98"/>
      <c r="N112" s="98"/>
      <c r="O112" s="98"/>
      <c r="P112" s="98"/>
      <c r="Q112" s="98"/>
      <c r="R112" s="98"/>
      <c r="S112" s="98"/>
      <c r="T112" s="87" t="s">
        <v>909</v>
      </c>
      <c r="U112" s="87" t="s">
        <v>993</v>
      </c>
      <c r="V112" s="87" t="s">
        <v>835</v>
      </c>
      <c r="W112" s="87" t="s">
        <v>836</v>
      </c>
      <c r="X112" s="87"/>
      <c r="Y112" s="87"/>
      <c r="Z112" s="92"/>
    </row>
    <row r="113" spans="1:26" x14ac:dyDescent="0.3">
      <c r="A113" s="88" t="s">
        <v>830</v>
      </c>
      <c r="B113" s="88" t="s">
        <v>207</v>
      </c>
      <c r="C113" s="88" t="s">
        <v>984</v>
      </c>
      <c r="D113" s="88" t="s">
        <v>994</v>
      </c>
      <c r="E113" s="88" t="s">
        <v>995</v>
      </c>
      <c r="F113" s="106" t="s">
        <v>214</v>
      </c>
      <c r="G113" s="106" t="s">
        <v>575</v>
      </c>
      <c r="H113" s="99"/>
      <c r="I113" s="99"/>
      <c r="J113" s="99"/>
      <c r="K113" s="99"/>
      <c r="L113" s="99"/>
      <c r="M113" s="99"/>
      <c r="N113" s="99"/>
      <c r="O113" s="99"/>
      <c r="P113" s="99"/>
      <c r="Q113" s="99"/>
      <c r="R113" s="99"/>
      <c r="S113" s="99"/>
      <c r="T113" s="88" t="s">
        <v>909</v>
      </c>
      <c r="U113" s="88" t="s">
        <v>993</v>
      </c>
      <c r="V113" s="88" t="s">
        <v>835</v>
      </c>
      <c r="W113" s="88" t="s">
        <v>836</v>
      </c>
      <c r="X113" s="88"/>
      <c r="Y113" s="88"/>
      <c r="Z113" s="93"/>
    </row>
    <row r="114" spans="1:26" x14ac:dyDescent="0.3">
      <c r="A114" s="87" t="s">
        <v>830</v>
      </c>
      <c r="B114" s="87" t="s">
        <v>207</v>
      </c>
      <c r="C114" s="87" t="s">
        <v>984</v>
      </c>
      <c r="D114" s="87" t="s">
        <v>996</v>
      </c>
      <c r="E114" s="87" t="s">
        <v>997</v>
      </c>
      <c r="F114" s="105" t="s">
        <v>235</v>
      </c>
      <c r="G114" s="105" t="s">
        <v>575</v>
      </c>
      <c r="H114" s="98"/>
      <c r="I114" s="98"/>
      <c r="J114" s="98"/>
      <c r="K114" s="98"/>
      <c r="L114" s="98"/>
      <c r="M114" s="98"/>
      <c r="N114" s="98"/>
      <c r="O114" s="98"/>
      <c r="P114" s="98"/>
      <c r="Q114" s="98"/>
      <c r="R114" s="98"/>
      <c r="S114" s="98"/>
      <c r="T114" s="87" t="s">
        <v>998</v>
      </c>
      <c r="U114" s="87" t="s">
        <v>999</v>
      </c>
      <c r="V114" s="87" t="s">
        <v>1000</v>
      </c>
      <c r="W114" s="87" t="s">
        <v>1000</v>
      </c>
      <c r="X114" s="87"/>
      <c r="Y114" s="87"/>
      <c r="Z114" s="92"/>
    </row>
    <row r="115" spans="1:26" x14ac:dyDescent="0.3">
      <c r="A115" s="86" t="s">
        <v>830</v>
      </c>
      <c r="B115" s="86" t="s">
        <v>207</v>
      </c>
      <c r="C115" s="86" t="s">
        <v>1001</v>
      </c>
      <c r="D115" s="86" t="s">
        <v>226</v>
      </c>
      <c r="E115" s="86" t="s">
        <v>1002</v>
      </c>
      <c r="F115" s="104"/>
      <c r="G115" s="104"/>
      <c r="H115" s="97"/>
      <c r="I115" s="97"/>
      <c r="J115" s="97"/>
      <c r="K115" s="97"/>
      <c r="L115" s="97"/>
      <c r="M115" s="97"/>
      <c r="N115" s="97"/>
      <c r="O115" s="97"/>
      <c r="P115" s="97"/>
      <c r="Q115" s="97"/>
      <c r="R115" s="97"/>
      <c r="S115" s="97"/>
      <c r="T115" s="86"/>
      <c r="U115" s="86"/>
      <c r="V115" s="86"/>
      <c r="W115" s="86"/>
      <c r="X115" s="86"/>
      <c r="Y115" s="86"/>
      <c r="Z115" s="91"/>
    </row>
    <row r="116" spans="1:26" x14ac:dyDescent="0.3">
      <c r="A116" s="87" t="s">
        <v>830</v>
      </c>
      <c r="B116" s="87" t="s">
        <v>207</v>
      </c>
      <c r="C116" s="87" t="s">
        <v>1001</v>
      </c>
      <c r="D116" s="87" t="s">
        <v>1003</v>
      </c>
      <c r="E116" s="87" t="s">
        <v>1004</v>
      </c>
      <c r="F116" s="105" t="s">
        <v>153</v>
      </c>
      <c r="G116" s="105" t="s">
        <v>575</v>
      </c>
      <c r="H116" s="98"/>
      <c r="I116" s="98"/>
      <c r="J116" s="98"/>
      <c r="K116" s="98"/>
      <c r="L116" s="98"/>
      <c r="M116" s="98"/>
      <c r="N116" s="98"/>
      <c r="O116" s="98"/>
      <c r="P116" s="98"/>
      <c r="Q116" s="98"/>
      <c r="R116" s="98"/>
      <c r="S116" s="98"/>
      <c r="T116" s="87" t="s">
        <v>926</v>
      </c>
      <c r="U116" s="87" t="s">
        <v>1005</v>
      </c>
      <c r="V116" s="87" t="s">
        <v>928</v>
      </c>
      <c r="W116" s="87" t="s">
        <v>928</v>
      </c>
      <c r="X116" s="87"/>
      <c r="Y116" s="87"/>
      <c r="Z116" s="92"/>
    </row>
    <row r="117" spans="1:26" x14ac:dyDescent="0.3">
      <c r="A117" s="88" t="s">
        <v>830</v>
      </c>
      <c r="B117" s="88" t="s">
        <v>207</v>
      </c>
      <c r="C117" s="88" t="s">
        <v>1001</v>
      </c>
      <c r="D117" s="88" t="s">
        <v>1006</v>
      </c>
      <c r="E117" s="88" t="s">
        <v>1007</v>
      </c>
      <c r="F117" s="106" t="s">
        <v>153</v>
      </c>
      <c r="G117" s="106" t="s">
        <v>575</v>
      </c>
      <c r="H117" s="99"/>
      <c r="I117" s="99"/>
      <c r="J117" s="99"/>
      <c r="K117" s="99"/>
      <c r="L117" s="99"/>
      <c r="M117" s="99"/>
      <c r="N117" s="99"/>
      <c r="O117" s="99"/>
      <c r="P117" s="99"/>
      <c r="Q117" s="99"/>
      <c r="R117" s="99"/>
      <c r="S117" s="99"/>
      <c r="T117" s="88" t="s">
        <v>926</v>
      </c>
      <c r="U117" s="88" t="s">
        <v>1005</v>
      </c>
      <c r="V117" s="88" t="s">
        <v>928</v>
      </c>
      <c r="W117" s="88" t="s">
        <v>928</v>
      </c>
      <c r="X117" s="88"/>
      <c r="Y117" s="88"/>
      <c r="Z117" s="93"/>
    </row>
    <row r="118" spans="1:26" x14ac:dyDescent="0.3">
      <c r="A118" s="87" t="s">
        <v>830</v>
      </c>
      <c r="B118" s="87" t="s">
        <v>207</v>
      </c>
      <c r="C118" s="87" t="s">
        <v>1001</v>
      </c>
      <c r="D118" s="87" t="s">
        <v>1008</v>
      </c>
      <c r="E118" s="87" t="s">
        <v>1009</v>
      </c>
      <c r="F118" s="105" t="s">
        <v>153</v>
      </c>
      <c r="G118" s="105" t="s">
        <v>575</v>
      </c>
      <c r="H118" s="98"/>
      <c r="I118" s="98"/>
      <c r="J118" s="98"/>
      <c r="K118" s="98"/>
      <c r="L118" s="98"/>
      <c r="M118" s="98"/>
      <c r="N118" s="98"/>
      <c r="O118" s="98"/>
      <c r="P118" s="98"/>
      <c r="Q118" s="98"/>
      <c r="R118" s="98"/>
      <c r="S118" s="98"/>
      <c r="T118" s="87" t="s">
        <v>926</v>
      </c>
      <c r="U118" s="87" t="s">
        <v>1005</v>
      </c>
      <c r="V118" s="87" t="s">
        <v>928</v>
      </c>
      <c r="W118" s="87" t="s">
        <v>928</v>
      </c>
      <c r="X118" s="87"/>
      <c r="Y118" s="87"/>
      <c r="Z118" s="92"/>
    </row>
    <row r="119" spans="1:26" x14ac:dyDescent="0.3">
      <c r="A119" s="88" t="s">
        <v>830</v>
      </c>
      <c r="B119" s="88" t="s">
        <v>207</v>
      </c>
      <c r="C119" s="88" t="s">
        <v>1001</v>
      </c>
      <c r="D119" s="88" t="s">
        <v>1010</v>
      </c>
      <c r="E119" s="88" t="s">
        <v>1011</v>
      </c>
      <c r="F119" s="106" t="s">
        <v>153</v>
      </c>
      <c r="G119" s="106" t="s">
        <v>575</v>
      </c>
      <c r="H119" s="99"/>
      <c r="I119" s="99"/>
      <c r="J119" s="99"/>
      <c r="K119" s="99"/>
      <c r="L119" s="99"/>
      <c r="M119" s="99"/>
      <c r="N119" s="99"/>
      <c r="O119" s="99"/>
      <c r="P119" s="99"/>
      <c r="Q119" s="99"/>
      <c r="R119" s="99"/>
      <c r="S119" s="99"/>
      <c r="T119" s="88" t="s">
        <v>926</v>
      </c>
      <c r="U119" s="88" t="s">
        <v>1005</v>
      </c>
      <c r="V119" s="88" t="s">
        <v>928</v>
      </c>
      <c r="W119" s="88" t="s">
        <v>928</v>
      </c>
      <c r="X119" s="88"/>
      <c r="Y119" s="88"/>
      <c r="Z119" s="93"/>
    </row>
    <row r="120" spans="1:26" x14ac:dyDescent="0.3">
      <c r="A120" s="87" t="s">
        <v>830</v>
      </c>
      <c r="B120" s="87" t="s">
        <v>207</v>
      </c>
      <c r="C120" s="87" t="s">
        <v>1001</v>
      </c>
      <c r="D120" s="87" t="s">
        <v>1012</v>
      </c>
      <c r="E120" s="87" t="s">
        <v>1013</v>
      </c>
      <c r="F120" s="105" t="s">
        <v>153</v>
      </c>
      <c r="G120" s="105" t="s">
        <v>575</v>
      </c>
      <c r="H120" s="98"/>
      <c r="I120" s="98"/>
      <c r="J120" s="98"/>
      <c r="K120" s="98"/>
      <c r="L120" s="98"/>
      <c r="M120" s="98"/>
      <c r="N120" s="98"/>
      <c r="O120" s="98"/>
      <c r="P120" s="98"/>
      <c r="Q120" s="98"/>
      <c r="R120" s="98"/>
      <c r="S120" s="98"/>
      <c r="T120" s="87" t="s">
        <v>926</v>
      </c>
      <c r="U120" s="87" t="s">
        <v>1005</v>
      </c>
      <c r="V120" s="87" t="s">
        <v>928</v>
      </c>
      <c r="W120" s="87" t="s">
        <v>928</v>
      </c>
      <c r="X120" s="87"/>
      <c r="Y120" s="87"/>
      <c r="Z120" s="92"/>
    </row>
    <row r="121" spans="1:26" x14ac:dyDescent="0.3">
      <c r="A121" s="88" t="s">
        <v>830</v>
      </c>
      <c r="B121" s="88" t="s">
        <v>207</v>
      </c>
      <c r="C121" s="88" t="s">
        <v>1001</v>
      </c>
      <c r="D121" s="88" t="s">
        <v>1014</v>
      </c>
      <c r="E121" s="88" t="s">
        <v>1015</v>
      </c>
      <c r="F121" s="106" t="s">
        <v>153</v>
      </c>
      <c r="G121" s="106" t="s">
        <v>575</v>
      </c>
      <c r="H121" s="99"/>
      <c r="I121" s="99"/>
      <c r="J121" s="99"/>
      <c r="K121" s="99"/>
      <c r="L121" s="99"/>
      <c r="M121" s="99"/>
      <c r="N121" s="99"/>
      <c r="O121" s="99"/>
      <c r="P121" s="99"/>
      <c r="Q121" s="99"/>
      <c r="R121" s="99"/>
      <c r="S121" s="99"/>
      <c r="T121" s="88" t="s">
        <v>926</v>
      </c>
      <c r="U121" s="88" t="s">
        <v>1005</v>
      </c>
      <c r="V121" s="88" t="s">
        <v>928</v>
      </c>
      <c r="W121" s="88" t="s">
        <v>928</v>
      </c>
      <c r="X121" s="88"/>
      <c r="Y121" s="88"/>
      <c r="Z121" s="93"/>
    </row>
    <row r="122" spans="1:26" x14ac:dyDescent="0.3">
      <c r="A122" s="87" t="s">
        <v>830</v>
      </c>
      <c r="B122" s="87" t="s">
        <v>207</v>
      </c>
      <c r="C122" s="87" t="s">
        <v>1001</v>
      </c>
      <c r="D122" s="87" t="s">
        <v>1016</v>
      </c>
      <c r="E122" s="87" t="s">
        <v>1017</v>
      </c>
      <c r="F122" s="105" t="s">
        <v>153</v>
      </c>
      <c r="G122" s="105" t="s">
        <v>575</v>
      </c>
      <c r="H122" s="98"/>
      <c r="I122" s="98"/>
      <c r="J122" s="98"/>
      <c r="K122" s="98"/>
      <c r="L122" s="98"/>
      <c r="M122" s="98"/>
      <c r="N122" s="98"/>
      <c r="O122" s="98"/>
      <c r="P122" s="98"/>
      <c r="Q122" s="98"/>
      <c r="R122" s="98"/>
      <c r="S122" s="98"/>
      <c r="T122" s="87" t="s">
        <v>926</v>
      </c>
      <c r="U122" s="87" t="s">
        <v>1005</v>
      </c>
      <c r="V122" s="87" t="s">
        <v>928</v>
      </c>
      <c r="W122" s="87" t="s">
        <v>928</v>
      </c>
      <c r="X122" s="87"/>
      <c r="Y122" s="87"/>
      <c r="Z122" s="92"/>
    </row>
    <row r="123" spans="1:26" x14ac:dyDescent="0.3">
      <c r="A123" s="88" t="s">
        <v>830</v>
      </c>
      <c r="B123" s="88" t="s">
        <v>207</v>
      </c>
      <c r="C123" s="88" t="s">
        <v>1001</v>
      </c>
      <c r="D123" s="88" t="s">
        <v>1018</v>
      </c>
      <c r="E123" s="88" t="s">
        <v>1019</v>
      </c>
      <c r="F123" s="106" t="s">
        <v>153</v>
      </c>
      <c r="G123" s="106" t="s">
        <v>575</v>
      </c>
      <c r="H123" s="99"/>
      <c r="I123" s="99"/>
      <c r="J123" s="99"/>
      <c r="K123" s="99"/>
      <c r="L123" s="99"/>
      <c r="M123" s="99"/>
      <c r="N123" s="99"/>
      <c r="O123" s="99"/>
      <c r="P123" s="99"/>
      <c r="Q123" s="99"/>
      <c r="R123" s="99"/>
      <c r="S123" s="99"/>
      <c r="T123" s="88" t="s">
        <v>926</v>
      </c>
      <c r="U123" s="88" t="s">
        <v>1005</v>
      </c>
      <c r="V123" s="88" t="s">
        <v>928</v>
      </c>
      <c r="W123" s="88" t="s">
        <v>928</v>
      </c>
      <c r="X123" s="88"/>
      <c r="Y123" s="88"/>
      <c r="Z123" s="93"/>
    </row>
    <row r="124" spans="1:26" x14ac:dyDescent="0.3">
      <c r="A124" s="86" t="s">
        <v>830</v>
      </c>
      <c r="B124" s="86" t="s">
        <v>207</v>
      </c>
      <c r="C124" s="86" t="s">
        <v>1020</v>
      </c>
      <c r="D124" s="86" t="s">
        <v>228</v>
      </c>
      <c r="E124" s="86" t="s">
        <v>1021</v>
      </c>
      <c r="F124" s="104"/>
      <c r="G124" s="104"/>
      <c r="H124" s="97"/>
      <c r="I124" s="97"/>
      <c r="J124" s="97"/>
      <c r="K124" s="97"/>
      <c r="L124" s="97"/>
      <c r="M124" s="97"/>
      <c r="N124" s="97"/>
      <c r="O124" s="97"/>
      <c r="P124" s="97"/>
      <c r="Q124" s="97"/>
      <c r="R124" s="97"/>
      <c r="S124" s="97"/>
      <c r="T124" s="86"/>
      <c r="U124" s="86"/>
      <c r="V124" s="86"/>
      <c r="W124" s="86"/>
      <c r="X124" s="86"/>
      <c r="Y124" s="86"/>
      <c r="Z124" s="91"/>
    </row>
    <row r="125" spans="1:26" x14ac:dyDescent="0.3">
      <c r="A125" s="88" t="s">
        <v>830</v>
      </c>
      <c r="B125" s="88" t="s">
        <v>207</v>
      </c>
      <c r="C125" s="88" t="s">
        <v>1020</v>
      </c>
      <c r="D125" s="88" t="s">
        <v>1022</v>
      </c>
      <c r="E125" s="88" t="s">
        <v>1023</v>
      </c>
      <c r="F125" s="106" t="s">
        <v>153</v>
      </c>
      <c r="G125" s="106" t="s">
        <v>575</v>
      </c>
      <c r="H125" s="99"/>
      <c r="I125" s="99"/>
      <c r="J125" s="99"/>
      <c r="K125" s="99"/>
      <c r="L125" s="99"/>
      <c r="M125" s="99"/>
      <c r="N125" s="99"/>
      <c r="O125" s="99"/>
      <c r="P125" s="99"/>
      <c r="Q125" s="99"/>
      <c r="R125" s="99"/>
      <c r="S125" s="99"/>
      <c r="T125" s="88" t="s">
        <v>926</v>
      </c>
      <c r="U125" s="88" t="s">
        <v>927</v>
      </c>
      <c r="V125" s="88" t="s">
        <v>928</v>
      </c>
      <c r="W125" s="88" t="s">
        <v>928</v>
      </c>
      <c r="X125" s="88"/>
      <c r="Y125" s="88"/>
      <c r="Z125" s="93" t="s">
        <v>1024</v>
      </c>
    </row>
    <row r="126" spans="1:26" x14ac:dyDescent="0.3">
      <c r="A126" s="87" t="s">
        <v>830</v>
      </c>
      <c r="B126" s="87" t="s">
        <v>207</v>
      </c>
      <c r="C126" s="87" t="s">
        <v>1020</v>
      </c>
      <c r="D126" s="87" t="s">
        <v>1025</v>
      </c>
      <c r="E126" s="87" t="s">
        <v>1026</v>
      </c>
      <c r="F126" s="105" t="s">
        <v>153</v>
      </c>
      <c r="G126" s="105" t="s">
        <v>575</v>
      </c>
      <c r="H126" s="98"/>
      <c r="I126" s="98"/>
      <c r="J126" s="98"/>
      <c r="K126" s="98"/>
      <c r="L126" s="98"/>
      <c r="M126" s="98"/>
      <c r="N126" s="98"/>
      <c r="O126" s="98"/>
      <c r="P126" s="98"/>
      <c r="Q126" s="98"/>
      <c r="R126" s="98"/>
      <c r="S126" s="98"/>
      <c r="T126" s="87" t="s">
        <v>926</v>
      </c>
      <c r="U126" s="87" t="s">
        <v>927</v>
      </c>
      <c r="V126" s="87" t="s">
        <v>928</v>
      </c>
      <c r="W126" s="87" t="s">
        <v>928</v>
      </c>
      <c r="X126" s="87"/>
      <c r="Y126" s="87"/>
      <c r="Z126" s="92" t="s">
        <v>1024</v>
      </c>
    </row>
    <row r="127" spans="1:26" x14ac:dyDescent="0.3">
      <c r="A127" s="88" t="s">
        <v>830</v>
      </c>
      <c r="B127" s="88" t="s">
        <v>207</v>
      </c>
      <c r="C127" s="88" t="s">
        <v>1020</v>
      </c>
      <c r="D127" s="88" t="s">
        <v>1027</v>
      </c>
      <c r="E127" s="88" t="s">
        <v>1028</v>
      </c>
      <c r="F127" s="106" t="s">
        <v>153</v>
      </c>
      <c r="G127" s="106" t="s">
        <v>575</v>
      </c>
      <c r="H127" s="99"/>
      <c r="I127" s="99"/>
      <c r="J127" s="99"/>
      <c r="K127" s="99"/>
      <c r="L127" s="99"/>
      <c r="M127" s="99"/>
      <c r="N127" s="99"/>
      <c r="O127" s="99"/>
      <c r="P127" s="99"/>
      <c r="Q127" s="99"/>
      <c r="R127" s="99"/>
      <c r="S127" s="99"/>
      <c r="T127" s="88" t="s">
        <v>926</v>
      </c>
      <c r="U127" s="88" t="s">
        <v>927</v>
      </c>
      <c r="V127" s="88" t="s">
        <v>928</v>
      </c>
      <c r="W127" s="88" t="s">
        <v>928</v>
      </c>
      <c r="X127" s="88"/>
      <c r="Y127" s="88"/>
      <c r="Z127" s="93" t="s">
        <v>1024</v>
      </c>
    </row>
    <row r="128" spans="1:26" x14ac:dyDescent="0.3">
      <c r="A128" s="87" t="s">
        <v>830</v>
      </c>
      <c r="B128" s="87" t="s">
        <v>207</v>
      </c>
      <c r="C128" s="87" t="s">
        <v>1020</v>
      </c>
      <c r="D128" s="87" t="s">
        <v>1029</v>
      </c>
      <c r="E128" s="87" t="s">
        <v>1030</v>
      </c>
      <c r="F128" s="105" t="s">
        <v>153</v>
      </c>
      <c r="G128" s="105" t="s">
        <v>575</v>
      </c>
      <c r="H128" s="98"/>
      <c r="I128" s="98"/>
      <c r="J128" s="98"/>
      <c r="K128" s="98"/>
      <c r="L128" s="98"/>
      <c r="M128" s="98"/>
      <c r="N128" s="98"/>
      <c r="O128" s="98"/>
      <c r="P128" s="98"/>
      <c r="Q128" s="98"/>
      <c r="R128" s="98"/>
      <c r="S128" s="98"/>
      <c r="T128" s="87" t="s">
        <v>926</v>
      </c>
      <c r="U128" s="87" t="s">
        <v>927</v>
      </c>
      <c r="V128" s="87" t="s">
        <v>928</v>
      </c>
      <c r="W128" s="87" t="s">
        <v>928</v>
      </c>
      <c r="X128" s="87"/>
      <c r="Y128" s="87"/>
      <c r="Z128" s="92" t="s">
        <v>1024</v>
      </c>
    </row>
    <row r="129" spans="1:26" x14ac:dyDescent="0.3">
      <c r="A129" s="88" t="s">
        <v>830</v>
      </c>
      <c r="B129" s="88" t="s">
        <v>207</v>
      </c>
      <c r="C129" s="88" t="s">
        <v>1020</v>
      </c>
      <c r="D129" s="88" t="s">
        <v>1031</v>
      </c>
      <c r="E129" s="88" t="s">
        <v>1032</v>
      </c>
      <c r="F129" s="106" t="s">
        <v>1033</v>
      </c>
      <c r="G129" s="106" t="s">
        <v>575</v>
      </c>
      <c r="H129" s="99"/>
      <c r="I129" s="99"/>
      <c r="J129" s="99"/>
      <c r="K129" s="99"/>
      <c r="L129" s="99"/>
      <c r="M129" s="99"/>
      <c r="N129" s="99"/>
      <c r="O129" s="99"/>
      <c r="P129" s="99"/>
      <c r="Q129" s="99"/>
      <c r="R129" s="99"/>
      <c r="S129" s="99"/>
      <c r="T129" s="88" t="s">
        <v>1034</v>
      </c>
      <c r="U129" s="88" t="s">
        <v>1035</v>
      </c>
      <c r="V129" s="88" t="s">
        <v>966</v>
      </c>
      <c r="W129" s="88" t="s">
        <v>966</v>
      </c>
      <c r="X129" s="88"/>
      <c r="Y129" s="88"/>
      <c r="Z129" s="93"/>
    </row>
    <row r="130" spans="1:26" x14ac:dyDescent="0.3">
      <c r="A130" s="87" t="s">
        <v>830</v>
      </c>
      <c r="B130" s="87" t="s">
        <v>207</v>
      </c>
      <c r="C130" s="87" t="s">
        <v>1020</v>
      </c>
      <c r="D130" s="87" t="s">
        <v>1036</v>
      </c>
      <c r="E130" s="87" t="s">
        <v>1037</v>
      </c>
      <c r="F130" s="105" t="s">
        <v>153</v>
      </c>
      <c r="G130" s="105" t="s">
        <v>575</v>
      </c>
      <c r="H130" s="98"/>
      <c r="I130" s="98"/>
      <c r="J130" s="98"/>
      <c r="K130" s="98"/>
      <c r="L130" s="98"/>
      <c r="M130" s="98"/>
      <c r="N130" s="98"/>
      <c r="O130" s="98"/>
      <c r="P130" s="98"/>
      <c r="Q130" s="98"/>
      <c r="R130" s="98"/>
      <c r="S130" s="98"/>
      <c r="T130" s="87" t="s">
        <v>926</v>
      </c>
      <c r="U130" s="87" t="s">
        <v>927</v>
      </c>
      <c r="V130" s="87" t="s">
        <v>928</v>
      </c>
      <c r="W130" s="87" t="s">
        <v>928</v>
      </c>
      <c r="X130" s="87"/>
      <c r="Y130" s="87"/>
      <c r="Z130" s="92"/>
    </row>
    <row r="131" spans="1:26" x14ac:dyDescent="0.3">
      <c r="A131" s="85" t="s">
        <v>830</v>
      </c>
      <c r="B131" s="85" t="s">
        <v>1038</v>
      </c>
      <c r="C131" s="85"/>
      <c r="D131" s="85" t="s">
        <v>237</v>
      </c>
      <c r="E131" s="85" t="s">
        <v>236</v>
      </c>
      <c r="F131" s="103"/>
      <c r="G131" s="103"/>
      <c r="H131" s="96"/>
      <c r="I131" s="96"/>
      <c r="J131" s="96"/>
      <c r="K131" s="96"/>
      <c r="L131" s="96"/>
      <c r="M131" s="96"/>
      <c r="N131" s="96"/>
      <c r="O131" s="96"/>
      <c r="P131" s="96"/>
      <c r="Q131" s="96"/>
      <c r="R131" s="96"/>
      <c r="S131" s="96"/>
      <c r="T131" s="85"/>
      <c r="U131" s="85"/>
      <c r="V131" s="85"/>
      <c r="W131" s="85"/>
      <c r="X131" s="85"/>
      <c r="Y131" s="85"/>
      <c r="Z131" s="90"/>
    </row>
    <row r="132" spans="1:26" x14ac:dyDescent="0.3">
      <c r="A132" s="86" t="s">
        <v>830</v>
      </c>
      <c r="B132" s="86" t="s">
        <v>1038</v>
      </c>
      <c r="C132" s="86" t="s">
        <v>234</v>
      </c>
      <c r="D132" s="86" t="s">
        <v>238</v>
      </c>
      <c r="E132" s="86" t="s">
        <v>1039</v>
      </c>
      <c r="F132" s="104"/>
      <c r="G132" s="104"/>
      <c r="H132" s="97"/>
      <c r="I132" s="97"/>
      <c r="J132" s="97"/>
      <c r="K132" s="97"/>
      <c r="L132" s="97"/>
      <c r="M132" s="97"/>
      <c r="N132" s="97"/>
      <c r="O132" s="97"/>
      <c r="P132" s="97"/>
      <c r="Q132" s="97"/>
      <c r="R132" s="97"/>
      <c r="S132" s="97"/>
      <c r="T132" s="86"/>
      <c r="U132" s="86"/>
      <c r="V132" s="86"/>
      <c r="W132" s="86"/>
      <c r="X132" s="86"/>
      <c r="Y132" s="86"/>
      <c r="Z132" s="91"/>
    </row>
    <row r="133" spans="1:26" x14ac:dyDescent="0.3">
      <c r="A133" s="88" t="s">
        <v>830</v>
      </c>
      <c r="B133" s="88" t="s">
        <v>1038</v>
      </c>
      <c r="C133" s="88" t="s">
        <v>234</v>
      </c>
      <c r="D133" s="88" t="s">
        <v>1040</v>
      </c>
      <c r="E133" s="88" t="s">
        <v>1041</v>
      </c>
      <c r="F133" s="106" t="s">
        <v>239</v>
      </c>
      <c r="G133" s="106" t="s">
        <v>575</v>
      </c>
      <c r="H133" s="99"/>
      <c r="I133" s="99"/>
      <c r="J133" s="99"/>
      <c r="K133" s="99"/>
      <c r="L133" s="99"/>
      <c r="M133" s="99"/>
      <c r="N133" s="99"/>
      <c r="O133" s="99"/>
      <c r="P133" s="99"/>
      <c r="Q133" s="99"/>
      <c r="R133" s="99"/>
      <c r="S133" s="99"/>
      <c r="T133" s="88" t="s">
        <v>1042</v>
      </c>
      <c r="U133" s="88" t="s">
        <v>1043</v>
      </c>
      <c r="V133" s="88" t="s">
        <v>1044</v>
      </c>
      <c r="W133" s="88" t="s">
        <v>1045</v>
      </c>
      <c r="X133" s="88"/>
      <c r="Y133" s="88"/>
      <c r="Z133" s="93"/>
    </row>
    <row r="134" spans="1:26" x14ac:dyDescent="0.3">
      <c r="A134" s="87" t="s">
        <v>830</v>
      </c>
      <c r="B134" s="87" t="s">
        <v>1038</v>
      </c>
      <c r="C134" s="87" t="s">
        <v>234</v>
      </c>
      <c r="D134" s="87" t="s">
        <v>1046</v>
      </c>
      <c r="E134" s="87" t="s">
        <v>1047</v>
      </c>
      <c r="F134" s="105" t="s">
        <v>239</v>
      </c>
      <c r="G134" s="105" t="s">
        <v>575</v>
      </c>
      <c r="H134" s="98"/>
      <c r="I134" s="98"/>
      <c r="J134" s="98"/>
      <c r="K134" s="98"/>
      <c r="L134" s="98"/>
      <c r="M134" s="98"/>
      <c r="N134" s="98"/>
      <c r="O134" s="98"/>
      <c r="P134" s="98"/>
      <c r="Q134" s="98"/>
      <c r="R134" s="98"/>
      <c r="S134" s="98"/>
      <c r="T134" s="87" t="s">
        <v>1042</v>
      </c>
      <c r="U134" s="87" t="s">
        <v>1043</v>
      </c>
      <c r="V134" s="87" t="s">
        <v>1044</v>
      </c>
      <c r="W134" s="87" t="s">
        <v>1045</v>
      </c>
      <c r="X134" s="87"/>
      <c r="Y134" s="87"/>
      <c r="Z134" s="92"/>
    </row>
    <row r="135" spans="1:26" x14ac:dyDescent="0.3">
      <c r="A135" s="88" t="s">
        <v>830</v>
      </c>
      <c r="B135" s="88" t="s">
        <v>1038</v>
      </c>
      <c r="C135" s="88" t="s">
        <v>234</v>
      </c>
      <c r="D135" s="88" t="s">
        <v>1048</v>
      </c>
      <c r="E135" s="88" t="s">
        <v>1049</v>
      </c>
      <c r="F135" s="106" t="s">
        <v>239</v>
      </c>
      <c r="G135" s="106" t="s">
        <v>575</v>
      </c>
      <c r="H135" s="99"/>
      <c r="I135" s="99"/>
      <c r="J135" s="99"/>
      <c r="K135" s="99"/>
      <c r="L135" s="99"/>
      <c r="M135" s="99"/>
      <c r="N135" s="99"/>
      <c r="O135" s="99"/>
      <c r="P135" s="99"/>
      <c r="Q135" s="99"/>
      <c r="R135" s="99"/>
      <c r="S135" s="99"/>
      <c r="T135" s="88" t="s">
        <v>1042</v>
      </c>
      <c r="U135" s="88" t="s">
        <v>1043</v>
      </c>
      <c r="V135" s="88" t="s">
        <v>1044</v>
      </c>
      <c r="W135" s="88" t="s">
        <v>1045</v>
      </c>
      <c r="X135" s="88"/>
      <c r="Y135" s="88"/>
      <c r="Z135" s="93"/>
    </row>
    <row r="136" spans="1:26" x14ac:dyDescent="0.3">
      <c r="A136" s="87" t="s">
        <v>830</v>
      </c>
      <c r="B136" s="87" t="s">
        <v>1038</v>
      </c>
      <c r="C136" s="87" t="s">
        <v>234</v>
      </c>
      <c r="D136" s="87" t="s">
        <v>1050</v>
      </c>
      <c r="E136" s="87" t="s">
        <v>1051</v>
      </c>
      <c r="F136" s="105" t="s">
        <v>239</v>
      </c>
      <c r="G136" s="105" t="s">
        <v>575</v>
      </c>
      <c r="H136" s="98"/>
      <c r="I136" s="98"/>
      <c r="J136" s="98"/>
      <c r="K136" s="98"/>
      <c r="L136" s="98"/>
      <c r="M136" s="98"/>
      <c r="N136" s="98"/>
      <c r="O136" s="98"/>
      <c r="P136" s="98"/>
      <c r="Q136" s="98"/>
      <c r="R136" s="98"/>
      <c r="S136" s="98"/>
      <c r="T136" s="87" t="s">
        <v>1042</v>
      </c>
      <c r="U136" s="87" t="s">
        <v>1043</v>
      </c>
      <c r="V136" s="87" t="s">
        <v>1044</v>
      </c>
      <c r="W136" s="87" t="s">
        <v>1045</v>
      </c>
      <c r="X136" s="87"/>
      <c r="Y136" s="87"/>
      <c r="Z136" s="92"/>
    </row>
    <row r="137" spans="1:26" x14ac:dyDescent="0.3">
      <c r="A137" s="88" t="s">
        <v>830</v>
      </c>
      <c r="B137" s="88" t="s">
        <v>1038</v>
      </c>
      <c r="C137" s="88" t="s">
        <v>234</v>
      </c>
      <c r="D137" s="88" t="s">
        <v>1052</v>
      </c>
      <c r="E137" s="88" t="s">
        <v>1053</v>
      </c>
      <c r="F137" s="106" t="s">
        <v>1054</v>
      </c>
      <c r="G137" s="106" t="s">
        <v>575</v>
      </c>
      <c r="H137" s="99"/>
      <c r="I137" s="99"/>
      <c r="J137" s="99"/>
      <c r="K137" s="99"/>
      <c r="L137" s="99"/>
      <c r="M137" s="99"/>
      <c r="N137" s="99"/>
      <c r="O137" s="99"/>
      <c r="P137" s="99"/>
      <c r="Q137" s="99"/>
      <c r="R137" s="99"/>
      <c r="S137" s="99"/>
      <c r="T137" s="88" t="s">
        <v>1055</v>
      </c>
      <c r="U137" s="88" t="s">
        <v>1056</v>
      </c>
      <c r="V137" s="88" t="s">
        <v>1057</v>
      </c>
      <c r="W137" s="88" t="s">
        <v>1058</v>
      </c>
      <c r="X137" s="88"/>
      <c r="Y137" s="88"/>
      <c r="Z137" s="93"/>
    </row>
    <row r="138" spans="1:26" x14ac:dyDescent="0.3">
      <c r="A138" s="87" t="s">
        <v>830</v>
      </c>
      <c r="B138" s="87" t="s">
        <v>1038</v>
      </c>
      <c r="C138" s="87" t="s">
        <v>234</v>
      </c>
      <c r="D138" s="87" t="s">
        <v>1059</v>
      </c>
      <c r="E138" s="87" t="s">
        <v>1060</v>
      </c>
      <c r="F138" s="105" t="s">
        <v>249</v>
      </c>
      <c r="G138" s="105" t="s">
        <v>575</v>
      </c>
      <c r="H138" s="98"/>
      <c r="I138" s="98"/>
      <c r="J138" s="98"/>
      <c r="K138" s="98"/>
      <c r="L138" s="98"/>
      <c r="M138" s="98"/>
      <c r="N138" s="98"/>
      <c r="O138" s="98"/>
      <c r="P138" s="98"/>
      <c r="Q138" s="98"/>
      <c r="R138" s="98"/>
      <c r="S138" s="98"/>
      <c r="T138" s="87" t="s">
        <v>1061</v>
      </c>
      <c r="U138" s="87" t="s">
        <v>1056</v>
      </c>
      <c r="V138" s="87" t="s">
        <v>1062</v>
      </c>
      <c r="W138" s="87" t="s">
        <v>1063</v>
      </c>
      <c r="X138" s="87"/>
      <c r="Y138" s="87"/>
      <c r="Z138" s="92"/>
    </row>
    <row r="139" spans="1:26" x14ac:dyDescent="0.3">
      <c r="A139" s="88" t="s">
        <v>830</v>
      </c>
      <c r="B139" s="88" t="s">
        <v>1038</v>
      </c>
      <c r="C139" s="88" t="s">
        <v>234</v>
      </c>
      <c r="D139" s="88" t="s">
        <v>1064</v>
      </c>
      <c r="E139" s="88" t="s">
        <v>1065</v>
      </c>
      <c r="F139" s="106" t="s">
        <v>249</v>
      </c>
      <c r="G139" s="106" t="s">
        <v>575</v>
      </c>
      <c r="H139" s="99"/>
      <c r="I139" s="99"/>
      <c r="J139" s="99"/>
      <c r="K139" s="99"/>
      <c r="L139" s="99"/>
      <c r="M139" s="99"/>
      <c r="N139" s="99"/>
      <c r="O139" s="99"/>
      <c r="P139" s="99"/>
      <c r="Q139" s="99"/>
      <c r="R139" s="99"/>
      <c r="S139" s="99"/>
      <c r="T139" s="88" t="s">
        <v>1061</v>
      </c>
      <c r="U139" s="88" t="s">
        <v>1056</v>
      </c>
      <c r="V139" s="88" t="s">
        <v>1062</v>
      </c>
      <c r="W139" s="88" t="s">
        <v>1063</v>
      </c>
      <c r="X139" s="88"/>
      <c r="Y139" s="88"/>
      <c r="Z139" s="93"/>
    </row>
    <row r="140" spans="1:26" x14ac:dyDescent="0.3">
      <c r="A140" s="86" t="s">
        <v>830</v>
      </c>
      <c r="B140" s="86" t="s">
        <v>1038</v>
      </c>
      <c r="C140" s="86" t="s">
        <v>1066</v>
      </c>
      <c r="D140" s="86" t="s">
        <v>240</v>
      </c>
      <c r="E140" s="86" t="s">
        <v>1067</v>
      </c>
      <c r="F140" s="104"/>
      <c r="G140" s="104"/>
      <c r="H140" s="97"/>
      <c r="I140" s="97"/>
      <c r="J140" s="97"/>
      <c r="K140" s="97"/>
      <c r="L140" s="97"/>
      <c r="M140" s="97"/>
      <c r="N140" s="97"/>
      <c r="O140" s="97"/>
      <c r="P140" s="97"/>
      <c r="Q140" s="97"/>
      <c r="R140" s="97"/>
      <c r="S140" s="97"/>
      <c r="T140" s="86"/>
      <c r="U140" s="86"/>
      <c r="V140" s="86"/>
      <c r="W140" s="86"/>
      <c r="X140" s="86"/>
      <c r="Y140" s="86"/>
      <c r="Z140" s="91"/>
    </row>
    <row r="141" spans="1:26" x14ac:dyDescent="0.3">
      <c r="A141" s="88" t="s">
        <v>830</v>
      </c>
      <c r="B141" s="88" t="s">
        <v>1038</v>
      </c>
      <c r="C141" s="88" t="s">
        <v>1066</v>
      </c>
      <c r="D141" s="88" t="s">
        <v>1068</v>
      </c>
      <c r="E141" s="88" t="s">
        <v>1069</v>
      </c>
      <c r="F141" s="106" t="s">
        <v>249</v>
      </c>
      <c r="G141" s="106" t="s">
        <v>575</v>
      </c>
      <c r="H141" s="99"/>
      <c r="I141" s="99"/>
      <c r="J141" s="99"/>
      <c r="K141" s="99"/>
      <c r="L141" s="99"/>
      <c r="M141" s="99"/>
      <c r="N141" s="99"/>
      <c r="O141" s="99"/>
      <c r="P141" s="99"/>
      <c r="Q141" s="99"/>
      <c r="R141" s="99"/>
      <c r="S141" s="99"/>
      <c r="T141" s="88" t="s">
        <v>1070</v>
      </c>
      <c r="U141" s="88" t="s">
        <v>1071</v>
      </c>
      <c r="V141" s="88" t="s">
        <v>1063</v>
      </c>
      <c r="W141" s="88" t="s">
        <v>1072</v>
      </c>
      <c r="X141" s="88"/>
      <c r="Y141" s="88"/>
      <c r="Z141" s="93"/>
    </row>
    <row r="142" spans="1:26" x14ac:dyDescent="0.3">
      <c r="A142" s="87" t="s">
        <v>830</v>
      </c>
      <c r="B142" s="87" t="s">
        <v>1038</v>
      </c>
      <c r="C142" s="87" t="s">
        <v>1066</v>
      </c>
      <c r="D142" s="87" t="s">
        <v>1073</v>
      </c>
      <c r="E142" s="87" t="s">
        <v>1074</v>
      </c>
      <c r="F142" s="105" t="s">
        <v>249</v>
      </c>
      <c r="G142" s="105" t="s">
        <v>575</v>
      </c>
      <c r="H142" s="98"/>
      <c r="I142" s="98"/>
      <c r="J142" s="98"/>
      <c r="K142" s="98"/>
      <c r="L142" s="98"/>
      <c r="M142" s="98"/>
      <c r="N142" s="98"/>
      <c r="O142" s="98"/>
      <c r="P142" s="98"/>
      <c r="Q142" s="98"/>
      <c r="R142" s="98"/>
      <c r="S142" s="98"/>
      <c r="T142" s="87" t="s">
        <v>1070</v>
      </c>
      <c r="U142" s="87" t="s">
        <v>1071</v>
      </c>
      <c r="V142" s="87" t="s">
        <v>1063</v>
      </c>
      <c r="W142" s="87" t="s">
        <v>1072</v>
      </c>
      <c r="X142" s="87"/>
      <c r="Y142" s="87"/>
      <c r="Z142" s="92"/>
    </row>
    <row r="143" spans="1:26" x14ac:dyDescent="0.3">
      <c r="A143" s="88" t="s">
        <v>830</v>
      </c>
      <c r="B143" s="88" t="s">
        <v>1038</v>
      </c>
      <c r="C143" s="88" t="s">
        <v>1066</v>
      </c>
      <c r="D143" s="88" t="s">
        <v>1075</v>
      </c>
      <c r="E143" s="88" t="s">
        <v>1076</v>
      </c>
      <c r="F143" s="106" t="s">
        <v>249</v>
      </c>
      <c r="G143" s="106" t="s">
        <v>575</v>
      </c>
      <c r="H143" s="99"/>
      <c r="I143" s="99"/>
      <c r="J143" s="99"/>
      <c r="K143" s="99"/>
      <c r="L143" s="99"/>
      <c r="M143" s="99"/>
      <c r="N143" s="99"/>
      <c r="O143" s="99"/>
      <c r="P143" s="99"/>
      <c r="Q143" s="99"/>
      <c r="R143" s="99"/>
      <c r="S143" s="99"/>
      <c r="T143" s="88" t="s">
        <v>1070</v>
      </c>
      <c r="U143" s="88" t="s">
        <v>1071</v>
      </c>
      <c r="V143" s="88" t="s">
        <v>1063</v>
      </c>
      <c r="W143" s="88" t="s">
        <v>1072</v>
      </c>
      <c r="X143" s="88"/>
      <c r="Y143" s="88"/>
      <c r="Z143" s="93"/>
    </row>
    <row r="144" spans="1:26" x14ac:dyDescent="0.3">
      <c r="A144" s="87" t="s">
        <v>830</v>
      </c>
      <c r="B144" s="87" t="s">
        <v>1038</v>
      </c>
      <c r="C144" s="87" t="s">
        <v>1066</v>
      </c>
      <c r="D144" s="87" t="s">
        <v>1077</v>
      </c>
      <c r="E144" s="87" t="s">
        <v>1078</v>
      </c>
      <c r="F144" s="105" t="s">
        <v>246</v>
      </c>
      <c r="G144" s="105" t="s">
        <v>575</v>
      </c>
      <c r="H144" s="98"/>
      <c r="I144" s="98"/>
      <c r="J144" s="98"/>
      <c r="K144" s="98"/>
      <c r="L144" s="98"/>
      <c r="M144" s="98"/>
      <c r="N144" s="98"/>
      <c r="O144" s="98"/>
      <c r="P144" s="98"/>
      <c r="Q144" s="98"/>
      <c r="R144" s="98"/>
      <c r="S144" s="98"/>
      <c r="T144" s="87" t="s">
        <v>1079</v>
      </c>
      <c r="U144" s="87" t="s">
        <v>1071</v>
      </c>
      <c r="V144" s="87" t="s">
        <v>1080</v>
      </c>
      <c r="W144" s="87" t="s">
        <v>1081</v>
      </c>
      <c r="X144" s="87"/>
      <c r="Y144" s="87"/>
      <c r="Z144" s="92"/>
    </row>
    <row r="145" spans="1:26" x14ac:dyDescent="0.3">
      <c r="A145" s="88" t="s">
        <v>830</v>
      </c>
      <c r="B145" s="88" t="s">
        <v>1038</v>
      </c>
      <c r="C145" s="88" t="s">
        <v>1066</v>
      </c>
      <c r="D145" s="88" t="s">
        <v>1082</v>
      </c>
      <c r="E145" s="88" t="s">
        <v>444</v>
      </c>
      <c r="F145" s="106" t="s">
        <v>249</v>
      </c>
      <c r="G145" s="106" t="s">
        <v>575</v>
      </c>
      <c r="H145" s="99"/>
      <c r="I145" s="99"/>
      <c r="J145" s="99"/>
      <c r="K145" s="99"/>
      <c r="L145" s="99"/>
      <c r="M145" s="99"/>
      <c r="N145" s="99"/>
      <c r="O145" s="99"/>
      <c r="P145" s="99"/>
      <c r="Q145" s="99"/>
      <c r="R145" s="99"/>
      <c r="S145" s="99"/>
      <c r="T145" s="88" t="s">
        <v>1070</v>
      </c>
      <c r="U145" s="88" t="s">
        <v>1071</v>
      </c>
      <c r="V145" s="88" t="s">
        <v>1063</v>
      </c>
      <c r="W145" s="88" t="s">
        <v>1072</v>
      </c>
      <c r="X145" s="88"/>
      <c r="Y145" s="88"/>
      <c r="Z145" s="93"/>
    </row>
    <row r="146" spans="1:26" x14ac:dyDescent="0.3">
      <c r="A146" s="87" t="s">
        <v>830</v>
      </c>
      <c r="B146" s="87" t="s">
        <v>1038</v>
      </c>
      <c r="C146" s="87" t="s">
        <v>1066</v>
      </c>
      <c r="D146" s="87" t="s">
        <v>1083</v>
      </c>
      <c r="E146" s="87" t="s">
        <v>445</v>
      </c>
      <c r="F146" s="105" t="s">
        <v>249</v>
      </c>
      <c r="G146" s="105" t="s">
        <v>575</v>
      </c>
      <c r="H146" s="98"/>
      <c r="I146" s="98"/>
      <c r="J146" s="98"/>
      <c r="K146" s="98"/>
      <c r="L146" s="98"/>
      <c r="M146" s="98"/>
      <c r="N146" s="98"/>
      <c r="O146" s="98"/>
      <c r="P146" s="98"/>
      <c r="Q146" s="98"/>
      <c r="R146" s="98"/>
      <c r="S146" s="98"/>
      <c r="T146" s="87" t="s">
        <v>1070</v>
      </c>
      <c r="U146" s="87" t="s">
        <v>1071</v>
      </c>
      <c r="V146" s="87" t="s">
        <v>1063</v>
      </c>
      <c r="W146" s="87" t="s">
        <v>1072</v>
      </c>
      <c r="X146" s="87"/>
      <c r="Y146" s="87"/>
      <c r="Z146" s="92"/>
    </row>
    <row r="147" spans="1:26" x14ac:dyDescent="0.3">
      <c r="A147" s="88" t="s">
        <v>830</v>
      </c>
      <c r="B147" s="88" t="s">
        <v>1038</v>
      </c>
      <c r="C147" s="88" t="s">
        <v>1066</v>
      </c>
      <c r="D147" s="88" t="s">
        <v>1084</v>
      </c>
      <c r="E147" s="88" t="s">
        <v>1085</v>
      </c>
      <c r="F147" s="106" t="s">
        <v>246</v>
      </c>
      <c r="G147" s="106" t="s">
        <v>575</v>
      </c>
      <c r="H147" s="99"/>
      <c r="I147" s="99"/>
      <c r="J147" s="99"/>
      <c r="K147" s="99"/>
      <c r="L147" s="99"/>
      <c r="M147" s="99"/>
      <c r="N147" s="99"/>
      <c r="O147" s="99"/>
      <c r="P147" s="99"/>
      <c r="Q147" s="99"/>
      <c r="R147" s="99"/>
      <c r="S147" s="99"/>
      <c r="T147" s="88" t="s">
        <v>1079</v>
      </c>
      <c r="U147" s="88" t="s">
        <v>1056</v>
      </c>
      <c r="V147" s="88" t="s">
        <v>1080</v>
      </c>
      <c r="W147" s="88" t="s">
        <v>1081</v>
      </c>
      <c r="X147" s="88"/>
      <c r="Y147" s="88"/>
      <c r="Z147" s="93"/>
    </row>
    <row r="148" spans="1:26" x14ac:dyDescent="0.3">
      <c r="A148" s="86" t="s">
        <v>830</v>
      </c>
      <c r="B148" s="86" t="s">
        <v>1038</v>
      </c>
      <c r="C148" s="86" t="s">
        <v>448</v>
      </c>
      <c r="D148" s="86" t="s">
        <v>241</v>
      </c>
      <c r="E148" s="86" t="s">
        <v>1086</v>
      </c>
      <c r="F148" s="104"/>
      <c r="G148" s="104"/>
      <c r="H148" s="97"/>
      <c r="I148" s="97"/>
      <c r="J148" s="97"/>
      <c r="K148" s="97"/>
      <c r="L148" s="97"/>
      <c r="M148" s="97"/>
      <c r="N148" s="97"/>
      <c r="O148" s="97"/>
      <c r="P148" s="97"/>
      <c r="Q148" s="97"/>
      <c r="R148" s="97"/>
      <c r="S148" s="97"/>
      <c r="T148" s="86"/>
      <c r="U148" s="86"/>
      <c r="V148" s="86"/>
      <c r="W148" s="86"/>
      <c r="X148" s="86"/>
      <c r="Y148" s="86"/>
      <c r="Z148" s="91"/>
    </row>
    <row r="149" spans="1:26" x14ac:dyDescent="0.3">
      <c r="A149" s="88" t="s">
        <v>830</v>
      </c>
      <c r="B149" s="88" t="s">
        <v>1038</v>
      </c>
      <c r="C149" s="88" t="s">
        <v>448</v>
      </c>
      <c r="D149" s="88" t="s">
        <v>1087</v>
      </c>
      <c r="E149" s="88" t="s">
        <v>1088</v>
      </c>
      <c r="F149" s="106" t="s">
        <v>252</v>
      </c>
      <c r="G149" s="106" t="s">
        <v>575</v>
      </c>
      <c r="H149" s="99"/>
      <c r="I149" s="99"/>
      <c r="J149" s="99"/>
      <c r="K149" s="99"/>
      <c r="L149" s="99"/>
      <c r="M149" s="99"/>
      <c r="N149" s="99"/>
      <c r="O149" s="99"/>
      <c r="P149" s="99"/>
      <c r="Q149" s="99"/>
      <c r="R149" s="99"/>
      <c r="S149" s="99"/>
      <c r="T149" s="88" t="s">
        <v>1089</v>
      </c>
      <c r="U149" s="88" t="s">
        <v>1056</v>
      </c>
      <c r="V149" s="88" t="s">
        <v>1090</v>
      </c>
      <c r="W149" s="88" t="s">
        <v>1091</v>
      </c>
      <c r="X149" s="88"/>
      <c r="Y149" s="88"/>
      <c r="Z149" s="93"/>
    </row>
    <row r="150" spans="1:26" x14ac:dyDescent="0.3">
      <c r="A150" s="87" t="s">
        <v>830</v>
      </c>
      <c r="B150" s="87" t="s">
        <v>1038</v>
      </c>
      <c r="C150" s="87" t="s">
        <v>448</v>
      </c>
      <c r="D150" s="87" t="s">
        <v>1092</v>
      </c>
      <c r="E150" s="87" t="s">
        <v>1093</v>
      </c>
      <c r="F150" s="105" t="s">
        <v>252</v>
      </c>
      <c r="G150" s="105" t="s">
        <v>575</v>
      </c>
      <c r="H150" s="98"/>
      <c r="I150" s="98"/>
      <c r="J150" s="98"/>
      <c r="K150" s="98"/>
      <c r="L150" s="98"/>
      <c r="M150" s="98"/>
      <c r="N150" s="98"/>
      <c r="O150" s="98"/>
      <c r="P150" s="98"/>
      <c r="Q150" s="98"/>
      <c r="R150" s="98"/>
      <c r="S150" s="98"/>
      <c r="T150" s="87" t="s">
        <v>1089</v>
      </c>
      <c r="U150" s="87" t="s">
        <v>1056</v>
      </c>
      <c r="V150" s="87" t="s">
        <v>1090</v>
      </c>
      <c r="W150" s="87" t="s">
        <v>1091</v>
      </c>
      <c r="X150" s="87"/>
      <c r="Y150" s="87"/>
      <c r="Z150" s="92"/>
    </row>
    <row r="151" spans="1:26" x14ac:dyDescent="0.3">
      <c r="A151" s="88" t="s">
        <v>830</v>
      </c>
      <c r="B151" s="88" t="s">
        <v>1038</v>
      </c>
      <c r="C151" s="88" t="s">
        <v>448</v>
      </c>
      <c r="D151" s="88" t="s">
        <v>1094</v>
      </c>
      <c r="E151" s="88" t="s">
        <v>1095</v>
      </c>
      <c r="F151" s="106" t="s">
        <v>252</v>
      </c>
      <c r="G151" s="106" t="s">
        <v>575</v>
      </c>
      <c r="H151" s="99"/>
      <c r="I151" s="99"/>
      <c r="J151" s="99"/>
      <c r="K151" s="99"/>
      <c r="L151" s="99"/>
      <c r="M151" s="99"/>
      <c r="N151" s="99"/>
      <c r="O151" s="99"/>
      <c r="P151" s="99"/>
      <c r="Q151" s="99"/>
      <c r="R151" s="99"/>
      <c r="S151" s="99"/>
      <c r="T151" s="88" t="s">
        <v>1089</v>
      </c>
      <c r="U151" s="88" t="s">
        <v>1096</v>
      </c>
      <c r="V151" s="88" t="s">
        <v>1090</v>
      </c>
      <c r="W151" s="88" t="s">
        <v>1091</v>
      </c>
      <c r="X151" s="88"/>
      <c r="Y151" s="88"/>
      <c r="Z151" s="93"/>
    </row>
    <row r="152" spans="1:26" x14ac:dyDescent="0.3">
      <c r="A152" s="87" t="s">
        <v>830</v>
      </c>
      <c r="B152" s="87" t="s">
        <v>1038</v>
      </c>
      <c r="C152" s="87" t="s">
        <v>448</v>
      </c>
      <c r="D152" s="87" t="s">
        <v>1097</v>
      </c>
      <c r="E152" s="87" t="s">
        <v>1098</v>
      </c>
      <c r="F152" s="105" t="s">
        <v>239</v>
      </c>
      <c r="G152" s="105" t="s">
        <v>575</v>
      </c>
      <c r="H152" s="98"/>
      <c r="I152" s="98"/>
      <c r="J152" s="98"/>
      <c r="K152" s="98"/>
      <c r="L152" s="98"/>
      <c r="M152" s="98"/>
      <c r="N152" s="98"/>
      <c r="O152" s="98"/>
      <c r="P152" s="98"/>
      <c r="Q152" s="98"/>
      <c r="R152" s="98"/>
      <c r="S152" s="98"/>
      <c r="T152" s="87" t="s">
        <v>1099</v>
      </c>
      <c r="U152" s="87" t="s">
        <v>1056</v>
      </c>
      <c r="V152" s="87" t="s">
        <v>1045</v>
      </c>
      <c r="W152" s="87" t="s">
        <v>1100</v>
      </c>
      <c r="X152" s="87"/>
      <c r="Y152" s="87"/>
      <c r="Z152" s="92"/>
    </row>
    <row r="153" spans="1:26" x14ac:dyDescent="0.3">
      <c r="A153" s="86" t="s">
        <v>830</v>
      </c>
      <c r="B153" s="86" t="s">
        <v>1038</v>
      </c>
      <c r="C153" s="86" t="s">
        <v>1101</v>
      </c>
      <c r="D153" s="86" t="s">
        <v>242</v>
      </c>
      <c r="E153" s="86" t="s">
        <v>1102</v>
      </c>
      <c r="F153" s="104"/>
      <c r="G153" s="104"/>
      <c r="H153" s="97"/>
      <c r="I153" s="97"/>
      <c r="J153" s="97"/>
      <c r="K153" s="97"/>
      <c r="L153" s="97"/>
      <c r="M153" s="97"/>
      <c r="N153" s="97"/>
      <c r="O153" s="97"/>
      <c r="P153" s="97"/>
      <c r="Q153" s="97"/>
      <c r="R153" s="97"/>
      <c r="S153" s="97"/>
      <c r="T153" s="86"/>
      <c r="U153" s="86"/>
      <c r="V153" s="86"/>
      <c r="W153" s="86"/>
      <c r="X153" s="86"/>
      <c r="Y153" s="86"/>
      <c r="Z153" s="91"/>
    </row>
    <row r="154" spans="1:26" x14ac:dyDescent="0.3">
      <c r="A154" s="87" t="s">
        <v>830</v>
      </c>
      <c r="B154" s="87" t="s">
        <v>1038</v>
      </c>
      <c r="C154" s="87" t="s">
        <v>1101</v>
      </c>
      <c r="D154" s="87" t="s">
        <v>1103</v>
      </c>
      <c r="E154" s="87" t="s">
        <v>1104</v>
      </c>
      <c r="F154" s="105" t="s">
        <v>1105</v>
      </c>
      <c r="G154" s="105" t="s">
        <v>575</v>
      </c>
      <c r="H154" s="98"/>
      <c r="I154" s="98"/>
      <c r="J154" s="98"/>
      <c r="K154" s="98"/>
      <c r="L154" s="98"/>
      <c r="M154" s="98"/>
      <c r="N154" s="98"/>
      <c r="O154" s="98"/>
      <c r="P154" s="98"/>
      <c r="Q154" s="98"/>
      <c r="R154" s="98"/>
      <c r="S154" s="98"/>
      <c r="T154" s="87" t="s">
        <v>1106</v>
      </c>
      <c r="U154" s="87" t="s">
        <v>1056</v>
      </c>
      <c r="V154" s="87" t="s">
        <v>1107</v>
      </c>
      <c r="W154" s="87" t="s">
        <v>1108</v>
      </c>
      <c r="X154" s="87"/>
      <c r="Y154" s="87"/>
      <c r="Z154" s="92"/>
    </row>
    <row r="155" spans="1:26" x14ac:dyDescent="0.3">
      <c r="A155" s="88" t="s">
        <v>830</v>
      </c>
      <c r="B155" s="88" t="s">
        <v>1038</v>
      </c>
      <c r="C155" s="88" t="s">
        <v>1101</v>
      </c>
      <c r="D155" s="88" t="s">
        <v>1109</v>
      </c>
      <c r="E155" s="88" t="s">
        <v>1110</v>
      </c>
      <c r="F155" s="106" t="s">
        <v>1105</v>
      </c>
      <c r="G155" s="106" t="s">
        <v>575</v>
      </c>
      <c r="H155" s="99"/>
      <c r="I155" s="99"/>
      <c r="J155" s="99"/>
      <c r="K155" s="99"/>
      <c r="L155" s="99"/>
      <c r="M155" s="99"/>
      <c r="N155" s="99"/>
      <c r="O155" s="99"/>
      <c r="P155" s="99"/>
      <c r="Q155" s="99"/>
      <c r="R155" s="99"/>
      <c r="S155" s="99"/>
      <c r="T155" s="88" t="s">
        <v>1106</v>
      </c>
      <c r="U155" s="88" t="s">
        <v>1056</v>
      </c>
      <c r="V155" s="88" t="s">
        <v>1107</v>
      </c>
      <c r="W155" s="88" t="s">
        <v>1108</v>
      </c>
      <c r="X155" s="88"/>
      <c r="Y155" s="88"/>
      <c r="Z155" s="93"/>
    </row>
    <row r="156" spans="1:26" x14ac:dyDescent="0.3">
      <c r="A156" s="87" t="s">
        <v>830</v>
      </c>
      <c r="B156" s="87" t="s">
        <v>1038</v>
      </c>
      <c r="C156" s="87" t="s">
        <v>1101</v>
      </c>
      <c r="D156" s="87" t="s">
        <v>1111</v>
      </c>
      <c r="E156" s="87" t="s">
        <v>1112</v>
      </c>
      <c r="F156" s="105" t="s">
        <v>239</v>
      </c>
      <c r="G156" s="105" t="s">
        <v>575</v>
      </c>
      <c r="H156" s="98"/>
      <c r="I156" s="98"/>
      <c r="J156" s="98"/>
      <c r="K156" s="98"/>
      <c r="L156" s="98"/>
      <c r="M156" s="98"/>
      <c r="N156" s="98"/>
      <c r="O156" s="98"/>
      <c r="P156" s="98"/>
      <c r="Q156" s="98"/>
      <c r="R156" s="98"/>
      <c r="S156" s="98"/>
      <c r="T156" s="87" t="s">
        <v>1113</v>
      </c>
      <c r="U156" s="87" t="s">
        <v>1056</v>
      </c>
      <c r="V156" s="87" t="s">
        <v>1045</v>
      </c>
      <c r="W156" s="87" t="s">
        <v>1100</v>
      </c>
      <c r="X156" s="87"/>
      <c r="Y156" s="87"/>
      <c r="Z156" s="92"/>
    </row>
    <row r="157" spans="1:26" x14ac:dyDescent="0.3">
      <c r="A157" s="88" t="s">
        <v>830</v>
      </c>
      <c r="B157" s="88" t="s">
        <v>1038</v>
      </c>
      <c r="C157" s="88" t="s">
        <v>1101</v>
      </c>
      <c r="D157" s="88" t="s">
        <v>1114</v>
      </c>
      <c r="E157" s="88" t="s">
        <v>1115</v>
      </c>
      <c r="F157" s="106" t="s">
        <v>246</v>
      </c>
      <c r="G157" s="106" t="s">
        <v>575</v>
      </c>
      <c r="H157" s="99"/>
      <c r="I157" s="99"/>
      <c r="J157" s="99"/>
      <c r="K157" s="99"/>
      <c r="L157" s="99"/>
      <c r="M157" s="99"/>
      <c r="N157" s="99"/>
      <c r="O157" s="99"/>
      <c r="P157" s="99"/>
      <c r="Q157" s="99"/>
      <c r="R157" s="99"/>
      <c r="S157" s="99"/>
      <c r="T157" s="88" t="s">
        <v>1116</v>
      </c>
      <c r="U157" s="88" t="s">
        <v>1056</v>
      </c>
      <c r="V157" s="88" t="s">
        <v>1080</v>
      </c>
      <c r="W157" s="88" t="s">
        <v>1081</v>
      </c>
      <c r="X157" s="88"/>
      <c r="Y157" s="88"/>
      <c r="Z157" s="93"/>
    </row>
    <row r="158" spans="1:26" x14ac:dyDescent="0.3">
      <c r="A158" s="86" t="s">
        <v>830</v>
      </c>
      <c r="B158" s="86" t="s">
        <v>1038</v>
      </c>
      <c r="C158" s="86" t="s">
        <v>1117</v>
      </c>
      <c r="D158" s="86" t="s">
        <v>243</v>
      </c>
      <c r="E158" s="86" t="s">
        <v>1118</v>
      </c>
      <c r="F158" s="104"/>
      <c r="G158" s="104"/>
      <c r="H158" s="97"/>
      <c r="I158" s="97"/>
      <c r="J158" s="97"/>
      <c r="K158" s="97"/>
      <c r="L158" s="97"/>
      <c r="M158" s="97"/>
      <c r="N158" s="97"/>
      <c r="O158" s="97"/>
      <c r="P158" s="97"/>
      <c r="Q158" s="97"/>
      <c r="R158" s="97"/>
      <c r="S158" s="97"/>
      <c r="T158" s="86"/>
      <c r="U158" s="86"/>
      <c r="V158" s="86"/>
      <c r="W158" s="86"/>
      <c r="X158" s="86"/>
      <c r="Y158" s="86"/>
      <c r="Z158" s="91"/>
    </row>
    <row r="159" spans="1:26" x14ac:dyDescent="0.3">
      <c r="A159" s="88" t="s">
        <v>830</v>
      </c>
      <c r="B159" s="88" t="s">
        <v>1038</v>
      </c>
      <c r="C159" s="88" t="s">
        <v>1117</v>
      </c>
      <c r="D159" s="88" t="s">
        <v>1119</v>
      </c>
      <c r="E159" s="88" t="s">
        <v>258</v>
      </c>
      <c r="F159" s="106" t="s">
        <v>246</v>
      </c>
      <c r="G159" s="106" t="s">
        <v>575</v>
      </c>
      <c r="H159" s="99"/>
      <c r="I159" s="99"/>
      <c r="J159" s="99"/>
      <c r="K159" s="99"/>
      <c r="L159" s="99"/>
      <c r="M159" s="99"/>
      <c r="N159" s="99"/>
      <c r="O159" s="99"/>
      <c r="P159" s="99"/>
      <c r="Q159" s="99"/>
      <c r="R159" s="99"/>
      <c r="S159" s="99"/>
      <c r="T159" s="88" t="s">
        <v>1116</v>
      </c>
      <c r="U159" s="88" t="s">
        <v>1056</v>
      </c>
      <c r="V159" s="88" t="s">
        <v>1080</v>
      </c>
      <c r="W159" s="88" t="s">
        <v>1081</v>
      </c>
      <c r="X159" s="88"/>
      <c r="Y159" s="88"/>
      <c r="Z159" s="93"/>
    </row>
    <row r="160" spans="1:26" x14ac:dyDescent="0.3">
      <c r="A160" s="87" t="s">
        <v>830</v>
      </c>
      <c r="B160" s="87" t="s">
        <v>1038</v>
      </c>
      <c r="C160" s="87" t="s">
        <v>1117</v>
      </c>
      <c r="D160" s="87" t="s">
        <v>1120</v>
      </c>
      <c r="E160" s="87" t="s">
        <v>1121</v>
      </c>
      <c r="F160" s="105" t="s">
        <v>246</v>
      </c>
      <c r="G160" s="105" t="s">
        <v>575</v>
      </c>
      <c r="H160" s="98"/>
      <c r="I160" s="98"/>
      <c r="J160" s="98"/>
      <c r="K160" s="98"/>
      <c r="L160" s="98"/>
      <c r="M160" s="98"/>
      <c r="N160" s="98"/>
      <c r="O160" s="98"/>
      <c r="P160" s="98"/>
      <c r="Q160" s="98"/>
      <c r="R160" s="98"/>
      <c r="S160" s="98"/>
      <c r="T160" s="87" t="s">
        <v>1116</v>
      </c>
      <c r="U160" s="87" t="s">
        <v>1056</v>
      </c>
      <c r="V160" s="87" t="s">
        <v>1080</v>
      </c>
      <c r="W160" s="87" t="s">
        <v>1081</v>
      </c>
      <c r="X160" s="87"/>
      <c r="Y160" s="87"/>
      <c r="Z160" s="92"/>
    </row>
    <row r="161" spans="1:26" x14ac:dyDescent="0.3">
      <c r="A161" s="88" t="s">
        <v>830</v>
      </c>
      <c r="B161" s="88" t="s">
        <v>1038</v>
      </c>
      <c r="C161" s="88" t="s">
        <v>1117</v>
      </c>
      <c r="D161" s="88" t="s">
        <v>1122</v>
      </c>
      <c r="E161" s="88" t="s">
        <v>1123</v>
      </c>
      <c r="F161" s="106" t="s">
        <v>246</v>
      </c>
      <c r="G161" s="106" t="s">
        <v>575</v>
      </c>
      <c r="H161" s="99"/>
      <c r="I161" s="99"/>
      <c r="J161" s="99"/>
      <c r="K161" s="99"/>
      <c r="L161" s="99"/>
      <c r="M161" s="99"/>
      <c r="N161" s="99"/>
      <c r="O161" s="99"/>
      <c r="P161" s="99"/>
      <c r="Q161" s="99"/>
      <c r="R161" s="99"/>
      <c r="S161" s="99"/>
      <c r="T161" s="88" t="s">
        <v>1116</v>
      </c>
      <c r="U161" s="88" t="s">
        <v>1056</v>
      </c>
      <c r="V161" s="88" t="s">
        <v>1080</v>
      </c>
      <c r="W161" s="88" t="s">
        <v>1081</v>
      </c>
      <c r="X161" s="88"/>
      <c r="Y161" s="88"/>
      <c r="Z161" s="93"/>
    </row>
    <row r="162" spans="1:26" x14ac:dyDescent="0.3">
      <c r="A162" s="87" t="s">
        <v>830</v>
      </c>
      <c r="B162" s="87" t="s">
        <v>1038</v>
      </c>
      <c r="C162" s="87" t="s">
        <v>1117</v>
      </c>
      <c r="D162" s="87" t="s">
        <v>1124</v>
      </c>
      <c r="E162" s="87" t="s">
        <v>1125</v>
      </c>
      <c r="F162" s="105" t="s">
        <v>246</v>
      </c>
      <c r="G162" s="105" t="s">
        <v>575</v>
      </c>
      <c r="H162" s="98"/>
      <c r="I162" s="98"/>
      <c r="J162" s="98"/>
      <c r="K162" s="98"/>
      <c r="L162" s="98"/>
      <c r="M162" s="98"/>
      <c r="N162" s="98"/>
      <c r="O162" s="98"/>
      <c r="P162" s="98"/>
      <c r="Q162" s="98"/>
      <c r="R162" s="98"/>
      <c r="S162" s="98"/>
      <c r="T162" s="87" t="s">
        <v>1116</v>
      </c>
      <c r="U162" s="87" t="s">
        <v>1056</v>
      </c>
      <c r="V162" s="87" t="s">
        <v>1080</v>
      </c>
      <c r="W162" s="87" t="s">
        <v>1081</v>
      </c>
      <c r="X162" s="87"/>
      <c r="Y162" s="87"/>
      <c r="Z162" s="92"/>
    </row>
    <row r="163" spans="1:26" x14ac:dyDescent="0.3">
      <c r="A163" s="88" t="s">
        <v>830</v>
      </c>
      <c r="B163" s="88" t="s">
        <v>1038</v>
      </c>
      <c r="C163" s="88" t="s">
        <v>1117</v>
      </c>
      <c r="D163" s="88" t="s">
        <v>1126</v>
      </c>
      <c r="E163" s="88" t="s">
        <v>1127</v>
      </c>
      <c r="F163" s="106" t="s">
        <v>246</v>
      </c>
      <c r="G163" s="106" t="s">
        <v>575</v>
      </c>
      <c r="H163" s="99"/>
      <c r="I163" s="99"/>
      <c r="J163" s="99"/>
      <c r="K163" s="99"/>
      <c r="L163" s="99"/>
      <c r="M163" s="99"/>
      <c r="N163" s="99"/>
      <c r="O163" s="99"/>
      <c r="P163" s="99"/>
      <c r="Q163" s="99"/>
      <c r="R163" s="99"/>
      <c r="S163" s="99"/>
      <c r="T163" s="88" t="s">
        <v>1116</v>
      </c>
      <c r="U163" s="88" t="s">
        <v>1056</v>
      </c>
      <c r="V163" s="88" t="s">
        <v>1080</v>
      </c>
      <c r="W163" s="88" t="s">
        <v>1081</v>
      </c>
      <c r="X163" s="88"/>
      <c r="Y163" s="88"/>
      <c r="Z163" s="93"/>
    </row>
    <row r="164" spans="1:26" x14ac:dyDescent="0.3">
      <c r="A164" s="87" t="s">
        <v>830</v>
      </c>
      <c r="B164" s="87" t="s">
        <v>1038</v>
      </c>
      <c r="C164" s="87" t="s">
        <v>1117</v>
      </c>
      <c r="D164" s="87" t="s">
        <v>1128</v>
      </c>
      <c r="E164" s="87" t="s">
        <v>1129</v>
      </c>
      <c r="F164" s="105" t="s">
        <v>246</v>
      </c>
      <c r="G164" s="105" t="s">
        <v>575</v>
      </c>
      <c r="H164" s="98"/>
      <c r="I164" s="98"/>
      <c r="J164" s="98"/>
      <c r="K164" s="98"/>
      <c r="L164" s="98"/>
      <c r="M164" s="98"/>
      <c r="N164" s="98"/>
      <c r="O164" s="98"/>
      <c r="P164" s="98"/>
      <c r="Q164" s="98"/>
      <c r="R164" s="98"/>
      <c r="S164" s="98"/>
      <c r="T164" s="87" t="s">
        <v>1116</v>
      </c>
      <c r="U164" s="87" t="s">
        <v>1056</v>
      </c>
      <c r="V164" s="87" t="s">
        <v>1080</v>
      </c>
      <c r="W164" s="87" t="s">
        <v>1081</v>
      </c>
      <c r="X164" s="87"/>
      <c r="Y164" s="87"/>
      <c r="Z164" s="92"/>
    </row>
    <row r="165" spans="1:26" x14ac:dyDescent="0.3">
      <c r="A165" s="88" t="s">
        <v>830</v>
      </c>
      <c r="B165" s="88" t="s">
        <v>1038</v>
      </c>
      <c r="C165" s="88" t="s">
        <v>1117</v>
      </c>
      <c r="D165" s="88" t="s">
        <v>1130</v>
      </c>
      <c r="E165" s="88" t="s">
        <v>1131</v>
      </c>
      <c r="F165" s="106" t="s">
        <v>246</v>
      </c>
      <c r="G165" s="106" t="s">
        <v>575</v>
      </c>
      <c r="H165" s="99"/>
      <c r="I165" s="99"/>
      <c r="J165" s="99"/>
      <c r="K165" s="99"/>
      <c r="L165" s="99"/>
      <c r="M165" s="99"/>
      <c r="N165" s="99"/>
      <c r="O165" s="99"/>
      <c r="P165" s="99"/>
      <c r="Q165" s="99"/>
      <c r="R165" s="99"/>
      <c r="S165" s="99"/>
      <c r="T165" s="88" t="s">
        <v>1116</v>
      </c>
      <c r="U165" s="88" t="s">
        <v>1056</v>
      </c>
      <c r="V165" s="88" t="s">
        <v>1080</v>
      </c>
      <c r="W165" s="88" t="s">
        <v>1081</v>
      </c>
      <c r="X165" s="88"/>
      <c r="Y165" s="88"/>
      <c r="Z165" s="93"/>
    </row>
    <row r="166" spans="1:26" x14ac:dyDescent="0.3">
      <c r="A166" s="86" t="s">
        <v>830</v>
      </c>
      <c r="B166" s="86" t="s">
        <v>1038</v>
      </c>
      <c r="C166" s="86" t="s">
        <v>259</v>
      </c>
      <c r="D166" s="86" t="s">
        <v>244</v>
      </c>
      <c r="E166" s="86" t="s">
        <v>1132</v>
      </c>
      <c r="F166" s="104"/>
      <c r="G166" s="104"/>
      <c r="H166" s="97"/>
      <c r="I166" s="97"/>
      <c r="J166" s="97"/>
      <c r="K166" s="97"/>
      <c r="L166" s="97"/>
      <c r="M166" s="97"/>
      <c r="N166" s="97"/>
      <c r="O166" s="97"/>
      <c r="P166" s="97"/>
      <c r="Q166" s="97"/>
      <c r="R166" s="97"/>
      <c r="S166" s="97"/>
      <c r="T166" s="86"/>
      <c r="U166" s="86"/>
      <c r="V166" s="86"/>
      <c r="W166" s="86"/>
      <c r="X166" s="86"/>
      <c r="Y166" s="86"/>
      <c r="Z166" s="91"/>
    </row>
    <row r="167" spans="1:26" x14ac:dyDescent="0.3">
      <c r="A167" s="88" t="s">
        <v>830</v>
      </c>
      <c r="B167" s="88" t="s">
        <v>1038</v>
      </c>
      <c r="C167" s="88" t="s">
        <v>259</v>
      </c>
      <c r="D167" s="88" t="s">
        <v>1133</v>
      </c>
      <c r="E167" s="88" t="s">
        <v>260</v>
      </c>
      <c r="F167" s="106" t="s">
        <v>246</v>
      </c>
      <c r="G167" s="106" t="s">
        <v>575</v>
      </c>
      <c r="H167" s="99"/>
      <c r="I167" s="99"/>
      <c r="J167" s="99"/>
      <c r="K167" s="99"/>
      <c r="L167" s="99"/>
      <c r="M167" s="99"/>
      <c r="N167" s="99"/>
      <c r="O167" s="99"/>
      <c r="P167" s="99"/>
      <c r="Q167" s="99"/>
      <c r="R167" s="99"/>
      <c r="S167" s="99"/>
      <c r="T167" s="88" t="s">
        <v>1116</v>
      </c>
      <c r="U167" s="88" t="s">
        <v>1056</v>
      </c>
      <c r="V167" s="88" t="s">
        <v>1080</v>
      </c>
      <c r="W167" s="88" t="s">
        <v>1081</v>
      </c>
      <c r="X167" s="88"/>
      <c r="Y167" s="88"/>
      <c r="Z167" s="93"/>
    </row>
    <row r="168" spans="1:26" x14ac:dyDescent="0.3">
      <c r="A168" s="87" t="s">
        <v>830</v>
      </c>
      <c r="B168" s="87" t="s">
        <v>1038</v>
      </c>
      <c r="C168" s="87" t="s">
        <v>259</v>
      </c>
      <c r="D168" s="87" t="s">
        <v>1134</v>
      </c>
      <c r="E168" s="87" t="s">
        <v>1135</v>
      </c>
      <c r="F168" s="105" t="s">
        <v>246</v>
      </c>
      <c r="G168" s="105" t="s">
        <v>575</v>
      </c>
      <c r="H168" s="98"/>
      <c r="I168" s="98"/>
      <c r="J168" s="98"/>
      <c r="K168" s="98"/>
      <c r="L168" s="98"/>
      <c r="M168" s="98"/>
      <c r="N168" s="98"/>
      <c r="O168" s="98"/>
      <c r="P168" s="98"/>
      <c r="Q168" s="98"/>
      <c r="R168" s="98"/>
      <c r="S168" s="98"/>
      <c r="T168" s="87" t="s">
        <v>1116</v>
      </c>
      <c r="U168" s="87" t="s">
        <v>1056</v>
      </c>
      <c r="V168" s="87" t="s">
        <v>1080</v>
      </c>
      <c r="W168" s="87" t="s">
        <v>1081</v>
      </c>
      <c r="X168" s="87"/>
      <c r="Y168" s="87"/>
      <c r="Z168" s="92"/>
    </row>
    <row r="169" spans="1:26" x14ac:dyDescent="0.3">
      <c r="A169" s="88" t="s">
        <v>830</v>
      </c>
      <c r="B169" s="88" t="s">
        <v>1038</v>
      </c>
      <c r="C169" s="88" t="s">
        <v>259</v>
      </c>
      <c r="D169" s="88" t="s">
        <v>1136</v>
      </c>
      <c r="E169" s="88" t="s">
        <v>1137</v>
      </c>
      <c r="F169" s="106" t="s">
        <v>246</v>
      </c>
      <c r="G169" s="106" t="s">
        <v>575</v>
      </c>
      <c r="H169" s="99"/>
      <c r="I169" s="99"/>
      <c r="J169" s="99"/>
      <c r="K169" s="99"/>
      <c r="L169" s="99"/>
      <c r="M169" s="99"/>
      <c r="N169" s="99"/>
      <c r="O169" s="99"/>
      <c r="P169" s="99"/>
      <c r="Q169" s="99"/>
      <c r="R169" s="99"/>
      <c r="S169" s="99"/>
      <c r="T169" s="88" t="s">
        <v>1116</v>
      </c>
      <c r="U169" s="88" t="s">
        <v>1056</v>
      </c>
      <c r="V169" s="88" t="s">
        <v>1080</v>
      </c>
      <c r="W169" s="88" t="s">
        <v>1081</v>
      </c>
      <c r="X169" s="88"/>
      <c r="Y169" s="88"/>
      <c r="Z169" s="93"/>
    </row>
    <row r="170" spans="1:26" x14ac:dyDescent="0.3">
      <c r="A170" s="87" t="s">
        <v>830</v>
      </c>
      <c r="B170" s="87" t="s">
        <v>1038</v>
      </c>
      <c r="C170" s="87" t="s">
        <v>259</v>
      </c>
      <c r="D170" s="87" t="s">
        <v>1138</v>
      </c>
      <c r="E170" s="87" t="s">
        <v>1139</v>
      </c>
      <c r="F170" s="105" t="s">
        <v>246</v>
      </c>
      <c r="G170" s="105" t="s">
        <v>575</v>
      </c>
      <c r="H170" s="98"/>
      <c r="I170" s="98"/>
      <c r="J170" s="98"/>
      <c r="K170" s="98"/>
      <c r="L170" s="98"/>
      <c r="M170" s="98"/>
      <c r="N170" s="98"/>
      <c r="O170" s="98"/>
      <c r="P170" s="98"/>
      <c r="Q170" s="98"/>
      <c r="R170" s="98"/>
      <c r="S170" s="98"/>
      <c r="T170" s="87" t="s">
        <v>1116</v>
      </c>
      <c r="U170" s="87" t="s">
        <v>1056</v>
      </c>
      <c r="V170" s="87" t="s">
        <v>1080</v>
      </c>
      <c r="W170" s="87" t="s">
        <v>1081</v>
      </c>
      <c r="X170" s="87"/>
      <c r="Y170" s="87"/>
      <c r="Z170" s="92"/>
    </row>
    <row r="171" spans="1:26" x14ac:dyDescent="0.3">
      <c r="A171" s="88" t="s">
        <v>830</v>
      </c>
      <c r="B171" s="88" t="s">
        <v>1038</v>
      </c>
      <c r="C171" s="88" t="s">
        <v>259</v>
      </c>
      <c r="D171" s="88" t="s">
        <v>1140</v>
      </c>
      <c r="E171" s="88" t="s">
        <v>1141</v>
      </c>
      <c r="F171" s="106" t="s">
        <v>1142</v>
      </c>
      <c r="G171" s="106" t="s">
        <v>575</v>
      </c>
      <c r="H171" s="99"/>
      <c r="I171" s="99"/>
      <c r="J171" s="99"/>
      <c r="K171" s="99"/>
      <c r="L171" s="99"/>
      <c r="M171" s="99"/>
      <c r="N171" s="99"/>
      <c r="O171" s="99"/>
      <c r="P171" s="99"/>
      <c r="Q171" s="99"/>
      <c r="R171" s="99"/>
      <c r="S171" s="99"/>
      <c r="T171" s="88" t="s">
        <v>1143</v>
      </c>
      <c r="U171" s="88" t="s">
        <v>1056</v>
      </c>
      <c r="V171" s="88" t="s">
        <v>1144</v>
      </c>
      <c r="W171" s="88" t="s">
        <v>1145</v>
      </c>
      <c r="X171" s="88"/>
      <c r="Y171" s="88"/>
      <c r="Z171" s="93"/>
    </row>
    <row r="172" spans="1:26" x14ac:dyDescent="0.3">
      <c r="A172" s="87" t="s">
        <v>830</v>
      </c>
      <c r="B172" s="87" t="s">
        <v>1038</v>
      </c>
      <c r="C172" s="87" t="s">
        <v>259</v>
      </c>
      <c r="D172" s="87" t="s">
        <v>1146</v>
      </c>
      <c r="E172" s="87" t="s">
        <v>1147</v>
      </c>
      <c r="F172" s="105" t="s">
        <v>1142</v>
      </c>
      <c r="G172" s="105" t="s">
        <v>575</v>
      </c>
      <c r="H172" s="98"/>
      <c r="I172" s="98"/>
      <c r="J172" s="98"/>
      <c r="K172" s="98"/>
      <c r="L172" s="98"/>
      <c r="M172" s="98"/>
      <c r="N172" s="98"/>
      <c r="O172" s="98"/>
      <c r="P172" s="98"/>
      <c r="Q172" s="98"/>
      <c r="R172" s="98"/>
      <c r="S172" s="98"/>
      <c r="T172" s="87" t="s">
        <v>1143</v>
      </c>
      <c r="U172" s="87" t="s">
        <v>1056</v>
      </c>
      <c r="V172" s="87" t="s">
        <v>1144</v>
      </c>
      <c r="W172" s="87" t="s">
        <v>1145</v>
      </c>
      <c r="X172" s="87"/>
      <c r="Y172" s="87"/>
      <c r="Z172" s="92"/>
    </row>
    <row r="173" spans="1:26" x14ac:dyDescent="0.3">
      <c r="A173" s="86" t="s">
        <v>830</v>
      </c>
      <c r="B173" s="86" t="s">
        <v>1038</v>
      </c>
      <c r="C173" s="86" t="s">
        <v>1148</v>
      </c>
      <c r="D173" s="86" t="s">
        <v>245</v>
      </c>
      <c r="E173" s="86" t="s">
        <v>1149</v>
      </c>
      <c r="F173" s="104"/>
      <c r="G173" s="104"/>
      <c r="H173" s="97"/>
      <c r="I173" s="97"/>
      <c r="J173" s="97"/>
      <c r="K173" s="97"/>
      <c r="L173" s="97"/>
      <c r="M173" s="97"/>
      <c r="N173" s="97"/>
      <c r="O173" s="97"/>
      <c r="P173" s="97"/>
      <c r="Q173" s="97"/>
      <c r="R173" s="97"/>
      <c r="S173" s="97"/>
      <c r="T173" s="86"/>
      <c r="U173" s="86"/>
      <c r="V173" s="86"/>
      <c r="W173" s="86"/>
      <c r="X173" s="86"/>
      <c r="Y173" s="86"/>
      <c r="Z173" s="91"/>
    </row>
    <row r="174" spans="1:26" x14ac:dyDescent="0.3">
      <c r="A174" s="87" t="s">
        <v>830</v>
      </c>
      <c r="B174" s="87" t="s">
        <v>1038</v>
      </c>
      <c r="C174" s="87" t="s">
        <v>1148</v>
      </c>
      <c r="D174" s="87" t="s">
        <v>1150</v>
      </c>
      <c r="E174" s="87" t="s">
        <v>1151</v>
      </c>
      <c r="F174" s="105" t="s">
        <v>246</v>
      </c>
      <c r="G174" s="105" t="s">
        <v>575</v>
      </c>
      <c r="H174" s="98"/>
      <c r="I174" s="98"/>
      <c r="J174" s="98"/>
      <c r="K174" s="98"/>
      <c r="L174" s="98"/>
      <c r="M174" s="98"/>
      <c r="N174" s="98"/>
      <c r="O174" s="98"/>
      <c r="P174" s="98"/>
      <c r="Q174" s="98"/>
      <c r="R174" s="98"/>
      <c r="S174" s="98"/>
      <c r="T174" s="87" t="s">
        <v>1116</v>
      </c>
      <c r="U174" s="87" t="s">
        <v>1056</v>
      </c>
      <c r="V174" s="87" t="s">
        <v>1080</v>
      </c>
      <c r="W174" s="87" t="s">
        <v>1081</v>
      </c>
      <c r="X174" s="87"/>
      <c r="Y174" s="87"/>
      <c r="Z174" s="92"/>
    </row>
    <row r="175" spans="1:26" x14ac:dyDescent="0.3">
      <c r="A175" s="88" t="s">
        <v>830</v>
      </c>
      <c r="B175" s="88" t="s">
        <v>1038</v>
      </c>
      <c r="C175" s="88" t="s">
        <v>1148</v>
      </c>
      <c r="D175" s="88" t="s">
        <v>1152</v>
      </c>
      <c r="E175" s="88" t="s">
        <v>1153</v>
      </c>
      <c r="F175" s="106" t="s">
        <v>246</v>
      </c>
      <c r="G175" s="106" t="s">
        <v>575</v>
      </c>
      <c r="H175" s="99"/>
      <c r="I175" s="99"/>
      <c r="J175" s="99"/>
      <c r="K175" s="99"/>
      <c r="L175" s="99"/>
      <c r="M175" s="99"/>
      <c r="N175" s="99"/>
      <c r="O175" s="99"/>
      <c r="P175" s="99"/>
      <c r="Q175" s="99"/>
      <c r="R175" s="99"/>
      <c r="S175" s="99"/>
      <c r="T175" s="88" t="s">
        <v>1116</v>
      </c>
      <c r="U175" s="88" t="s">
        <v>1056</v>
      </c>
      <c r="V175" s="88" t="s">
        <v>1080</v>
      </c>
      <c r="W175" s="88" t="s">
        <v>1081</v>
      </c>
      <c r="X175" s="88"/>
      <c r="Y175" s="88"/>
      <c r="Z175" s="93"/>
    </row>
    <row r="176" spans="1:26" x14ac:dyDescent="0.3">
      <c r="A176" s="87" t="s">
        <v>830</v>
      </c>
      <c r="B176" s="87" t="s">
        <v>1038</v>
      </c>
      <c r="C176" s="87" t="s">
        <v>1148</v>
      </c>
      <c r="D176" s="87" t="s">
        <v>1154</v>
      </c>
      <c r="E176" s="87" t="s">
        <v>1155</v>
      </c>
      <c r="F176" s="105" t="s">
        <v>246</v>
      </c>
      <c r="G176" s="105" t="s">
        <v>575</v>
      </c>
      <c r="H176" s="98"/>
      <c r="I176" s="98"/>
      <c r="J176" s="98"/>
      <c r="K176" s="98"/>
      <c r="L176" s="98"/>
      <c r="M176" s="98"/>
      <c r="N176" s="98"/>
      <c r="O176" s="98"/>
      <c r="P176" s="98"/>
      <c r="Q176" s="98"/>
      <c r="R176" s="98"/>
      <c r="S176" s="98"/>
      <c r="T176" s="87" t="s">
        <v>1116</v>
      </c>
      <c r="U176" s="87" t="s">
        <v>1056</v>
      </c>
      <c r="V176" s="87" t="s">
        <v>1080</v>
      </c>
      <c r="W176" s="87" t="s">
        <v>1081</v>
      </c>
      <c r="X176" s="87"/>
      <c r="Y176" s="87"/>
      <c r="Z176" s="92"/>
    </row>
    <row r="177" spans="1:26" x14ac:dyDescent="0.3">
      <c r="A177" s="88" t="s">
        <v>830</v>
      </c>
      <c r="B177" s="88" t="s">
        <v>1038</v>
      </c>
      <c r="C177" s="88" t="s">
        <v>1148</v>
      </c>
      <c r="D177" s="88" t="s">
        <v>1156</v>
      </c>
      <c r="E177" s="88" t="s">
        <v>1157</v>
      </c>
      <c r="F177" s="106" t="s">
        <v>1105</v>
      </c>
      <c r="G177" s="106" t="s">
        <v>575</v>
      </c>
      <c r="H177" s="99"/>
      <c r="I177" s="99"/>
      <c r="J177" s="99"/>
      <c r="K177" s="99"/>
      <c r="L177" s="99"/>
      <c r="M177" s="99"/>
      <c r="N177" s="99"/>
      <c r="O177" s="99"/>
      <c r="P177" s="99"/>
      <c r="Q177" s="99"/>
      <c r="R177" s="99"/>
      <c r="S177" s="99"/>
      <c r="T177" s="88" t="s">
        <v>1106</v>
      </c>
      <c r="U177" s="88" t="s">
        <v>1056</v>
      </c>
      <c r="V177" s="88" t="s">
        <v>1158</v>
      </c>
      <c r="W177" s="88" t="s">
        <v>1108</v>
      </c>
      <c r="X177" s="88"/>
      <c r="Y177" s="88"/>
      <c r="Z177" s="93"/>
    </row>
    <row r="178" spans="1:26" x14ac:dyDescent="0.3">
      <c r="A178" s="87" t="s">
        <v>830</v>
      </c>
      <c r="B178" s="87" t="s">
        <v>1038</v>
      </c>
      <c r="C178" s="87" t="s">
        <v>1148</v>
      </c>
      <c r="D178" s="87" t="s">
        <v>1159</v>
      </c>
      <c r="E178" s="87" t="s">
        <v>1160</v>
      </c>
      <c r="F178" s="105" t="s">
        <v>1105</v>
      </c>
      <c r="G178" s="105" t="s">
        <v>575</v>
      </c>
      <c r="H178" s="98"/>
      <c r="I178" s="98"/>
      <c r="J178" s="98"/>
      <c r="K178" s="98"/>
      <c r="L178" s="98"/>
      <c r="M178" s="98"/>
      <c r="N178" s="98"/>
      <c r="O178" s="98"/>
      <c r="P178" s="98"/>
      <c r="Q178" s="98"/>
      <c r="R178" s="98"/>
      <c r="S178" s="98"/>
      <c r="T178" s="87" t="s">
        <v>1106</v>
      </c>
      <c r="U178" s="87" t="s">
        <v>1056</v>
      </c>
      <c r="V178" s="87" t="s">
        <v>1158</v>
      </c>
      <c r="W178" s="87" t="s">
        <v>1108</v>
      </c>
      <c r="X178" s="87"/>
      <c r="Y178" s="87"/>
      <c r="Z178" s="92"/>
    </row>
    <row r="179" spans="1:26" x14ac:dyDescent="0.3">
      <c r="A179" s="88" t="s">
        <v>830</v>
      </c>
      <c r="B179" s="88" t="s">
        <v>1038</v>
      </c>
      <c r="C179" s="88" t="s">
        <v>1148</v>
      </c>
      <c r="D179" s="88" t="s">
        <v>1161</v>
      </c>
      <c r="E179" s="88" t="s">
        <v>1162</v>
      </c>
      <c r="F179" s="106" t="s">
        <v>246</v>
      </c>
      <c r="G179" s="106" t="s">
        <v>575</v>
      </c>
      <c r="H179" s="99"/>
      <c r="I179" s="99"/>
      <c r="J179" s="99"/>
      <c r="K179" s="99"/>
      <c r="L179" s="99"/>
      <c r="M179" s="99"/>
      <c r="N179" s="99"/>
      <c r="O179" s="99"/>
      <c r="P179" s="99"/>
      <c r="Q179" s="99"/>
      <c r="R179" s="99"/>
      <c r="S179" s="99"/>
      <c r="T179" s="88" t="s">
        <v>1116</v>
      </c>
      <c r="U179" s="88" t="s">
        <v>1056</v>
      </c>
      <c r="V179" s="88" t="s">
        <v>1163</v>
      </c>
      <c r="W179" s="88" t="s">
        <v>1081</v>
      </c>
      <c r="X179" s="88"/>
      <c r="Y179" s="88"/>
      <c r="Z179" s="93"/>
    </row>
    <row r="180" spans="1:26" x14ac:dyDescent="0.3">
      <c r="A180" s="86" t="s">
        <v>830</v>
      </c>
      <c r="B180" s="86" t="s">
        <v>1038</v>
      </c>
      <c r="C180" s="86" t="s">
        <v>405</v>
      </c>
      <c r="D180" s="86" t="s">
        <v>247</v>
      </c>
      <c r="E180" s="86" t="s">
        <v>1164</v>
      </c>
      <c r="F180" s="104"/>
      <c r="G180" s="104"/>
      <c r="H180" s="97"/>
      <c r="I180" s="97"/>
      <c r="J180" s="97"/>
      <c r="K180" s="97"/>
      <c r="L180" s="97"/>
      <c r="M180" s="97"/>
      <c r="N180" s="97"/>
      <c r="O180" s="97"/>
      <c r="P180" s="97"/>
      <c r="Q180" s="97"/>
      <c r="R180" s="97"/>
      <c r="S180" s="97"/>
      <c r="T180" s="86"/>
      <c r="U180" s="86"/>
      <c r="V180" s="86"/>
      <c r="W180" s="86"/>
      <c r="X180" s="86"/>
      <c r="Y180" s="86"/>
      <c r="Z180" s="91"/>
    </row>
    <row r="181" spans="1:26" x14ac:dyDescent="0.3">
      <c r="A181" s="88" t="s">
        <v>830</v>
      </c>
      <c r="B181" s="88" t="s">
        <v>1038</v>
      </c>
      <c r="C181" s="88" t="s">
        <v>405</v>
      </c>
      <c r="D181" s="88" t="s">
        <v>1165</v>
      </c>
      <c r="E181" s="88" t="s">
        <v>1166</v>
      </c>
      <c r="F181" s="106" t="s">
        <v>1054</v>
      </c>
      <c r="G181" s="106" t="s">
        <v>575</v>
      </c>
      <c r="H181" s="99"/>
      <c r="I181" s="99"/>
      <c r="J181" s="99"/>
      <c r="K181" s="99"/>
      <c r="L181" s="99"/>
      <c r="M181" s="99"/>
      <c r="N181" s="99"/>
      <c r="O181" s="99"/>
      <c r="P181" s="99"/>
      <c r="Q181" s="99"/>
      <c r="R181" s="99"/>
      <c r="S181" s="99"/>
      <c r="T181" s="88" t="s">
        <v>1167</v>
      </c>
      <c r="U181" s="88" t="s">
        <v>1168</v>
      </c>
      <c r="V181" s="88" t="s">
        <v>1169</v>
      </c>
      <c r="W181" s="88" t="s">
        <v>1058</v>
      </c>
      <c r="X181" s="88"/>
      <c r="Y181" s="88"/>
      <c r="Z181" s="93"/>
    </row>
    <row r="182" spans="1:26" x14ac:dyDescent="0.3">
      <c r="A182" s="87" t="s">
        <v>830</v>
      </c>
      <c r="B182" s="87" t="s">
        <v>1038</v>
      </c>
      <c r="C182" s="87" t="s">
        <v>405</v>
      </c>
      <c r="D182" s="87" t="s">
        <v>1170</v>
      </c>
      <c r="E182" s="87" t="s">
        <v>1171</v>
      </c>
      <c r="F182" s="105" t="s">
        <v>1105</v>
      </c>
      <c r="G182" s="105" t="s">
        <v>575</v>
      </c>
      <c r="H182" s="98"/>
      <c r="I182" s="98"/>
      <c r="J182" s="98"/>
      <c r="K182" s="98"/>
      <c r="L182" s="98"/>
      <c r="M182" s="98"/>
      <c r="N182" s="98"/>
      <c r="O182" s="98"/>
      <c r="P182" s="98"/>
      <c r="Q182" s="98"/>
      <c r="R182" s="98"/>
      <c r="S182" s="98"/>
      <c r="T182" s="87" t="s">
        <v>1106</v>
      </c>
      <c r="U182" s="87" t="s">
        <v>1056</v>
      </c>
      <c r="V182" s="87" t="s">
        <v>1158</v>
      </c>
      <c r="W182" s="87" t="s">
        <v>1108</v>
      </c>
      <c r="X182" s="87"/>
      <c r="Y182" s="87"/>
      <c r="Z182" s="92"/>
    </row>
    <row r="183" spans="1:26" x14ac:dyDescent="0.3">
      <c r="A183" s="88" t="s">
        <v>830</v>
      </c>
      <c r="B183" s="88" t="s">
        <v>1038</v>
      </c>
      <c r="C183" s="88" t="s">
        <v>405</v>
      </c>
      <c r="D183" s="88" t="s">
        <v>1172</v>
      </c>
      <c r="E183" s="88" t="s">
        <v>1173</v>
      </c>
      <c r="F183" s="106" t="s">
        <v>1105</v>
      </c>
      <c r="G183" s="106" t="s">
        <v>575</v>
      </c>
      <c r="H183" s="99"/>
      <c r="I183" s="99"/>
      <c r="J183" s="99"/>
      <c r="K183" s="99"/>
      <c r="L183" s="99"/>
      <c r="M183" s="99"/>
      <c r="N183" s="99"/>
      <c r="O183" s="99"/>
      <c r="P183" s="99"/>
      <c r="Q183" s="99"/>
      <c r="R183" s="99"/>
      <c r="S183" s="99"/>
      <c r="T183" s="88" t="s">
        <v>1106</v>
      </c>
      <c r="U183" s="88" t="s">
        <v>1056</v>
      </c>
      <c r="V183" s="88" t="s">
        <v>1158</v>
      </c>
      <c r="W183" s="88" t="s">
        <v>1108</v>
      </c>
      <c r="X183" s="88"/>
      <c r="Y183" s="88"/>
      <c r="Z183" s="93"/>
    </row>
    <row r="184" spans="1:26" x14ac:dyDescent="0.3">
      <c r="A184" s="87" t="s">
        <v>830</v>
      </c>
      <c r="B184" s="87" t="s">
        <v>1038</v>
      </c>
      <c r="C184" s="87" t="s">
        <v>405</v>
      </c>
      <c r="D184" s="87" t="s">
        <v>1174</v>
      </c>
      <c r="E184" s="87" t="s">
        <v>1175</v>
      </c>
      <c r="F184" s="105" t="s">
        <v>1105</v>
      </c>
      <c r="G184" s="105" t="s">
        <v>575</v>
      </c>
      <c r="H184" s="98"/>
      <c r="I184" s="98"/>
      <c r="J184" s="98"/>
      <c r="K184" s="98"/>
      <c r="L184" s="98"/>
      <c r="M184" s="98"/>
      <c r="N184" s="98"/>
      <c r="O184" s="98"/>
      <c r="P184" s="98"/>
      <c r="Q184" s="98"/>
      <c r="R184" s="98"/>
      <c r="S184" s="98"/>
      <c r="T184" s="87" t="s">
        <v>1176</v>
      </c>
      <c r="U184" s="87" t="s">
        <v>1056</v>
      </c>
      <c r="V184" s="87" t="s">
        <v>1158</v>
      </c>
      <c r="W184" s="87" t="s">
        <v>1108</v>
      </c>
      <c r="X184" s="87"/>
      <c r="Y184" s="87"/>
      <c r="Z184" s="92"/>
    </row>
    <row r="185" spans="1:26" x14ac:dyDescent="0.3">
      <c r="A185" s="88" t="s">
        <v>830</v>
      </c>
      <c r="B185" s="88" t="s">
        <v>1038</v>
      </c>
      <c r="C185" s="88" t="s">
        <v>405</v>
      </c>
      <c r="D185" s="88" t="s">
        <v>1177</v>
      </c>
      <c r="E185" s="88" t="s">
        <v>1178</v>
      </c>
      <c r="F185" s="106" t="s">
        <v>252</v>
      </c>
      <c r="G185" s="106" t="s">
        <v>575</v>
      </c>
      <c r="H185" s="99"/>
      <c r="I185" s="99"/>
      <c r="J185" s="99"/>
      <c r="K185" s="99"/>
      <c r="L185" s="99"/>
      <c r="M185" s="99"/>
      <c r="N185" s="99"/>
      <c r="O185" s="99"/>
      <c r="P185" s="99"/>
      <c r="Q185" s="99"/>
      <c r="R185" s="99"/>
      <c r="S185" s="99"/>
      <c r="T185" s="88" t="s">
        <v>1179</v>
      </c>
      <c r="U185" s="88" t="s">
        <v>1056</v>
      </c>
      <c r="V185" s="88" t="s">
        <v>1180</v>
      </c>
      <c r="W185" s="88" t="s">
        <v>1180</v>
      </c>
      <c r="X185" s="88"/>
      <c r="Y185" s="88"/>
      <c r="Z185" s="93"/>
    </row>
    <row r="186" spans="1:26" x14ac:dyDescent="0.3">
      <c r="A186" s="87" t="s">
        <v>830</v>
      </c>
      <c r="B186" s="87" t="s">
        <v>1038</v>
      </c>
      <c r="C186" s="87" t="s">
        <v>405</v>
      </c>
      <c r="D186" s="87" t="s">
        <v>1181</v>
      </c>
      <c r="E186" s="87" t="s">
        <v>1182</v>
      </c>
      <c r="F186" s="105" t="s">
        <v>252</v>
      </c>
      <c r="G186" s="105" t="s">
        <v>575</v>
      </c>
      <c r="H186" s="98"/>
      <c r="I186" s="98"/>
      <c r="J186" s="98"/>
      <c r="K186" s="98"/>
      <c r="L186" s="98"/>
      <c r="M186" s="98"/>
      <c r="N186" s="98"/>
      <c r="O186" s="98"/>
      <c r="P186" s="98"/>
      <c r="Q186" s="98"/>
      <c r="R186" s="98"/>
      <c r="S186" s="98"/>
      <c r="T186" s="87" t="s">
        <v>1179</v>
      </c>
      <c r="U186" s="87" t="s">
        <v>1183</v>
      </c>
      <c r="V186" s="87" t="s">
        <v>1180</v>
      </c>
      <c r="W186" s="87" t="s">
        <v>1180</v>
      </c>
      <c r="X186" s="87"/>
      <c r="Y186" s="87"/>
      <c r="Z186" s="92"/>
    </row>
    <row r="187" spans="1:26" x14ac:dyDescent="0.3">
      <c r="A187" s="86" t="s">
        <v>830</v>
      </c>
      <c r="B187" s="86" t="s">
        <v>1038</v>
      </c>
      <c r="C187" s="86" t="s">
        <v>255</v>
      </c>
      <c r="D187" s="86" t="s">
        <v>248</v>
      </c>
      <c r="E187" s="86" t="s">
        <v>1184</v>
      </c>
      <c r="F187" s="104"/>
      <c r="G187" s="104"/>
      <c r="H187" s="97"/>
      <c r="I187" s="97"/>
      <c r="J187" s="97"/>
      <c r="K187" s="97"/>
      <c r="L187" s="97"/>
      <c r="M187" s="97"/>
      <c r="N187" s="97"/>
      <c r="O187" s="97"/>
      <c r="P187" s="97"/>
      <c r="Q187" s="97"/>
      <c r="R187" s="97"/>
      <c r="S187" s="97"/>
      <c r="T187" s="86"/>
      <c r="U187" s="86"/>
      <c r="V187" s="86"/>
      <c r="W187" s="86"/>
      <c r="X187" s="86"/>
      <c r="Y187" s="86"/>
      <c r="Z187" s="91"/>
    </row>
    <row r="188" spans="1:26" x14ac:dyDescent="0.3">
      <c r="A188" s="87" t="s">
        <v>830</v>
      </c>
      <c r="B188" s="87" t="s">
        <v>1038</v>
      </c>
      <c r="C188" s="87" t="s">
        <v>255</v>
      </c>
      <c r="D188" s="87" t="s">
        <v>1185</v>
      </c>
      <c r="E188" s="87" t="s">
        <v>256</v>
      </c>
      <c r="F188" s="105" t="s">
        <v>1105</v>
      </c>
      <c r="G188" s="105" t="s">
        <v>575</v>
      </c>
      <c r="H188" s="98"/>
      <c r="I188" s="98"/>
      <c r="J188" s="98"/>
      <c r="K188" s="98"/>
      <c r="L188" s="98"/>
      <c r="M188" s="98"/>
      <c r="N188" s="98"/>
      <c r="O188" s="98"/>
      <c r="P188" s="98"/>
      <c r="Q188" s="98"/>
      <c r="R188" s="98"/>
      <c r="S188" s="98"/>
      <c r="T188" s="87" t="s">
        <v>1106</v>
      </c>
      <c r="U188" s="87" t="s">
        <v>1056</v>
      </c>
      <c r="V188" s="87" t="s">
        <v>1186</v>
      </c>
      <c r="W188" s="87" t="s">
        <v>1108</v>
      </c>
      <c r="X188" s="87"/>
      <c r="Y188" s="87"/>
      <c r="Z188" s="92"/>
    </row>
    <row r="189" spans="1:26" x14ac:dyDescent="0.3">
      <c r="A189" s="88" t="s">
        <v>830</v>
      </c>
      <c r="B189" s="88" t="s">
        <v>1038</v>
      </c>
      <c r="C189" s="88" t="s">
        <v>255</v>
      </c>
      <c r="D189" s="88" t="s">
        <v>1187</v>
      </c>
      <c r="E189" s="88" t="s">
        <v>257</v>
      </c>
      <c r="F189" s="106" t="s">
        <v>1105</v>
      </c>
      <c r="G189" s="106" t="s">
        <v>575</v>
      </c>
      <c r="H189" s="99"/>
      <c r="I189" s="99"/>
      <c r="J189" s="99"/>
      <c r="K189" s="99"/>
      <c r="L189" s="99"/>
      <c r="M189" s="99"/>
      <c r="N189" s="99"/>
      <c r="O189" s="99"/>
      <c r="P189" s="99"/>
      <c r="Q189" s="99"/>
      <c r="R189" s="99"/>
      <c r="S189" s="99"/>
      <c r="T189" s="88" t="s">
        <v>1106</v>
      </c>
      <c r="U189" s="88" t="s">
        <v>1056</v>
      </c>
      <c r="V189" s="88" t="s">
        <v>1186</v>
      </c>
      <c r="W189" s="88" t="s">
        <v>1108</v>
      </c>
      <c r="X189" s="88"/>
      <c r="Y189" s="88"/>
      <c r="Z189" s="93"/>
    </row>
    <row r="190" spans="1:26" x14ac:dyDescent="0.3">
      <c r="A190" s="87" t="s">
        <v>830</v>
      </c>
      <c r="B190" s="87" t="s">
        <v>1038</v>
      </c>
      <c r="C190" s="87" t="s">
        <v>255</v>
      </c>
      <c r="D190" s="87" t="s">
        <v>1188</v>
      </c>
      <c r="E190" s="87" t="s">
        <v>1189</v>
      </c>
      <c r="F190" s="105" t="s">
        <v>1105</v>
      </c>
      <c r="G190" s="105" t="s">
        <v>575</v>
      </c>
      <c r="H190" s="98"/>
      <c r="I190" s="98"/>
      <c r="J190" s="98"/>
      <c r="K190" s="98"/>
      <c r="L190" s="98"/>
      <c r="M190" s="98"/>
      <c r="N190" s="98"/>
      <c r="O190" s="98"/>
      <c r="P190" s="98"/>
      <c r="Q190" s="98"/>
      <c r="R190" s="98"/>
      <c r="S190" s="98"/>
      <c r="T190" s="87" t="s">
        <v>1106</v>
      </c>
      <c r="U190" s="87" t="s">
        <v>1056</v>
      </c>
      <c r="V190" s="87" t="s">
        <v>1107</v>
      </c>
      <c r="W190" s="87" t="s">
        <v>1108</v>
      </c>
      <c r="X190" s="87"/>
      <c r="Y190" s="87"/>
      <c r="Z190" s="92"/>
    </row>
    <row r="191" spans="1:26" x14ac:dyDescent="0.3">
      <c r="A191" s="88" t="s">
        <v>830</v>
      </c>
      <c r="B191" s="88" t="s">
        <v>1038</v>
      </c>
      <c r="C191" s="88" t="s">
        <v>255</v>
      </c>
      <c r="D191" s="88" t="s">
        <v>1190</v>
      </c>
      <c r="E191" s="88" t="s">
        <v>1191</v>
      </c>
      <c r="F191" s="106" t="s">
        <v>1105</v>
      </c>
      <c r="G191" s="106" t="s">
        <v>575</v>
      </c>
      <c r="H191" s="99"/>
      <c r="I191" s="99"/>
      <c r="J191" s="99"/>
      <c r="K191" s="99"/>
      <c r="L191" s="99"/>
      <c r="M191" s="99"/>
      <c r="N191" s="99"/>
      <c r="O191" s="99"/>
      <c r="P191" s="99"/>
      <c r="Q191" s="99"/>
      <c r="R191" s="99"/>
      <c r="S191" s="99"/>
      <c r="T191" s="88" t="s">
        <v>1106</v>
      </c>
      <c r="U191" s="88" t="s">
        <v>1056</v>
      </c>
      <c r="V191" s="88" t="s">
        <v>1158</v>
      </c>
      <c r="W191" s="88" t="s">
        <v>1108</v>
      </c>
      <c r="X191" s="88"/>
      <c r="Y191" s="88"/>
      <c r="Z191" s="93"/>
    </row>
    <row r="192" spans="1:26" x14ac:dyDescent="0.3">
      <c r="A192" s="87" t="s">
        <v>830</v>
      </c>
      <c r="B192" s="87" t="s">
        <v>1038</v>
      </c>
      <c r="C192" s="87" t="s">
        <v>255</v>
      </c>
      <c r="D192" s="87" t="s">
        <v>1192</v>
      </c>
      <c r="E192" s="87" t="s">
        <v>1193</v>
      </c>
      <c r="F192" s="105" t="s">
        <v>1105</v>
      </c>
      <c r="G192" s="105" t="s">
        <v>575</v>
      </c>
      <c r="H192" s="98"/>
      <c r="I192" s="98"/>
      <c r="J192" s="98"/>
      <c r="K192" s="98"/>
      <c r="L192" s="98"/>
      <c r="M192" s="98"/>
      <c r="N192" s="98"/>
      <c r="O192" s="98"/>
      <c r="P192" s="98"/>
      <c r="Q192" s="98"/>
      <c r="R192" s="98"/>
      <c r="S192" s="98"/>
      <c r="T192" s="87" t="s">
        <v>1106</v>
      </c>
      <c r="U192" s="87" t="s">
        <v>1056</v>
      </c>
      <c r="V192" s="87" t="s">
        <v>1107</v>
      </c>
      <c r="W192" s="87" t="s">
        <v>1108</v>
      </c>
      <c r="X192" s="87"/>
      <c r="Y192" s="87"/>
      <c r="Z192" s="92"/>
    </row>
    <row r="193" spans="1:26" x14ac:dyDescent="0.3">
      <c r="A193" s="88" t="s">
        <v>830</v>
      </c>
      <c r="B193" s="88" t="s">
        <v>1038</v>
      </c>
      <c r="C193" s="88" t="s">
        <v>255</v>
      </c>
      <c r="D193" s="88" t="s">
        <v>1194</v>
      </c>
      <c r="E193" s="88" t="s">
        <v>1195</v>
      </c>
      <c r="F193" s="106" t="s">
        <v>252</v>
      </c>
      <c r="G193" s="106" t="s">
        <v>575</v>
      </c>
      <c r="H193" s="99"/>
      <c r="I193" s="99"/>
      <c r="J193" s="99"/>
      <c r="K193" s="99"/>
      <c r="L193" s="99"/>
      <c r="M193" s="99"/>
      <c r="N193" s="99"/>
      <c r="O193" s="99"/>
      <c r="P193" s="99"/>
      <c r="Q193" s="99"/>
      <c r="R193" s="99"/>
      <c r="S193" s="99"/>
      <c r="T193" s="88" t="s">
        <v>1179</v>
      </c>
      <c r="U193" s="88" t="s">
        <v>1183</v>
      </c>
      <c r="V193" s="88" t="s">
        <v>1180</v>
      </c>
      <c r="W193" s="88" t="s">
        <v>1180</v>
      </c>
      <c r="X193" s="88"/>
      <c r="Y193" s="88"/>
      <c r="Z193" s="93"/>
    </row>
    <row r="194" spans="1:26" x14ac:dyDescent="0.3">
      <c r="A194" s="87" t="s">
        <v>830</v>
      </c>
      <c r="B194" s="87" t="s">
        <v>1038</v>
      </c>
      <c r="C194" s="87" t="s">
        <v>255</v>
      </c>
      <c r="D194" s="87" t="s">
        <v>1196</v>
      </c>
      <c r="E194" s="87" t="s">
        <v>1197</v>
      </c>
      <c r="F194" s="105" t="s">
        <v>252</v>
      </c>
      <c r="G194" s="105" t="s">
        <v>575</v>
      </c>
      <c r="H194" s="98"/>
      <c r="I194" s="98"/>
      <c r="J194" s="98"/>
      <c r="K194" s="98"/>
      <c r="L194" s="98"/>
      <c r="M194" s="98"/>
      <c r="N194" s="98"/>
      <c r="O194" s="98"/>
      <c r="P194" s="98"/>
      <c r="Q194" s="98"/>
      <c r="R194" s="98"/>
      <c r="S194" s="98"/>
      <c r="T194" s="87" t="s">
        <v>1179</v>
      </c>
      <c r="U194" s="87" t="s">
        <v>1056</v>
      </c>
      <c r="V194" s="87" t="s">
        <v>1091</v>
      </c>
      <c r="W194" s="87" t="s">
        <v>1180</v>
      </c>
      <c r="X194" s="87"/>
      <c r="Y194" s="87"/>
      <c r="Z194" s="92"/>
    </row>
    <row r="195" spans="1:26" x14ac:dyDescent="0.3">
      <c r="A195" s="88" t="s">
        <v>830</v>
      </c>
      <c r="B195" s="88" t="s">
        <v>1038</v>
      </c>
      <c r="C195" s="88" t="s">
        <v>255</v>
      </c>
      <c r="D195" s="88" t="s">
        <v>1198</v>
      </c>
      <c r="E195" s="88" t="s">
        <v>1199</v>
      </c>
      <c r="F195" s="106" t="s">
        <v>252</v>
      </c>
      <c r="G195" s="106" t="s">
        <v>575</v>
      </c>
      <c r="H195" s="99"/>
      <c r="I195" s="99"/>
      <c r="J195" s="99"/>
      <c r="K195" s="99"/>
      <c r="L195" s="99"/>
      <c r="M195" s="99"/>
      <c r="N195" s="99"/>
      <c r="O195" s="99"/>
      <c r="P195" s="99"/>
      <c r="Q195" s="99"/>
      <c r="R195" s="99"/>
      <c r="S195" s="99"/>
      <c r="T195" s="88" t="s">
        <v>1179</v>
      </c>
      <c r="U195" s="88" t="s">
        <v>1056</v>
      </c>
      <c r="V195" s="88" t="s">
        <v>1091</v>
      </c>
      <c r="W195" s="88" t="s">
        <v>1180</v>
      </c>
      <c r="X195" s="88"/>
      <c r="Y195" s="88"/>
      <c r="Z195" s="93"/>
    </row>
    <row r="196" spans="1:26" x14ac:dyDescent="0.3">
      <c r="A196" s="86" t="s">
        <v>830</v>
      </c>
      <c r="B196" s="86" t="s">
        <v>1038</v>
      </c>
      <c r="C196" s="86" t="s">
        <v>254</v>
      </c>
      <c r="D196" s="86" t="s">
        <v>250</v>
      </c>
      <c r="E196" s="86" t="s">
        <v>1200</v>
      </c>
      <c r="F196" s="104"/>
      <c r="G196" s="104"/>
      <c r="H196" s="97"/>
      <c r="I196" s="97"/>
      <c r="J196" s="97"/>
      <c r="K196" s="97"/>
      <c r="L196" s="97"/>
      <c r="M196" s="97"/>
      <c r="N196" s="97"/>
      <c r="O196" s="97"/>
      <c r="P196" s="97"/>
      <c r="Q196" s="97"/>
      <c r="R196" s="97"/>
      <c r="S196" s="97"/>
      <c r="T196" s="86"/>
      <c r="U196" s="86"/>
      <c r="V196" s="86"/>
      <c r="W196" s="86"/>
      <c r="X196" s="86"/>
      <c r="Y196" s="86"/>
      <c r="Z196" s="91"/>
    </row>
    <row r="197" spans="1:26" x14ac:dyDescent="0.3">
      <c r="A197" s="88" t="s">
        <v>830</v>
      </c>
      <c r="B197" s="88" t="s">
        <v>1038</v>
      </c>
      <c r="C197" s="88" t="s">
        <v>254</v>
      </c>
      <c r="D197" s="88" t="s">
        <v>1201</v>
      </c>
      <c r="E197" s="88" t="s">
        <v>1202</v>
      </c>
      <c r="F197" s="106" t="s">
        <v>1105</v>
      </c>
      <c r="G197" s="106" t="s">
        <v>575</v>
      </c>
      <c r="H197" s="99"/>
      <c r="I197" s="99"/>
      <c r="J197" s="99"/>
      <c r="K197" s="99"/>
      <c r="L197" s="99"/>
      <c r="M197" s="99"/>
      <c r="N197" s="99"/>
      <c r="O197" s="99"/>
      <c r="P197" s="99"/>
      <c r="Q197" s="99"/>
      <c r="R197" s="99"/>
      <c r="S197" s="99"/>
      <c r="T197" s="88" t="s">
        <v>1106</v>
      </c>
      <c r="U197" s="88" t="s">
        <v>1056</v>
      </c>
      <c r="V197" s="88" t="s">
        <v>1158</v>
      </c>
      <c r="W197" s="88" t="s">
        <v>1108</v>
      </c>
      <c r="X197" s="88"/>
      <c r="Y197" s="88"/>
      <c r="Z197" s="93"/>
    </row>
    <row r="198" spans="1:26" x14ac:dyDescent="0.3">
      <c r="A198" s="87" t="s">
        <v>830</v>
      </c>
      <c r="B198" s="87" t="s">
        <v>1038</v>
      </c>
      <c r="C198" s="87" t="s">
        <v>254</v>
      </c>
      <c r="D198" s="87" t="s">
        <v>1203</v>
      </c>
      <c r="E198" s="87" t="s">
        <v>1204</v>
      </c>
      <c r="F198" s="105" t="s">
        <v>1105</v>
      </c>
      <c r="G198" s="105" t="s">
        <v>575</v>
      </c>
      <c r="H198" s="98"/>
      <c r="I198" s="98"/>
      <c r="J198" s="98"/>
      <c r="K198" s="98"/>
      <c r="L198" s="98"/>
      <c r="M198" s="98"/>
      <c r="N198" s="98"/>
      <c r="O198" s="98"/>
      <c r="P198" s="98"/>
      <c r="Q198" s="98"/>
      <c r="R198" s="98"/>
      <c r="S198" s="98"/>
      <c r="T198" s="87" t="s">
        <v>1106</v>
      </c>
      <c r="U198" s="87" t="s">
        <v>1056</v>
      </c>
      <c r="V198" s="87" t="s">
        <v>1158</v>
      </c>
      <c r="W198" s="87" t="s">
        <v>1108</v>
      </c>
      <c r="X198" s="87"/>
      <c r="Y198" s="87"/>
      <c r="Z198" s="92"/>
    </row>
    <row r="199" spans="1:26" x14ac:dyDescent="0.3">
      <c r="A199" s="88" t="s">
        <v>830</v>
      </c>
      <c r="B199" s="88" t="s">
        <v>1038</v>
      </c>
      <c r="C199" s="88" t="s">
        <v>254</v>
      </c>
      <c r="D199" s="88" t="s">
        <v>1205</v>
      </c>
      <c r="E199" s="88" t="s">
        <v>1206</v>
      </c>
      <c r="F199" s="106" t="s">
        <v>1105</v>
      </c>
      <c r="G199" s="106" t="s">
        <v>575</v>
      </c>
      <c r="H199" s="99"/>
      <c r="I199" s="99"/>
      <c r="J199" s="99"/>
      <c r="K199" s="99"/>
      <c r="L199" s="99"/>
      <c r="M199" s="99"/>
      <c r="N199" s="99"/>
      <c r="O199" s="99"/>
      <c r="P199" s="99"/>
      <c r="Q199" s="99"/>
      <c r="R199" s="99"/>
      <c r="S199" s="99"/>
      <c r="T199" s="88" t="s">
        <v>1106</v>
      </c>
      <c r="U199" s="88" t="s">
        <v>1056</v>
      </c>
      <c r="V199" s="88" t="s">
        <v>1158</v>
      </c>
      <c r="W199" s="88" t="s">
        <v>1108</v>
      </c>
      <c r="X199" s="88"/>
      <c r="Y199" s="88"/>
      <c r="Z199" s="93"/>
    </row>
    <row r="200" spans="1:26" x14ac:dyDescent="0.3">
      <c r="A200" s="87" t="s">
        <v>830</v>
      </c>
      <c r="B200" s="87" t="s">
        <v>1038</v>
      </c>
      <c r="C200" s="87" t="s">
        <v>254</v>
      </c>
      <c r="D200" s="87" t="s">
        <v>1207</v>
      </c>
      <c r="E200" s="87" t="s">
        <v>1208</v>
      </c>
      <c r="F200" s="105" t="s">
        <v>1105</v>
      </c>
      <c r="G200" s="105" t="s">
        <v>575</v>
      </c>
      <c r="H200" s="98"/>
      <c r="I200" s="98"/>
      <c r="J200" s="98"/>
      <c r="K200" s="98"/>
      <c r="L200" s="98"/>
      <c r="M200" s="98"/>
      <c r="N200" s="98"/>
      <c r="O200" s="98"/>
      <c r="P200" s="98"/>
      <c r="Q200" s="98"/>
      <c r="R200" s="98"/>
      <c r="S200" s="98"/>
      <c r="T200" s="87" t="s">
        <v>1106</v>
      </c>
      <c r="U200" s="87" t="s">
        <v>1056</v>
      </c>
      <c r="V200" s="87" t="s">
        <v>1107</v>
      </c>
      <c r="W200" s="87" t="s">
        <v>1108</v>
      </c>
      <c r="X200" s="87"/>
      <c r="Y200" s="87"/>
      <c r="Z200" s="92"/>
    </row>
    <row r="201" spans="1:26" x14ac:dyDescent="0.3">
      <c r="A201" s="88" t="s">
        <v>830</v>
      </c>
      <c r="B201" s="88" t="s">
        <v>1038</v>
      </c>
      <c r="C201" s="88" t="s">
        <v>254</v>
      </c>
      <c r="D201" s="88" t="s">
        <v>1209</v>
      </c>
      <c r="E201" s="88" t="s">
        <v>1210</v>
      </c>
      <c r="F201" s="106" t="s">
        <v>252</v>
      </c>
      <c r="G201" s="106" t="s">
        <v>575</v>
      </c>
      <c r="H201" s="99"/>
      <c r="I201" s="99"/>
      <c r="J201" s="99"/>
      <c r="K201" s="99"/>
      <c r="L201" s="99"/>
      <c r="M201" s="99"/>
      <c r="N201" s="99"/>
      <c r="O201" s="99"/>
      <c r="P201" s="99"/>
      <c r="Q201" s="99"/>
      <c r="R201" s="99"/>
      <c r="S201" s="99"/>
      <c r="T201" s="88" t="s">
        <v>1179</v>
      </c>
      <c r="U201" s="88" t="s">
        <v>1056</v>
      </c>
      <c r="V201" s="88" t="s">
        <v>1180</v>
      </c>
      <c r="W201" s="88" t="s">
        <v>1180</v>
      </c>
      <c r="X201" s="88"/>
      <c r="Y201" s="88"/>
      <c r="Z201" s="93"/>
    </row>
    <row r="202" spans="1:26" x14ac:dyDescent="0.3">
      <c r="A202" s="87" t="s">
        <v>830</v>
      </c>
      <c r="B202" s="87" t="s">
        <v>1038</v>
      </c>
      <c r="C202" s="87" t="s">
        <v>254</v>
      </c>
      <c r="D202" s="87" t="s">
        <v>1211</v>
      </c>
      <c r="E202" s="87" t="s">
        <v>1212</v>
      </c>
      <c r="F202" s="105" t="s">
        <v>252</v>
      </c>
      <c r="G202" s="105" t="s">
        <v>575</v>
      </c>
      <c r="H202" s="98"/>
      <c r="I202" s="98"/>
      <c r="J202" s="98"/>
      <c r="K202" s="98"/>
      <c r="L202" s="98"/>
      <c r="M202" s="98"/>
      <c r="N202" s="98"/>
      <c r="O202" s="98"/>
      <c r="P202" s="98"/>
      <c r="Q202" s="98"/>
      <c r="R202" s="98"/>
      <c r="S202" s="98"/>
      <c r="T202" s="87" t="s">
        <v>1179</v>
      </c>
      <c r="U202" s="87" t="s">
        <v>1213</v>
      </c>
      <c r="V202" s="87" t="s">
        <v>1091</v>
      </c>
      <c r="W202" s="87" t="s">
        <v>1180</v>
      </c>
      <c r="X202" s="87"/>
      <c r="Y202" s="87"/>
      <c r="Z202" s="92"/>
    </row>
    <row r="203" spans="1:26" x14ac:dyDescent="0.3">
      <c r="A203" s="88" t="s">
        <v>830</v>
      </c>
      <c r="B203" s="88" t="s">
        <v>1038</v>
      </c>
      <c r="C203" s="88" t="s">
        <v>254</v>
      </c>
      <c r="D203" s="88" t="s">
        <v>1214</v>
      </c>
      <c r="E203" s="88" t="s">
        <v>1215</v>
      </c>
      <c r="F203" s="106" t="s">
        <v>252</v>
      </c>
      <c r="G203" s="106" t="s">
        <v>575</v>
      </c>
      <c r="H203" s="99"/>
      <c r="I203" s="99"/>
      <c r="J203" s="99"/>
      <c r="K203" s="99"/>
      <c r="L203" s="99"/>
      <c r="M203" s="99"/>
      <c r="N203" s="99"/>
      <c r="O203" s="99"/>
      <c r="P203" s="99"/>
      <c r="Q203" s="99"/>
      <c r="R203" s="99"/>
      <c r="S203" s="99"/>
      <c r="T203" s="88" t="s">
        <v>1179</v>
      </c>
      <c r="U203" s="88" t="s">
        <v>1213</v>
      </c>
      <c r="V203" s="88" t="s">
        <v>1180</v>
      </c>
      <c r="W203" s="88" t="s">
        <v>1180</v>
      </c>
      <c r="X203" s="88"/>
      <c r="Y203" s="88"/>
      <c r="Z203" s="93"/>
    </row>
    <row r="204" spans="1:26" x14ac:dyDescent="0.3">
      <c r="A204" s="87" t="s">
        <v>830</v>
      </c>
      <c r="B204" s="87" t="s">
        <v>1038</v>
      </c>
      <c r="C204" s="87" t="s">
        <v>254</v>
      </c>
      <c r="D204" s="87" t="s">
        <v>1216</v>
      </c>
      <c r="E204" s="87" t="s">
        <v>1217</v>
      </c>
      <c r="F204" s="105" t="s">
        <v>252</v>
      </c>
      <c r="G204" s="105" t="s">
        <v>575</v>
      </c>
      <c r="H204" s="98"/>
      <c r="I204" s="98"/>
      <c r="J204" s="98"/>
      <c r="K204" s="98"/>
      <c r="L204" s="98"/>
      <c r="M204" s="98"/>
      <c r="N204" s="98"/>
      <c r="O204" s="98"/>
      <c r="P204" s="98"/>
      <c r="Q204" s="98"/>
      <c r="R204" s="98"/>
      <c r="S204" s="98"/>
      <c r="T204" s="87" t="s">
        <v>1179</v>
      </c>
      <c r="U204" s="87" t="s">
        <v>1213</v>
      </c>
      <c r="V204" s="87" t="s">
        <v>1180</v>
      </c>
      <c r="W204" s="87" t="s">
        <v>1180</v>
      </c>
      <c r="X204" s="87"/>
      <c r="Y204" s="87"/>
      <c r="Z204" s="92"/>
    </row>
    <row r="205" spans="1:26" x14ac:dyDescent="0.3">
      <c r="A205" s="85" t="s">
        <v>830</v>
      </c>
      <c r="B205" s="85" t="s">
        <v>1218</v>
      </c>
      <c r="C205" s="85"/>
      <c r="D205" s="85" t="s">
        <v>262</v>
      </c>
      <c r="E205" s="85" t="s">
        <v>261</v>
      </c>
      <c r="F205" s="103"/>
      <c r="G205" s="103"/>
      <c r="H205" s="96"/>
      <c r="I205" s="96"/>
      <c r="J205" s="96"/>
      <c r="K205" s="96"/>
      <c r="L205" s="96"/>
      <c r="M205" s="96"/>
      <c r="N205" s="96"/>
      <c r="O205" s="96"/>
      <c r="P205" s="96"/>
      <c r="Q205" s="96"/>
      <c r="R205" s="96"/>
      <c r="S205" s="96"/>
      <c r="T205" s="85"/>
      <c r="U205" s="85"/>
      <c r="V205" s="85"/>
      <c r="W205" s="85"/>
      <c r="X205" s="85"/>
      <c r="Y205" s="85"/>
      <c r="Z205" s="90"/>
    </row>
    <row r="206" spans="1:26" x14ac:dyDescent="0.3">
      <c r="A206" s="86" t="s">
        <v>830</v>
      </c>
      <c r="B206" s="86" t="s">
        <v>1218</v>
      </c>
      <c r="C206" s="86" t="s">
        <v>263</v>
      </c>
      <c r="D206" s="86" t="s">
        <v>264</v>
      </c>
      <c r="E206" s="86" t="s">
        <v>1219</v>
      </c>
      <c r="F206" s="104"/>
      <c r="G206" s="104"/>
      <c r="H206" s="97"/>
      <c r="I206" s="97"/>
      <c r="J206" s="97"/>
      <c r="K206" s="97"/>
      <c r="L206" s="97"/>
      <c r="M206" s="97"/>
      <c r="N206" s="97"/>
      <c r="O206" s="97"/>
      <c r="P206" s="97"/>
      <c r="Q206" s="97"/>
      <c r="R206" s="97"/>
      <c r="S206" s="97"/>
      <c r="T206" s="86"/>
      <c r="U206" s="86"/>
      <c r="V206" s="86"/>
      <c r="W206" s="86"/>
      <c r="X206" s="86"/>
      <c r="Y206" s="86"/>
      <c r="Z206" s="91"/>
    </row>
    <row r="207" spans="1:26" x14ac:dyDescent="0.3">
      <c r="A207" s="88" t="s">
        <v>830</v>
      </c>
      <c r="B207" s="88" t="s">
        <v>1218</v>
      </c>
      <c r="C207" s="88" t="s">
        <v>263</v>
      </c>
      <c r="D207" s="88" t="s">
        <v>1220</v>
      </c>
      <c r="E207" s="88" t="s">
        <v>1221</v>
      </c>
      <c r="F207" s="106" t="s">
        <v>233</v>
      </c>
      <c r="G207" s="106" t="s">
        <v>575</v>
      </c>
      <c r="H207" s="99"/>
      <c r="I207" s="99"/>
      <c r="J207" s="99"/>
      <c r="K207" s="99"/>
      <c r="L207" s="99"/>
      <c r="M207" s="99"/>
      <c r="N207" s="99"/>
      <c r="O207" s="99"/>
      <c r="P207" s="99"/>
      <c r="Q207" s="99"/>
      <c r="R207" s="99"/>
      <c r="S207" s="99"/>
      <c r="T207" s="88" t="s">
        <v>1222</v>
      </c>
      <c r="U207" s="88" t="s">
        <v>1223</v>
      </c>
      <c r="V207" s="88" t="s">
        <v>966</v>
      </c>
      <c r="W207" s="88" t="s">
        <v>966</v>
      </c>
      <c r="X207" s="88"/>
      <c r="Y207" s="88"/>
      <c r="Z207" s="93" t="s">
        <v>1224</v>
      </c>
    </row>
    <row r="208" spans="1:26" x14ac:dyDescent="0.3">
      <c r="A208" s="87" t="s">
        <v>830</v>
      </c>
      <c r="B208" s="87" t="s">
        <v>1218</v>
      </c>
      <c r="C208" s="87" t="s">
        <v>263</v>
      </c>
      <c r="D208" s="87" t="s">
        <v>1225</v>
      </c>
      <c r="E208" s="87" t="s">
        <v>1226</v>
      </c>
      <c r="F208" s="105" t="s">
        <v>1227</v>
      </c>
      <c r="G208" s="105" t="s">
        <v>575</v>
      </c>
      <c r="H208" s="98"/>
      <c r="I208" s="98"/>
      <c r="J208" s="98"/>
      <c r="K208" s="98"/>
      <c r="L208" s="98"/>
      <c r="M208" s="98"/>
      <c r="N208" s="98"/>
      <c r="O208" s="98"/>
      <c r="P208" s="98"/>
      <c r="Q208" s="98"/>
      <c r="R208" s="98"/>
      <c r="S208" s="98"/>
      <c r="T208" s="87" t="s">
        <v>1228</v>
      </c>
      <c r="U208" s="87" t="s">
        <v>1229</v>
      </c>
      <c r="V208" s="87" t="s">
        <v>777</v>
      </c>
      <c r="W208" s="87" t="s">
        <v>777</v>
      </c>
      <c r="X208" s="87"/>
      <c r="Y208" s="87"/>
      <c r="Z208" s="92" t="s">
        <v>1230</v>
      </c>
    </row>
    <row r="209" spans="1:26" x14ac:dyDescent="0.3">
      <c r="A209" s="88" t="s">
        <v>830</v>
      </c>
      <c r="B209" s="88" t="s">
        <v>1218</v>
      </c>
      <c r="C209" s="88" t="s">
        <v>263</v>
      </c>
      <c r="D209" s="88" t="s">
        <v>1231</v>
      </c>
      <c r="E209" s="88" t="s">
        <v>1232</v>
      </c>
      <c r="F209" s="106" t="s">
        <v>1227</v>
      </c>
      <c r="G209" s="106" t="s">
        <v>575</v>
      </c>
      <c r="H209" s="99"/>
      <c r="I209" s="99"/>
      <c r="J209" s="99"/>
      <c r="K209" s="99"/>
      <c r="L209" s="99"/>
      <c r="M209" s="99"/>
      <c r="N209" s="99"/>
      <c r="O209" s="99"/>
      <c r="P209" s="99"/>
      <c r="Q209" s="99"/>
      <c r="R209" s="99"/>
      <c r="S209" s="99"/>
      <c r="T209" s="88" t="s">
        <v>1233</v>
      </c>
      <c r="U209" s="88" t="s">
        <v>1229</v>
      </c>
      <c r="V209" s="88" t="s">
        <v>777</v>
      </c>
      <c r="W209" s="88" t="s">
        <v>777</v>
      </c>
      <c r="X209" s="88"/>
      <c r="Y209" s="88"/>
      <c r="Z209" s="93" t="s">
        <v>1234</v>
      </c>
    </row>
    <row r="210" spans="1:26" x14ac:dyDescent="0.3">
      <c r="A210" s="86" t="s">
        <v>830</v>
      </c>
      <c r="B210" s="86" t="s">
        <v>1218</v>
      </c>
      <c r="C210" s="86" t="s">
        <v>1235</v>
      </c>
      <c r="D210" s="86" t="s">
        <v>265</v>
      </c>
      <c r="E210" s="86" t="s">
        <v>1236</v>
      </c>
      <c r="F210" s="104"/>
      <c r="G210" s="104"/>
      <c r="H210" s="97"/>
      <c r="I210" s="97"/>
      <c r="J210" s="97"/>
      <c r="K210" s="97"/>
      <c r="L210" s="97"/>
      <c r="M210" s="97"/>
      <c r="N210" s="97"/>
      <c r="O210" s="97"/>
      <c r="P210" s="97"/>
      <c r="Q210" s="97"/>
      <c r="R210" s="97"/>
      <c r="S210" s="97"/>
      <c r="T210" s="86"/>
      <c r="U210" s="86"/>
      <c r="V210" s="86"/>
      <c r="W210" s="86"/>
      <c r="X210" s="86"/>
      <c r="Y210" s="86"/>
      <c r="Z210" s="91"/>
    </row>
    <row r="211" spans="1:26" x14ac:dyDescent="0.3">
      <c r="A211" s="88" t="s">
        <v>830</v>
      </c>
      <c r="B211" s="88" t="s">
        <v>1218</v>
      </c>
      <c r="C211" s="88" t="s">
        <v>1235</v>
      </c>
      <c r="D211" s="88" t="s">
        <v>1237</v>
      </c>
      <c r="E211" s="88" t="s">
        <v>1238</v>
      </c>
      <c r="F211" s="106" t="s">
        <v>1227</v>
      </c>
      <c r="G211" s="106" t="s">
        <v>575</v>
      </c>
      <c r="H211" s="99"/>
      <c r="I211" s="99"/>
      <c r="J211" s="99"/>
      <c r="K211" s="99"/>
      <c r="L211" s="99"/>
      <c r="M211" s="99"/>
      <c r="N211" s="99"/>
      <c r="O211" s="99"/>
      <c r="P211" s="99"/>
      <c r="Q211" s="99"/>
      <c r="R211" s="99"/>
      <c r="S211" s="99"/>
      <c r="T211" s="88" t="s">
        <v>1239</v>
      </c>
      <c r="U211" s="88" t="s">
        <v>1240</v>
      </c>
      <c r="V211" s="88" t="s">
        <v>777</v>
      </c>
      <c r="W211" s="88" t="s">
        <v>777</v>
      </c>
      <c r="X211" s="88"/>
      <c r="Y211" s="88"/>
      <c r="Z211" s="93"/>
    </row>
    <row r="212" spans="1:26" x14ac:dyDescent="0.3">
      <c r="A212" s="87" t="s">
        <v>830</v>
      </c>
      <c r="B212" s="87" t="s">
        <v>1218</v>
      </c>
      <c r="C212" s="87" t="s">
        <v>1235</v>
      </c>
      <c r="D212" s="87" t="s">
        <v>1241</v>
      </c>
      <c r="E212" s="87" t="s">
        <v>1242</v>
      </c>
      <c r="F212" s="105" t="s">
        <v>1227</v>
      </c>
      <c r="G212" s="105" t="s">
        <v>575</v>
      </c>
      <c r="H212" s="98"/>
      <c r="I212" s="98"/>
      <c r="J212" s="98"/>
      <c r="K212" s="98"/>
      <c r="L212" s="98"/>
      <c r="M212" s="98"/>
      <c r="N212" s="98"/>
      <c r="O212" s="98"/>
      <c r="P212" s="98"/>
      <c r="Q212" s="98"/>
      <c r="R212" s="98"/>
      <c r="S212" s="98"/>
      <c r="T212" s="87" t="s">
        <v>1243</v>
      </c>
      <c r="U212" s="87" t="s">
        <v>1244</v>
      </c>
      <c r="V212" s="87" t="s">
        <v>777</v>
      </c>
      <c r="W212" s="87" t="s">
        <v>777</v>
      </c>
      <c r="X212" s="87"/>
      <c r="Y212" s="87"/>
      <c r="Z212" s="92"/>
    </row>
    <row r="213" spans="1:26" x14ac:dyDescent="0.3">
      <c r="A213" s="88" t="s">
        <v>830</v>
      </c>
      <c r="B213" s="88" t="s">
        <v>1218</v>
      </c>
      <c r="C213" s="88" t="s">
        <v>1235</v>
      </c>
      <c r="D213" s="88" t="s">
        <v>1245</v>
      </c>
      <c r="E213" s="88" t="s">
        <v>1246</v>
      </c>
      <c r="F213" s="106" t="s">
        <v>1227</v>
      </c>
      <c r="G213" s="106" t="s">
        <v>575</v>
      </c>
      <c r="H213" s="99"/>
      <c r="I213" s="99"/>
      <c r="J213" s="99"/>
      <c r="K213" s="99"/>
      <c r="L213" s="99"/>
      <c r="M213" s="99"/>
      <c r="N213" s="99"/>
      <c r="O213" s="99"/>
      <c r="P213" s="99"/>
      <c r="Q213" s="99"/>
      <c r="R213" s="99"/>
      <c r="S213" s="99"/>
      <c r="T213" s="88" t="s">
        <v>1247</v>
      </c>
      <c r="U213" s="88" t="s">
        <v>1248</v>
      </c>
      <c r="V213" s="88" t="s">
        <v>777</v>
      </c>
      <c r="W213" s="88" t="s">
        <v>777</v>
      </c>
      <c r="X213" s="88"/>
      <c r="Y213" s="88"/>
      <c r="Z213" s="93"/>
    </row>
    <row r="214" spans="1:26" x14ac:dyDescent="0.3">
      <c r="A214" s="87" t="s">
        <v>830</v>
      </c>
      <c r="B214" s="87" t="s">
        <v>1218</v>
      </c>
      <c r="C214" s="87" t="s">
        <v>1235</v>
      </c>
      <c r="D214" s="87" t="s">
        <v>1249</v>
      </c>
      <c r="E214" s="87" t="s">
        <v>1250</v>
      </c>
      <c r="F214" s="105" t="s">
        <v>1227</v>
      </c>
      <c r="G214" s="105" t="s">
        <v>575</v>
      </c>
      <c r="H214" s="98"/>
      <c r="I214" s="98"/>
      <c r="J214" s="98"/>
      <c r="K214" s="98"/>
      <c r="L214" s="98"/>
      <c r="M214" s="98"/>
      <c r="N214" s="98"/>
      <c r="O214" s="98"/>
      <c r="P214" s="98"/>
      <c r="Q214" s="98"/>
      <c r="R214" s="98"/>
      <c r="S214" s="98"/>
      <c r="T214" s="87" t="s">
        <v>1251</v>
      </c>
      <c r="U214" s="87" t="s">
        <v>1252</v>
      </c>
      <c r="V214" s="87" t="s">
        <v>777</v>
      </c>
      <c r="W214" s="87" t="s">
        <v>777</v>
      </c>
      <c r="X214" s="87"/>
      <c r="Y214" s="87"/>
      <c r="Z214" s="92"/>
    </row>
    <row r="215" spans="1:26" x14ac:dyDescent="0.3">
      <c r="A215" s="86" t="s">
        <v>830</v>
      </c>
      <c r="B215" s="86" t="s">
        <v>1218</v>
      </c>
      <c r="C215" s="86" t="s">
        <v>1253</v>
      </c>
      <c r="D215" s="86" t="s">
        <v>266</v>
      </c>
      <c r="E215" s="86" t="s">
        <v>1254</v>
      </c>
      <c r="F215" s="104"/>
      <c r="G215" s="104"/>
      <c r="H215" s="97"/>
      <c r="I215" s="97"/>
      <c r="J215" s="97"/>
      <c r="K215" s="97"/>
      <c r="L215" s="97"/>
      <c r="M215" s="97"/>
      <c r="N215" s="97"/>
      <c r="O215" s="97"/>
      <c r="P215" s="97"/>
      <c r="Q215" s="97"/>
      <c r="R215" s="97"/>
      <c r="S215" s="97"/>
      <c r="T215" s="86"/>
      <c r="U215" s="86"/>
      <c r="V215" s="86"/>
      <c r="W215" s="86"/>
      <c r="X215" s="86"/>
      <c r="Y215" s="86"/>
      <c r="Z215" s="91"/>
    </row>
    <row r="216" spans="1:26" x14ac:dyDescent="0.3">
      <c r="A216" s="87" t="s">
        <v>830</v>
      </c>
      <c r="B216" s="87" t="s">
        <v>1218</v>
      </c>
      <c r="C216" s="87" t="s">
        <v>1253</v>
      </c>
      <c r="D216" s="87" t="s">
        <v>1255</v>
      </c>
      <c r="E216" s="87" t="s">
        <v>1256</v>
      </c>
      <c r="F216" s="105" t="s">
        <v>233</v>
      </c>
      <c r="G216" s="105" t="s">
        <v>575</v>
      </c>
      <c r="H216" s="98"/>
      <c r="I216" s="98"/>
      <c r="J216" s="98"/>
      <c r="K216" s="98"/>
      <c r="L216" s="98"/>
      <c r="M216" s="98"/>
      <c r="N216" s="98"/>
      <c r="O216" s="98"/>
      <c r="P216" s="98"/>
      <c r="Q216" s="98"/>
      <c r="R216" s="98"/>
      <c r="S216" s="98"/>
      <c r="T216" s="87" t="s">
        <v>1257</v>
      </c>
      <c r="U216" s="87" t="s">
        <v>1258</v>
      </c>
      <c r="V216" s="87" t="s">
        <v>966</v>
      </c>
      <c r="W216" s="87" t="s">
        <v>928</v>
      </c>
      <c r="X216" s="87"/>
      <c r="Y216" s="87"/>
      <c r="Z216" s="92" t="s">
        <v>1259</v>
      </c>
    </row>
    <row r="217" spans="1:26" x14ac:dyDescent="0.3">
      <c r="A217" s="88" t="s">
        <v>830</v>
      </c>
      <c r="B217" s="88" t="s">
        <v>1218</v>
      </c>
      <c r="C217" s="88" t="s">
        <v>1253</v>
      </c>
      <c r="D217" s="88" t="s">
        <v>1260</v>
      </c>
      <c r="E217" s="88" t="s">
        <v>1261</v>
      </c>
      <c r="F217" s="106" t="s">
        <v>1227</v>
      </c>
      <c r="G217" s="106" t="s">
        <v>575</v>
      </c>
      <c r="H217" s="99"/>
      <c r="I217" s="99"/>
      <c r="J217" s="99"/>
      <c r="K217" s="99"/>
      <c r="L217" s="99"/>
      <c r="M217" s="99"/>
      <c r="N217" s="99"/>
      <c r="O217" s="99"/>
      <c r="P217" s="99"/>
      <c r="Q217" s="99"/>
      <c r="R217" s="99"/>
      <c r="S217" s="99"/>
      <c r="T217" s="88" t="s">
        <v>1262</v>
      </c>
      <c r="U217" s="88" t="s">
        <v>1263</v>
      </c>
      <c r="V217" s="88" t="s">
        <v>777</v>
      </c>
      <c r="W217" s="88" t="s">
        <v>777</v>
      </c>
      <c r="X217" s="88"/>
      <c r="Y217" s="88"/>
      <c r="Z217" s="93" t="s">
        <v>1264</v>
      </c>
    </row>
    <row r="218" spans="1:26" x14ac:dyDescent="0.3">
      <c r="A218" s="87" t="s">
        <v>830</v>
      </c>
      <c r="B218" s="87" t="s">
        <v>1218</v>
      </c>
      <c r="C218" s="87" t="s">
        <v>1253</v>
      </c>
      <c r="D218" s="87" t="s">
        <v>1265</v>
      </c>
      <c r="E218" s="87" t="s">
        <v>1266</v>
      </c>
      <c r="F218" s="105" t="s">
        <v>214</v>
      </c>
      <c r="G218" s="105" t="s">
        <v>575</v>
      </c>
      <c r="H218" s="98"/>
      <c r="I218" s="98"/>
      <c r="J218" s="98"/>
      <c r="K218" s="98"/>
      <c r="L218" s="98"/>
      <c r="M218" s="98"/>
      <c r="N218" s="98"/>
      <c r="O218" s="98"/>
      <c r="P218" s="98"/>
      <c r="Q218" s="98"/>
      <c r="R218" s="98"/>
      <c r="S218" s="98"/>
      <c r="T218" s="87" t="s">
        <v>1267</v>
      </c>
      <c r="U218" s="87" t="s">
        <v>1268</v>
      </c>
      <c r="V218" s="87" t="s">
        <v>836</v>
      </c>
      <c r="W218" s="87" t="s">
        <v>1269</v>
      </c>
      <c r="X218" s="87"/>
      <c r="Y218" s="87"/>
      <c r="Z218" s="92" t="s">
        <v>1270</v>
      </c>
    </row>
    <row r="219" spans="1:26" x14ac:dyDescent="0.3">
      <c r="A219" s="89" t="s">
        <v>830</v>
      </c>
      <c r="B219" s="89" t="s">
        <v>1218</v>
      </c>
      <c r="C219" s="89" t="s">
        <v>1253</v>
      </c>
      <c r="D219" s="89" t="s">
        <v>1271</v>
      </c>
      <c r="E219" s="89" t="s">
        <v>1272</v>
      </c>
      <c r="F219" s="107" t="s">
        <v>214</v>
      </c>
      <c r="G219" s="107" t="s">
        <v>575</v>
      </c>
      <c r="H219" s="100"/>
      <c r="I219" s="100"/>
      <c r="J219" s="100"/>
      <c r="K219" s="100"/>
      <c r="L219" s="100"/>
      <c r="M219" s="100"/>
      <c r="N219" s="100"/>
      <c r="O219" s="100"/>
      <c r="P219" s="100"/>
      <c r="Q219" s="100"/>
      <c r="R219" s="100"/>
      <c r="S219" s="100"/>
      <c r="T219" s="89" t="s">
        <v>1267</v>
      </c>
      <c r="U219" s="89" t="s">
        <v>1268</v>
      </c>
      <c r="V219" s="89" t="s">
        <v>836</v>
      </c>
      <c r="W219" s="89" t="s">
        <v>1269</v>
      </c>
      <c r="X219" s="89"/>
      <c r="Y219" s="89"/>
      <c r="Z219" s="94" t="s">
        <v>1273</v>
      </c>
    </row>
    <row r="220" spans="1:26" x14ac:dyDescent="0.3">
      <c r="A220" s="84" t="s">
        <v>830</v>
      </c>
      <c r="B220" s="84" t="s">
        <v>1038</v>
      </c>
      <c r="C220" s="84" t="s">
        <v>1439</v>
      </c>
      <c r="D220" s="84" t="s">
        <v>251</v>
      </c>
      <c r="E220" s="84" t="s">
        <v>1440</v>
      </c>
      <c r="F220" s="108"/>
      <c r="G220" s="108"/>
      <c r="H220" s="101"/>
      <c r="I220" s="101"/>
      <c r="J220" s="101"/>
      <c r="K220" s="101"/>
      <c r="L220" s="101"/>
      <c r="M220" s="101"/>
      <c r="N220" s="101"/>
      <c r="O220" s="101"/>
      <c r="P220" s="101"/>
      <c r="Q220" s="101"/>
      <c r="R220" s="101"/>
      <c r="S220" s="101"/>
      <c r="T220" s="84"/>
      <c r="U220" s="84"/>
      <c r="V220" s="84"/>
      <c r="W220" s="84"/>
      <c r="X220" s="84"/>
      <c r="Y220" s="84"/>
      <c r="Z220" s="84"/>
    </row>
    <row r="221" spans="1:26" x14ac:dyDescent="0.3">
      <c r="A221" t="s">
        <v>830</v>
      </c>
      <c r="B221" t="s">
        <v>1038</v>
      </c>
      <c r="C221" t="s">
        <v>1439</v>
      </c>
      <c r="D221" t="s">
        <v>1441</v>
      </c>
      <c r="E221" t="s">
        <v>1442</v>
      </c>
      <c r="F221" s="109" t="s">
        <v>246</v>
      </c>
      <c r="G221" s="109" t="s">
        <v>575</v>
      </c>
      <c r="H221" s="102"/>
      <c r="I221" s="102"/>
      <c r="J221" s="102"/>
      <c r="K221" s="102"/>
      <c r="L221" s="102"/>
      <c r="M221" s="102"/>
      <c r="N221" s="102"/>
      <c r="O221" s="102"/>
      <c r="P221" s="102"/>
      <c r="Q221" s="102"/>
      <c r="R221" s="102"/>
      <c r="S221" s="102"/>
      <c r="T221" t="s">
        <v>591</v>
      </c>
      <c r="U221" t="s">
        <v>1443</v>
      </c>
      <c r="V221" t="s">
        <v>1080</v>
      </c>
      <c r="W221" t="s">
        <v>1081</v>
      </c>
    </row>
    <row r="222" spans="1:26" x14ac:dyDescent="0.3">
      <c r="A222" t="s">
        <v>830</v>
      </c>
      <c r="B222" t="s">
        <v>1038</v>
      </c>
      <c r="C222" t="s">
        <v>1439</v>
      </c>
      <c r="D222" t="s">
        <v>1444</v>
      </c>
      <c r="E222" t="s">
        <v>1445</v>
      </c>
      <c r="F222" s="109" t="s">
        <v>246</v>
      </c>
      <c r="G222" s="109" t="s">
        <v>575</v>
      </c>
      <c r="H222" s="102"/>
      <c r="I222" s="102"/>
      <c r="J222" s="102"/>
      <c r="K222" s="102"/>
      <c r="L222" s="102"/>
      <c r="M222" s="102"/>
      <c r="N222" s="102"/>
      <c r="O222" s="102"/>
      <c r="P222" s="102"/>
      <c r="Q222" s="102"/>
      <c r="R222" s="102"/>
      <c r="S222" s="102"/>
      <c r="T222" t="s">
        <v>1446</v>
      </c>
      <c r="U222" t="s">
        <v>1447</v>
      </c>
      <c r="V222" t="s">
        <v>1448</v>
      </c>
      <c r="W222" t="s">
        <v>1081</v>
      </c>
    </row>
    <row r="223" spans="1:26" x14ac:dyDescent="0.3">
      <c r="A223" t="s">
        <v>830</v>
      </c>
      <c r="B223" t="s">
        <v>1038</v>
      </c>
      <c r="C223" t="s">
        <v>1439</v>
      </c>
      <c r="D223" t="s">
        <v>1449</v>
      </c>
      <c r="E223" t="s">
        <v>1450</v>
      </c>
      <c r="F223" s="109" t="s">
        <v>246</v>
      </c>
      <c r="G223" s="109" t="s">
        <v>575</v>
      </c>
      <c r="H223" s="102"/>
      <c r="I223" s="102"/>
      <c r="J223" s="102"/>
      <c r="K223" s="102"/>
      <c r="L223" s="102"/>
      <c r="M223" s="102"/>
      <c r="N223" s="102"/>
      <c r="O223" s="102"/>
      <c r="P223" s="102"/>
      <c r="Q223" s="102"/>
      <c r="R223" s="102"/>
      <c r="S223" s="102"/>
      <c r="T223" t="s">
        <v>1446</v>
      </c>
      <c r="U223" t="s">
        <v>1447</v>
      </c>
      <c r="V223" t="s">
        <v>1448</v>
      </c>
      <c r="W223" t="s">
        <v>1081</v>
      </c>
    </row>
    <row r="224" spans="1:26" x14ac:dyDescent="0.3">
      <c r="A224" t="s">
        <v>830</v>
      </c>
      <c r="B224" t="s">
        <v>1038</v>
      </c>
      <c r="C224" t="s">
        <v>1439</v>
      </c>
      <c r="D224" t="s">
        <v>1451</v>
      </c>
      <c r="E224" t="s">
        <v>1452</v>
      </c>
      <c r="F224" s="109" t="s">
        <v>246</v>
      </c>
      <c r="G224" s="109" t="s">
        <v>575</v>
      </c>
      <c r="H224" s="102"/>
      <c r="I224" s="102"/>
      <c r="J224" s="102"/>
      <c r="K224" s="102"/>
      <c r="L224" s="102"/>
      <c r="M224" s="102"/>
      <c r="N224" s="102"/>
      <c r="O224" s="102"/>
      <c r="P224" s="102"/>
      <c r="Q224" s="102"/>
      <c r="R224" s="102"/>
      <c r="S224" s="102"/>
      <c r="T224" t="s">
        <v>591</v>
      </c>
      <c r="U224" t="s">
        <v>1453</v>
      </c>
      <c r="V224" t="s">
        <v>1448</v>
      </c>
      <c r="W224" t="s">
        <v>1081</v>
      </c>
    </row>
    <row r="225" spans="1:23" x14ac:dyDescent="0.3">
      <c r="A225" t="s">
        <v>830</v>
      </c>
      <c r="B225" t="s">
        <v>1038</v>
      </c>
      <c r="C225" t="s">
        <v>1439</v>
      </c>
      <c r="D225" t="s">
        <v>1454</v>
      </c>
      <c r="E225" t="s">
        <v>1455</v>
      </c>
      <c r="F225" s="109" t="s">
        <v>246</v>
      </c>
      <c r="G225" s="109" t="s">
        <v>575</v>
      </c>
      <c r="H225" s="102"/>
      <c r="I225" s="102"/>
      <c r="J225" s="102"/>
      <c r="K225" s="102"/>
      <c r="L225" s="102"/>
      <c r="M225" s="102"/>
      <c r="N225" s="102"/>
      <c r="O225" s="102"/>
      <c r="P225" s="102"/>
      <c r="Q225" s="102"/>
      <c r="R225" s="102"/>
      <c r="S225" s="102"/>
      <c r="T225" t="s">
        <v>591</v>
      </c>
      <c r="U225" t="s">
        <v>1453</v>
      </c>
      <c r="V225" t="s">
        <v>1448</v>
      </c>
      <c r="W225" t="s">
        <v>1081</v>
      </c>
    </row>
    <row r="226" spans="1:23" x14ac:dyDescent="0.3">
      <c r="A226" t="s">
        <v>830</v>
      </c>
      <c r="B226" t="s">
        <v>1038</v>
      </c>
      <c r="C226" t="s">
        <v>1439</v>
      </c>
      <c r="D226" t="s">
        <v>1456</v>
      </c>
      <c r="E226" t="s">
        <v>1457</v>
      </c>
      <c r="F226" s="109" t="s">
        <v>1105</v>
      </c>
      <c r="G226" s="109" t="s">
        <v>575</v>
      </c>
      <c r="H226" s="102"/>
      <c r="I226" s="102"/>
      <c r="J226" s="102"/>
      <c r="K226" s="102"/>
      <c r="L226" s="102"/>
      <c r="M226" s="102"/>
      <c r="N226" s="102"/>
      <c r="O226" s="102"/>
      <c r="P226" s="102"/>
      <c r="Q226" s="102"/>
      <c r="R226" s="102"/>
      <c r="S226" s="102"/>
      <c r="T226" t="s">
        <v>1106</v>
      </c>
      <c r="U226" t="s">
        <v>1453</v>
      </c>
      <c r="V226" t="s">
        <v>1458</v>
      </c>
      <c r="W226" t="s">
        <v>1108</v>
      </c>
    </row>
    <row r="227" spans="1:23" x14ac:dyDescent="0.3">
      <c r="A227" t="s">
        <v>830</v>
      </c>
      <c r="B227" t="s">
        <v>1038</v>
      </c>
      <c r="C227" t="s">
        <v>1439</v>
      </c>
      <c r="D227" t="s">
        <v>1459</v>
      </c>
      <c r="E227" t="s">
        <v>1460</v>
      </c>
      <c r="F227" s="109" t="s">
        <v>1105</v>
      </c>
      <c r="G227" s="109" t="s">
        <v>575</v>
      </c>
      <c r="H227" s="102"/>
      <c r="I227" s="102"/>
      <c r="J227" s="102"/>
      <c r="K227" s="102"/>
      <c r="L227" s="102"/>
      <c r="M227" s="102"/>
      <c r="N227" s="102"/>
      <c r="O227" s="102"/>
      <c r="P227" s="102"/>
      <c r="Q227" s="102"/>
      <c r="R227" s="102"/>
      <c r="S227" s="102"/>
      <c r="T227" t="s">
        <v>1106</v>
      </c>
      <c r="U227" t="s">
        <v>1453</v>
      </c>
      <c r="V227" t="s">
        <v>1458</v>
      </c>
      <c r="W227" t="s">
        <v>1108</v>
      </c>
    </row>
    <row r="228" spans="1:23" x14ac:dyDescent="0.3">
      <c r="A228" t="s">
        <v>830</v>
      </c>
      <c r="B228" t="s">
        <v>1038</v>
      </c>
      <c r="C228" t="s">
        <v>1439</v>
      </c>
      <c r="D228" t="s">
        <v>1461</v>
      </c>
      <c r="E228" t="s">
        <v>1462</v>
      </c>
      <c r="F228" s="109" t="s">
        <v>1105</v>
      </c>
      <c r="G228" s="109" t="s">
        <v>575</v>
      </c>
      <c r="H228" s="102"/>
      <c r="I228" s="102"/>
      <c r="J228" s="102"/>
      <c r="K228" s="102"/>
      <c r="L228" s="102"/>
      <c r="M228" s="102"/>
      <c r="N228" s="102"/>
      <c r="O228" s="102"/>
      <c r="P228" s="102"/>
      <c r="Q228" s="102"/>
      <c r="R228" s="102"/>
      <c r="S228" s="102"/>
      <c r="T228" t="s">
        <v>1106</v>
      </c>
      <c r="U228" t="s">
        <v>1453</v>
      </c>
      <c r="V228" t="s">
        <v>1158</v>
      </c>
      <c r="W228" t="s">
        <v>1108</v>
      </c>
    </row>
    <row r="229" spans="1:23" x14ac:dyDescent="0.3">
      <c r="A229" t="s">
        <v>830</v>
      </c>
      <c r="B229" t="s">
        <v>1038</v>
      </c>
      <c r="C229" t="s">
        <v>1439</v>
      </c>
      <c r="D229" t="s">
        <v>1463</v>
      </c>
      <c r="E229" t="s">
        <v>1464</v>
      </c>
      <c r="F229" s="109" t="s">
        <v>1105</v>
      </c>
      <c r="G229" s="109" t="s">
        <v>575</v>
      </c>
      <c r="H229" s="102"/>
      <c r="I229" s="102"/>
      <c r="J229" s="102"/>
      <c r="K229" s="102"/>
      <c r="L229" s="102"/>
      <c r="M229" s="102"/>
      <c r="N229" s="102"/>
      <c r="O229" s="102"/>
      <c r="P229" s="102"/>
      <c r="Q229" s="102"/>
      <c r="R229" s="102"/>
      <c r="S229" s="102"/>
      <c r="T229" t="s">
        <v>1106</v>
      </c>
      <c r="U229" t="s">
        <v>1453</v>
      </c>
      <c r="V229" t="s">
        <v>1158</v>
      </c>
      <c r="W229" t="s">
        <v>1108</v>
      </c>
    </row>
    <row r="230" spans="1:23" x14ac:dyDescent="0.3">
      <c r="A230" t="s">
        <v>830</v>
      </c>
      <c r="B230" t="s">
        <v>1038</v>
      </c>
      <c r="C230" t="s">
        <v>1439</v>
      </c>
      <c r="D230" t="s">
        <v>1465</v>
      </c>
      <c r="E230" t="s">
        <v>1466</v>
      </c>
      <c r="F230" s="109" t="s">
        <v>1105</v>
      </c>
      <c r="G230" s="109" t="s">
        <v>575</v>
      </c>
      <c r="H230" s="102"/>
      <c r="I230" s="102"/>
      <c r="J230" s="102"/>
      <c r="K230" s="102"/>
      <c r="L230" s="102"/>
      <c r="M230" s="102"/>
      <c r="N230" s="102"/>
      <c r="O230" s="102"/>
      <c r="P230" s="102"/>
      <c r="Q230" s="102"/>
      <c r="R230" s="102"/>
      <c r="S230" s="102"/>
      <c r="T230" t="s">
        <v>1106</v>
      </c>
      <c r="U230" t="s">
        <v>1453</v>
      </c>
      <c r="V230" t="s">
        <v>1458</v>
      </c>
      <c r="W230" t="s">
        <v>1108</v>
      </c>
    </row>
    <row r="231" spans="1:23" x14ac:dyDescent="0.3">
      <c r="A231" t="s">
        <v>830</v>
      </c>
      <c r="B231" t="s">
        <v>1038</v>
      </c>
      <c r="C231" t="s">
        <v>1439</v>
      </c>
      <c r="D231" t="s">
        <v>1467</v>
      </c>
      <c r="E231" t="s">
        <v>1468</v>
      </c>
      <c r="F231" s="109" t="s">
        <v>574</v>
      </c>
      <c r="G231" s="109" t="s">
        <v>575</v>
      </c>
      <c r="H231" s="102"/>
      <c r="I231" s="102"/>
      <c r="J231" s="102"/>
      <c r="K231" s="102"/>
      <c r="L231" s="102"/>
      <c r="M231" s="102"/>
      <c r="N231" s="102"/>
      <c r="O231" s="102"/>
      <c r="P231" s="102"/>
      <c r="Q231" s="102"/>
      <c r="R231" s="102"/>
      <c r="S231" s="102"/>
      <c r="T231" t="s">
        <v>1469</v>
      </c>
      <c r="U231" t="s">
        <v>1453</v>
      </c>
      <c r="V231" t="s">
        <v>1470</v>
      </c>
      <c r="W231" t="s">
        <v>1470</v>
      </c>
    </row>
    <row r="232" spans="1:23" x14ac:dyDescent="0.3">
      <c r="A232" t="s">
        <v>830</v>
      </c>
      <c r="B232" t="s">
        <v>1038</v>
      </c>
      <c r="C232" t="s">
        <v>1439</v>
      </c>
      <c r="D232" t="s">
        <v>1471</v>
      </c>
      <c r="E232" t="s">
        <v>1472</v>
      </c>
      <c r="F232" s="109" t="s">
        <v>574</v>
      </c>
      <c r="G232" s="109" t="s">
        <v>575</v>
      </c>
      <c r="H232" s="102"/>
      <c r="I232" s="102"/>
      <c r="J232" s="102"/>
      <c r="K232" s="102"/>
      <c r="L232" s="102"/>
      <c r="M232" s="102"/>
      <c r="N232" s="102"/>
      <c r="O232" s="102"/>
      <c r="P232" s="102"/>
      <c r="Q232" s="102"/>
      <c r="R232" s="102"/>
      <c r="S232" s="102"/>
      <c r="T232" t="s">
        <v>1469</v>
      </c>
      <c r="U232" t="s">
        <v>1453</v>
      </c>
      <c r="V232" t="s">
        <v>1470</v>
      </c>
      <c r="W232" t="s">
        <v>1470</v>
      </c>
    </row>
    <row r="233" spans="1:23" x14ac:dyDescent="0.3">
      <c r="A233" t="s">
        <v>830</v>
      </c>
      <c r="B233" t="s">
        <v>1038</v>
      </c>
      <c r="C233" t="s">
        <v>1439</v>
      </c>
      <c r="D233" t="s">
        <v>1473</v>
      </c>
      <c r="E233" t="s">
        <v>1474</v>
      </c>
      <c r="F233" s="109" t="s">
        <v>574</v>
      </c>
      <c r="G233" s="109" t="s">
        <v>575</v>
      </c>
      <c r="H233" s="102"/>
      <c r="I233" s="102"/>
      <c r="J233" s="102"/>
      <c r="K233" s="102"/>
      <c r="L233" s="102"/>
      <c r="M233" s="102"/>
      <c r="N233" s="102"/>
      <c r="O233" s="102"/>
      <c r="P233" s="102"/>
      <c r="Q233" s="102"/>
      <c r="R233" s="102"/>
      <c r="S233" s="102"/>
      <c r="T233" t="s">
        <v>1469</v>
      </c>
      <c r="U233" t="s">
        <v>1475</v>
      </c>
      <c r="V233" t="s">
        <v>1470</v>
      </c>
      <c r="W233" t="s">
        <v>1470</v>
      </c>
    </row>
    <row r="234" spans="1:23" x14ac:dyDescent="0.3">
      <c r="A234" t="s">
        <v>830</v>
      </c>
      <c r="B234" t="s">
        <v>1038</v>
      </c>
      <c r="C234" t="s">
        <v>1439</v>
      </c>
      <c r="D234" t="s">
        <v>1476</v>
      </c>
      <c r="E234" t="s">
        <v>1477</v>
      </c>
      <c r="F234" s="109" t="s">
        <v>246</v>
      </c>
      <c r="G234" s="109" t="s">
        <v>575</v>
      </c>
      <c r="H234" s="102"/>
      <c r="I234" s="102"/>
      <c r="J234" s="102"/>
      <c r="K234" s="102"/>
      <c r="L234" s="102"/>
      <c r="M234" s="102"/>
      <c r="N234" s="102"/>
      <c r="O234" s="102"/>
      <c r="P234" s="102"/>
      <c r="Q234" s="102"/>
      <c r="R234" s="102"/>
      <c r="S234" s="102"/>
      <c r="T234" t="s">
        <v>1116</v>
      </c>
      <c r="U234" t="s">
        <v>1478</v>
      </c>
      <c r="V234" t="s">
        <v>1080</v>
      </c>
      <c r="W234" t="s">
        <v>1081</v>
      </c>
    </row>
    <row r="235" spans="1:23" x14ac:dyDescent="0.3">
      <c r="A235" t="s">
        <v>830</v>
      </c>
      <c r="B235" t="s">
        <v>1038</v>
      </c>
      <c r="C235" t="s">
        <v>1439</v>
      </c>
      <c r="D235" t="s">
        <v>1479</v>
      </c>
      <c r="E235" t="s">
        <v>1480</v>
      </c>
      <c r="F235" s="109" t="s">
        <v>1105</v>
      </c>
      <c r="G235" s="109" t="s">
        <v>575</v>
      </c>
      <c r="H235" s="102"/>
      <c r="I235" s="102"/>
      <c r="J235" s="102"/>
      <c r="K235" s="102"/>
      <c r="L235" s="102"/>
      <c r="M235" s="102"/>
      <c r="N235" s="102"/>
      <c r="O235" s="102"/>
      <c r="P235" s="102"/>
      <c r="Q235" s="102"/>
      <c r="R235" s="102"/>
      <c r="S235" s="102"/>
      <c r="T235" t="s">
        <v>1106</v>
      </c>
      <c r="U235" t="s">
        <v>1453</v>
      </c>
      <c r="V235" t="s">
        <v>1458</v>
      </c>
      <c r="W235" t="s">
        <v>1108</v>
      </c>
    </row>
    <row r="236" spans="1:23" x14ac:dyDescent="0.3">
      <c r="A236" t="s">
        <v>830</v>
      </c>
      <c r="B236" t="s">
        <v>1038</v>
      </c>
      <c r="C236" t="s">
        <v>1439</v>
      </c>
      <c r="D236" t="s">
        <v>1481</v>
      </c>
      <c r="E236" t="s">
        <v>1482</v>
      </c>
      <c r="F236" s="109" t="s">
        <v>246</v>
      </c>
      <c r="G236" s="109" t="s">
        <v>575</v>
      </c>
      <c r="H236" s="102"/>
      <c r="I236" s="102"/>
      <c r="J236" s="102"/>
      <c r="K236" s="102"/>
      <c r="L236" s="102"/>
      <c r="M236" s="102"/>
      <c r="N236" s="102"/>
      <c r="O236" s="102"/>
      <c r="P236" s="102"/>
      <c r="Q236" s="102"/>
      <c r="R236" s="102"/>
      <c r="S236" s="102"/>
      <c r="T236" t="s">
        <v>1483</v>
      </c>
      <c r="U236" t="s">
        <v>1453</v>
      </c>
      <c r="V236" t="s">
        <v>1448</v>
      </c>
      <c r="W236" t="s">
        <v>1081</v>
      </c>
    </row>
    <row r="237" spans="1:23" x14ac:dyDescent="0.3">
      <c r="A237" t="s">
        <v>830</v>
      </c>
      <c r="B237" t="s">
        <v>1038</v>
      </c>
      <c r="C237" t="s">
        <v>1439</v>
      </c>
      <c r="D237" t="s">
        <v>1484</v>
      </c>
      <c r="E237" t="s">
        <v>1485</v>
      </c>
      <c r="F237" s="109" t="s">
        <v>246</v>
      </c>
      <c r="G237" s="109" t="s">
        <v>575</v>
      </c>
      <c r="H237" s="102"/>
      <c r="I237" s="102"/>
      <c r="J237" s="102"/>
      <c r="K237" s="102"/>
      <c r="L237" s="102"/>
      <c r="M237" s="102"/>
      <c r="N237" s="102"/>
      <c r="O237" s="102"/>
      <c r="P237" s="102"/>
      <c r="Q237" s="102"/>
      <c r="R237" s="102"/>
      <c r="S237" s="102"/>
      <c r="T237" t="s">
        <v>1116</v>
      </c>
      <c r="U237" t="s">
        <v>1486</v>
      </c>
      <c r="V237" t="s">
        <v>1487</v>
      </c>
      <c r="W237" t="s">
        <v>1081</v>
      </c>
    </row>
    <row r="238" spans="1:23" x14ac:dyDescent="0.3">
      <c r="A238" t="s">
        <v>830</v>
      </c>
      <c r="B238" t="s">
        <v>1038</v>
      </c>
      <c r="C238" t="s">
        <v>1439</v>
      </c>
      <c r="D238" t="s">
        <v>1488</v>
      </c>
      <c r="E238" t="s">
        <v>1489</v>
      </c>
      <c r="F238" s="109" t="s">
        <v>239</v>
      </c>
      <c r="G238" s="109" t="s">
        <v>575</v>
      </c>
      <c r="H238" s="102"/>
      <c r="I238" s="102"/>
      <c r="J238" s="102"/>
      <c r="K238" s="102"/>
      <c r="L238" s="102"/>
      <c r="M238" s="102"/>
      <c r="N238" s="102"/>
      <c r="O238" s="102"/>
      <c r="P238" s="102"/>
      <c r="Q238" s="102"/>
      <c r="R238" s="102"/>
      <c r="S238" s="102"/>
      <c r="T238" t="s">
        <v>1113</v>
      </c>
      <c r="U238" t="s">
        <v>1490</v>
      </c>
      <c r="V238" t="s">
        <v>1044</v>
      </c>
      <c r="W238" t="s">
        <v>1045</v>
      </c>
    </row>
    <row r="239" spans="1:23" x14ac:dyDescent="0.3">
      <c r="A239" t="s">
        <v>830</v>
      </c>
      <c r="B239" t="s">
        <v>1038</v>
      </c>
      <c r="C239" t="s">
        <v>1439</v>
      </c>
      <c r="D239" t="s">
        <v>1491</v>
      </c>
      <c r="E239" t="s">
        <v>1492</v>
      </c>
      <c r="F239" s="109" t="s">
        <v>574</v>
      </c>
      <c r="G239" s="109" t="s">
        <v>575</v>
      </c>
      <c r="H239" s="102"/>
      <c r="I239" s="102"/>
      <c r="J239" s="102"/>
      <c r="K239" s="102"/>
      <c r="L239" s="102"/>
      <c r="M239" s="102"/>
      <c r="N239" s="102"/>
      <c r="O239" s="102"/>
      <c r="P239" s="102"/>
      <c r="Q239" s="102"/>
      <c r="R239" s="102"/>
      <c r="S239" s="102"/>
      <c r="T239" t="s">
        <v>1493</v>
      </c>
      <c r="U239" t="s">
        <v>1494</v>
      </c>
      <c r="V239" t="s">
        <v>1495</v>
      </c>
      <c r="W239" t="s">
        <v>1470</v>
      </c>
    </row>
    <row r="240" spans="1:23" x14ac:dyDescent="0.3">
      <c r="A240" t="s">
        <v>830</v>
      </c>
      <c r="B240" t="s">
        <v>1038</v>
      </c>
      <c r="C240" t="s">
        <v>1439</v>
      </c>
      <c r="D240" t="s">
        <v>1496</v>
      </c>
      <c r="E240" t="s">
        <v>1497</v>
      </c>
      <c r="F240" s="109" t="s">
        <v>574</v>
      </c>
      <c r="G240" s="109" t="s">
        <v>575</v>
      </c>
      <c r="H240" s="102"/>
      <c r="I240" s="102"/>
      <c r="J240" s="102"/>
      <c r="K240" s="102"/>
      <c r="L240" s="102"/>
      <c r="M240" s="102"/>
      <c r="N240" s="102"/>
      <c r="O240" s="102"/>
      <c r="P240" s="102"/>
      <c r="Q240" s="102"/>
      <c r="R240" s="102"/>
      <c r="S240" s="102"/>
      <c r="T240" t="s">
        <v>1493</v>
      </c>
      <c r="U240" t="s">
        <v>1494</v>
      </c>
      <c r="V240" t="s">
        <v>1498</v>
      </c>
      <c r="W240" t="s">
        <v>1470</v>
      </c>
    </row>
    <row r="241" spans="1:23" x14ac:dyDescent="0.3">
      <c r="A241" t="s">
        <v>830</v>
      </c>
      <c r="B241" t="s">
        <v>1038</v>
      </c>
      <c r="C241" t="s">
        <v>1439</v>
      </c>
      <c r="D241" t="s">
        <v>1499</v>
      </c>
      <c r="E241" t="s">
        <v>1500</v>
      </c>
      <c r="F241" s="109" t="s">
        <v>574</v>
      </c>
      <c r="G241" s="109" t="s">
        <v>575</v>
      </c>
      <c r="H241" s="102"/>
      <c r="I241" s="102"/>
      <c r="J241" s="102"/>
      <c r="K241" s="102"/>
      <c r="L241" s="102"/>
      <c r="M241" s="102"/>
      <c r="N241" s="102"/>
      <c r="O241" s="102"/>
      <c r="P241" s="102"/>
      <c r="Q241" s="102"/>
      <c r="R241" s="102"/>
      <c r="S241" s="102"/>
      <c r="T241" t="s">
        <v>1501</v>
      </c>
      <c r="U241" t="s">
        <v>1502</v>
      </c>
      <c r="V241" t="s">
        <v>1470</v>
      </c>
      <c r="W241" t="s">
        <v>1470</v>
      </c>
    </row>
    <row r="242" spans="1:23" x14ac:dyDescent="0.3">
      <c r="A242" t="s">
        <v>830</v>
      </c>
      <c r="B242" t="s">
        <v>1038</v>
      </c>
      <c r="C242" t="s">
        <v>1439</v>
      </c>
      <c r="D242" t="s">
        <v>1503</v>
      </c>
      <c r="E242" t="s">
        <v>1504</v>
      </c>
      <c r="F242" s="109" t="s">
        <v>574</v>
      </c>
      <c r="G242" s="109" t="s">
        <v>575</v>
      </c>
      <c r="H242" s="102"/>
      <c r="I242" s="102"/>
      <c r="J242" s="102"/>
      <c r="K242" s="102"/>
      <c r="L242" s="102"/>
      <c r="M242" s="102"/>
      <c r="N242" s="102"/>
      <c r="O242" s="102"/>
      <c r="P242" s="102"/>
      <c r="Q242" s="102"/>
      <c r="R242" s="102"/>
      <c r="S242" s="102"/>
      <c r="T242" t="s">
        <v>1501</v>
      </c>
      <c r="U242" t="s">
        <v>1502</v>
      </c>
      <c r="V242" t="s">
        <v>1470</v>
      </c>
      <c r="W242" t="s">
        <v>1470</v>
      </c>
    </row>
    <row r="243" spans="1:23" x14ac:dyDescent="0.3">
      <c r="A243" t="s">
        <v>830</v>
      </c>
      <c r="B243" t="s">
        <v>1038</v>
      </c>
      <c r="C243" t="s">
        <v>1439</v>
      </c>
      <c r="D243" t="s">
        <v>1505</v>
      </c>
      <c r="E243" t="s">
        <v>1506</v>
      </c>
      <c r="F243" s="109" t="s">
        <v>574</v>
      </c>
      <c r="G243" s="109" t="s">
        <v>575</v>
      </c>
      <c r="H243" s="102"/>
      <c r="I243" s="102"/>
      <c r="J243" s="102"/>
      <c r="K243" s="102"/>
      <c r="L243" s="102"/>
      <c r="M243" s="102"/>
      <c r="N243" s="102"/>
      <c r="O243" s="102"/>
      <c r="P243" s="102"/>
      <c r="Q243" s="102"/>
      <c r="R243" s="102"/>
      <c r="S243" s="102"/>
      <c r="T243" t="s">
        <v>1507</v>
      </c>
      <c r="U243" t="s">
        <v>1508</v>
      </c>
      <c r="V243" t="s">
        <v>1470</v>
      </c>
      <c r="W243" t="s">
        <v>1470</v>
      </c>
    </row>
    <row r="244" spans="1:23" x14ac:dyDescent="0.3">
      <c r="A244" t="s">
        <v>830</v>
      </c>
      <c r="B244" t="s">
        <v>1038</v>
      </c>
      <c r="C244" t="s">
        <v>1439</v>
      </c>
      <c r="D244" t="s">
        <v>1509</v>
      </c>
      <c r="E244" t="s">
        <v>1510</v>
      </c>
      <c r="F244" s="109" t="s">
        <v>1105</v>
      </c>
      <c r="G244" s="109" t="s">
        <v>575</v>
      </c>
      <c r="H244" s="102"/>
      <c r="I244" s="102"/>
      <c r="J244" s="102"/>
      <c r="K244" s="102"/>
      <c r="L244" s="102"/>
      <c r="M244" s="102"/>
      <c r="N244" s="102"/>
      <c r="O244" s="102"/>
      <c r="P244" s="102"/>
      <c r="Q244" s="102"/>
      <c r="R244" s="102"/>
      <c r="S244" s="102"/>
      <c r="T244" t="s">
        <v>1106</v>
      </c>
      <c r="U244" t="s">
        <v>1508</v>
      </c>
      <c r="V244" t="s">
        <v>1158</v>
      </c>
      <c r="W244" t="s">
        <v>1108</v>
      </c>
    </row>
    <row r="245" spans="1:23" x14ac:dyDescent="0.3">
      <c r="A245" t="s">
        <v>830</v>
      </c>
      <c r="B245" t="s">
        <v>1038</v>
      </c>
      <c r="C245" t="s">
        <v>1439</v>
      </c>
      <c r="D245" t="s">
        <v>1511</v>
      </c>
      <c r="E245" t="s">
        <v>1512</v>
      </c>
      <c r="F245" s="109" t="s">
        <v>574</v>
      </c>
      <c r="G245" s="109" t="s">
        <v>575</v>
      </c>
      <c r="H245" s="102"/>
      <c r="I245" s="102"/>
      <c r="J245" s="102"/>
      <c r="K245" s="102"/>
      <c r="L245" s="102"/>
      <c r="M245" s="102"/>
      <c r="N245" s="102"/>
      <c r="O245" s="102"/>
      <c r="P245" s="102"/>
      <c r="Q245" s="102"/>
      <c r="R245" s="102"/>
      <c r="S245" s="102"/>
      <c r="T245" t="s">
        <v>1513</v>
      </c>
      <c r="U245" t="s">
        <v>1475</v>
      </c>
      <c r="V245" t="s">
        <v>1470</v>
      </c>
      <c r="W245" t="s">
        <v>1470</v>
      </c>
    </row>
    <row r="246" spans="1:23" x14ac:dyDescent="0.3">
      <c r="A246" t="s">
        <v>830</v>
      </c>
      <c r="B246" t="s">
        <v>1038</v>
      </c>
      <c r="C246" t="s">
        <v>1439</v>
      </c>
      <c r="D246" t="s">
        <v>1514</v>
      </c>
      <c r="E246" t="s">
        <v>1515</v>
      </c>
      <c r="F246" s="109" t="s">
        <v>574</v>
      </c>
      <c r="G246" s="109" t="s">
        <v>575</v>
      </c>
      <c r="H246" s="102"/>
      <c r="I246" s="102"/>
      <c r="J246" s="102"/>
      <c r="K246" s="102"/>
      <c r="L246" s="102"/>
      <c r="M246" s="102"/>
      <c r="N246" s="102"/>
      <c r="O246" s="102"/>
      <c r="P246" s="102"/>
      <c r="Q246" s="102"/>
      <c r="R246" s="102"/>
      <c r="S246" s="102"/>
      <c r="T246" t="s">
        <v>1516</v>
      </c>
      <c r="U246" t="s">
        <v>1517</v>
      </c>
      <c r="V246" t="s">
        <v>1470</v>
      </c>
      <c r="W246" t="s">
        <v>1470</v>
      </c>
    </row>
    <row r="247" spans="1:23" x14ac:dyDescent="0.3">
      <c r="A247" t="s">
        <v>830</v>
      </c>
      <c r="B247" t="s">
        <v>1038</v>
      </c>
      <c r="C247" t="s">
        <v>1439</v>
      </c>
      <c r="D247" t="s">
        <v>1518</v>
      </c>
      <c r="E247" t="s">
        <v>1519</v>
      </c>
      <c r="F247" s="109" t="s">
        <v>574</v>
      </c>
      <c r="G247" s="109" t="s">
        <v>575</v>
      </c>
      <c r="H247" s="102"/>
      <c r="I247" s="102"/>
      <c r="J247" s="102"/>
      <c r="K247" s="102"/>
      <c r="L247" s="102"/>
      <c r="M247" s="102"/>
      <c r="N247" s="102"/>
      <c r="O247" s="102"/>
      <c r="P247" s="102"/>
      <c r="Q247" s="102"/>
      <c r="R247" s="102"/>
      <c r="S247" s="102"/>
      <c r="T247" t="s">
        <v>1520</v>
      </c>
      <c r="U247" t="s">
        <v>1453</v>
      </c>
      <c r="V247" t="s">
        <v>1470</v>
      </c>
      <c r="W247" t="s">
        <v>1470</v>
      </c>
    </row>
    <row r="248" spans="1:23" x14ac:dyDescent="0.3">
      <c r="A248" t="s">
        <v>830</v>
      </c>
      <c r="B248" t="s">
        <v>1038</v>
      </c>
      <c r="C248" t="s">
        <v>1439</v>
      </c>
      <c r="D248" t="s">
        <v>1521</v>
      </c>
      <c r="E248" t="s">
        <v>1522</v>
      </c>
      <c r="F248" s="109" t="s">
        <v>574</v>
      </c>
      <c r="G248" s="109" t="s">
        <v>575</v>
      </c>
      <c r="H248" s="102"/>
      <c r="I248" s="102"/>
      <c r="J248" s="102"/>
      <c r="K248" s="102"/>
      <c r="L248" s="102"/>
      <c r="M248" s="102"/>
      <c r="N248" s="102"/>
      <c r="O248" s="102"/>
      <c r="P248" s="102"/>
      <c r="Q248" s="102"/>
      <c r="R248" s="102"/>
      <c r="S248" s="102"/>
      <c r="T248" t="s">
        <v>1294</v>
      </c>
      <c r="U248" t="s">
        <v>1453</v>
      </c>
      <c r="V248" t="s">
        <v>1470</v>
      </c>
      <c r="W248" t="s">
        <v>1470</v>
      </c>
    </row>
    <row r="249" spans="1:23" x14ac:dyDescent="0.3">
      <c r="A249" t="s">
        <v>830</v>
      </c>
      <c r="B249" t="s">
        <v>1038</v>
      </c>
      <c r="C249" t="s">
        <v>1439</v>
      </c>
      <c r="D249" t="s">
        <v>1523</v>
      </c>
      <c r="E249" t="s">
        <v>1524</v>
      </c>
      <c r="F249" s="109" t="s">
        <v>574</v>
      </c>
      <c r="G249" s="109" t="s">
        <v>575</v>
      </c>
      <c r="H249" s="102"/>
      <c r="I249" s="102"/>
      <c r="J249" s="102"/>
      <c r="K249" s="102"/>
      <c r="L249" s="102"/>
      <c r="M249" s="102"/>
      <c r="N249" s="102"/>
      <c r="O249" s="102"/>
      <c r="P249" s="102"/>
      <c r="Q249" s="102"/>
      <c r="R249" s="102"/>
      <c r="S249" s="102"/>
      <c r="T249" t="s">
        <v>1525</v>
      </c>
      <c r="U249" t="s">
        <v>1453</v>
      </c>
      <c r="V249" t="s">
        <v>1470</v>
      </c>
      <c r="W249" t="s">
        <v>1470</v>
      </c>
    </row>
    <row r="250" spans="1:23" x14ac:dyDescent="0.3">
      <c r="A250" t="s">
        <v>830</v>
      </c>
      <c r="B250" t="s">
        <v>1038</v>
      </c>
      <c r="C250" t="s">
        <v>1439</v>
      </c>
      <c r="D250" t="s">
        <v>1526</v>
      </c>
      <c r="E250" t="s">
        <v>1527</v>
      </c>
      <c r="F250" s="109" t="s">
        <v>574</v>
      </c>
      <c r="G250" s="109" t="s">
        <v>575</v>
      </c>
      <c r="H250" s="102"/>
      <c r="I250" s="102"/>
      <c r="J250" s="102"/>
      <c r="K250" s="102"/>
      <c r="L250" s="102"/>
      <c r="M250" s="102"/>
      <c r="N250" s="102"/>
      <c r="O250" s="102"/>
      <c r="P250" s="102"/>
      <c r="Q250" s="102"/>
      <c r="R250" s="102"/>
      <c r="S250" s="102"/>
      <c r="T250" t="s">
        <v>1528</v>
      </c>
      <c r="U250" t="s">
        <v>1453</v>
      </c>
      <c r="V250" t="s">
        <v>1470</v>
      </c>
      <c r="W250" t="s">
        <v>1470</v>
      </c>
    </row>
  </sheetData>
  <mergeCells count="3">
    <mergeCell ref="G1:I1"/>
    <mergeCell ref="G2:I2"/>
    <mergeCell ref="G3:I3"/>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4F07-FDAE-4522-AEB2-FA73CB7FA8B3}">
  <sheetPr>
    <pageSetUpPr fitToPage="1"/>
  </sheetPr>
  <dimension ref="A1:Y372"/>
  <sheetViews>
    <sheetView workbookViewId="0">
      <pane xSplit="1" ySplit="4" topLeftCell="B38" activePane="bottomRight" state="frozen"/>
      <selection pane="topRight" activeCell="B1" sqref="B1"/>
      <selection pane="bottomLeft" activeCell="A7" sqref="A7"/>
      <selection pane="bottomRight" activeCell="E12" sqref="E12"/>
    </sheetView>
  </sheetViews>
  <sheetFormatPr defaultRowHeight="14.4" outlineLevelCol="3" x14ac:dyDescent="0.3"/>
  <cols>
    <col min="1" max="1" width="13" customWidth="1"/>
    <col min="2" max="2" width="22.33203125" customWidth="1" outlineLevel="3"/>
    <col min="3" max="4" width="18.5546875" customWidth="1" outlineLevel="3"/>
    <col min="5" max="5" width="14.6640625" customWidth="1" outlineLevel="3"/>
    <col min="6" max="6" width="11.109375" customWidth="1" outlineLevel="3"/>
    <col min="7" max="7" width="7.44140625" customWidth="1"/>
    <col min="8" max="8" width="13" customWidth="1"/>
    <col min="9" max="9" width="18.5546875" customWidth="1"/>
    <col min="10" max="10" width="33.33203125" customWidth="1"/>
    <col min="11" max="12" width="16.6640625" customWidth="1"/>
    <col min="13" max="13" width="14.6640625" customWidth="1"/>
    <col min="14" max="14" width="13.88671875" customWidth="1"/>
    <col min="15" max="15" width="12" customWidth="1"/>
    <col min="16" max="16" width="13.88671875" customWidth="1"/>
    <col min="17" max="18" width="13" customWidth="1" outlineLevel="3"/>
    <col min="19" max="19" width="10.33203125" customWidth="1" outlineLevel="3"/>
    <col min="20" max="21" width="13" customWidth="1" outlineLevel="3"/>
    <col min="22" max="22" width="48.44140625" style="125" bestFit="1" customWidth="1"/>
    <col min="23" max="23" width="27.6640625" customWidth="1"/>
    <col min="24" max="24" width="37" customWidth="1"/>
    <col min="25" max="25" width="18.5546875" customWidth="1"/>
  </cols>
  <sheetData>
    <row r="1" spans="1:25" ht="22.2" customHeight="1" x14ac:dyDescent="0.35">
      <c r="A1" s="265" t="s">
        <v>2361</v>
      </c>
      <c r="B1" s="265"/>
      <c r="C1" s="265"/>
      <c r="D1" s="265"/>
      <c r="E1" s="265"/>
      <c r="F1" s="265"/>
      <c r="G1" s="265"/>
      <c r="H1" s="265"/>
      <c r="I1" s="265"/>
      <c r="J1" s="265"/>
      <c r="K1" s="265"/>
      <c r="L1" s="265"/>
      <c r="M1" s="265"/>
      <c r="N1" s="265"/>
      <c r="O1" s="265"/>
      <c r="P1" s="265"/>
      <c r="Q1" s="265"/>
      <c r="R1" s="265"/>
      <c r="S1" s="265"/>
      <c r="T1" s="265"/>
      <c r="U1" s="265"/>
      <c r="V1" s="265"/>
      <c r="W1" s="265"/>
      <c r="X1" s="265"/>
      <c r="Y1" s="265"/>
    </row>
    <row r="2" spans="1:25" ht="24" customHeight="1" x14ac:dyDescent="0.4">
      <c r="A2" s="266" t="s">
        <v>458</v>
      </c>
      <c r="B2" s="266"/>
      <c r="C2" s="266"/>
      <c r="D2" s="266"/>
      <c r="E2" s="266"/>
      <c r="F2" s="266"/>
      <c r="G2" s="266"/>
      <c r="H2" s="266"/>
      <c r="I2" s="266"/>
      <c r="J2" s="266"/>
      <c r="K2" s="266"/>
      <c r="L2" s="266"/>
      <c r="M2" s="266"/>
      <c r="N2" s="266"/>
      <c r="O2" s="266"/>
      <c r="P2" s="266"/>
      <c r="Q2" s="266"/>
      <c r="R2" s="266"/>
      <c r="S2" s="266"/>
      <c r="T2" s="266"/>
      <c r="U2" s="266"/>
      <c r="V2" s="266"/>
      <c r="W2" s="266"/>
      <c r="X2" s="266"/>
      <c r="Y2" s="266"/>
    </row>
    <row r="3" spans="1:25" ht="28.2" customHeight="1" thickBot="1" x14ac:dyDescent="0.5">
      <c r="A3" s="267" t="s">
        <v>2117</v>
      </c>
      <c r="B3" s="267"/>
      <c r="C3" s="267"/>
      <c r="D3" s="267"/>
      <c r="E3" s="267"/>
      <c r="F3" s="267"/>
      <c r="G3" s="267"/>
      <c r="H3" s="267"/>
      <c r="I3" s="267"/>
      <c r="J3" s="267"/>
      <c r="K3" s="267"/>
      <c r="L3" s="267"/>
      <c r="M3" s="267"/>
      <c r="N3" s="267"/>
      <c r="O3" s="267"/>
      <c r="P3" s="267"/>
      <c r="Q3" s="267"/>
      <c r="R3" s="267"/>
      <c r="S3" s="267"/>
      <c r="T3" s="267"/>
      <c r="U3" s="267"/>
      <c r="V3" s="267"/>
      <c r="W3" s="267"/>
      <c r="X3" s="267"/>
      <c r="Y3" s="267"/>
    </row>
    <row r="4" spans="1:25" ht="34.950000000000003" customHeight="1" x14ac:dyDescent="0.3">
      <c r="A4" s="160" t="s">
        <v>1275</v>
      </c>
      <c r="B4" s="151" t="s">
        <v>19</v>
      </c>
      <c r="C4" s="151" t="s">
        <v>20</v>
      </c>
      <c r="D4" s="151" t="s">
        <v>21</v>
      </c>
      <c r="E4" s="151" t="s">
        <v>22</v>
      </c>
      <c r="F4" s="151" t="s">
        <v>23</v>
      </c>
      <c r="G4" s="151" t="s">
        <v>1276</v>
      </c>
      <c r="H4" s="151" t="s">
        <v>459</v>
      </c>
      <c r="I4" s="151" t="s">
        <v>144</v>
      </c>
      <c r="J4" s="151" t="s">
        <v>1277</v>
      </c>
      <c r="K4" s="151" t="s">
        <v>449</v>
      </c>
      <c r="L4" s="151" t="s">
        <v>460</v>
      </c>
      <c r="M4" s="151" t="s">
        <v>446</v>
      </c>
      <c r="N4" s="151" t="s">
        <v>1278</v>
      </c>
      <c r="O4" s="151" t="s">
        <v>1279</v>
      </c>
      <c r="P4" s="151" t="s">
        <v>1280</v>
      </c>
      <c r="Q4" s="151" t="s">
        <v>1281</v>
      </c>
      <c r="R4" s="151" t="s">
        <v>1282</v>
      </c>
      <c r="S4" s="151" t="s">
        <v>1283</v>
      </c>
      <c r="T4" s="151" t="s">
        <v>1284</v>
      </c>
      <c r="U4" s="151" t="s">
        <v>1285</v>
      </c>
      <c r="V4" s="151" t="s">
        <v>1286</v>
      </c>
      <c r="W4" s="151" t="s">
        <v>32</v>
      </c>
      <c r="X4" s="151" t="s">
        <v>33</v>
      </c>
      <c r="Y4" s="168" t="s">
        <v>141</v>
      </c>
    </row>
    <row r="5" spans="1:25" ht="18" customHeight="1" x14ac:dyDescent="0.3">
      <c r="A5" s="161">
        <v>1</v>
      </c>
      <c r="B5" s="113" t="s">
        <v>39</v>
      </c>
      <c r="C5" s="113"/>
      <c r="D5" s="113"/>
      <c r="E5" s="114"/>
      <c r="F5" s="114"/>
      <c r="G5" s="114">
        <v>2</v>
      </c>
      <c r="H5" s="114" t="s">
        <v>462</v>
      </c>
      <c r="I5" s="113" t="s">
        <v>39</v>
      </c>
      <c r="J5" s="123" t="s">
        <v>39</v>
      </c>
      <c r="K5" s="113"/>
      <c r="L5" s="113"/>
      <c r="M5" s="113"/>
      <c r="N5" s="119" t="s">
        <v>434</v>
      </c>
      <c r="O5" s="121"/>
      <c r="P5" s="114" t="s">
        <v>1975</v>
      </c>
      <c r="Q5" s="115"/>
      <c r="R5" s="115"/>
      <c r="S5" s="114"/>
      <c r="T5" s="114"/>
      <c r="U5" s="114"/>
      <c r="V5" s="126"/>
      <c r="W5" s="123"/>
      <c r="X5" s="123"/>
      <c r="Y5" s="169"/>
    </row>
    <row r="6" spans="1:25" ht="18" customHeight="1" x14ac:dyDescent="0.3">
      <c r="A6" s="162">
        <v>1.01</v>
      </c>
      <c r="B6" s="116"/>
      <c r="C6" s="116" t="s">
        <v>463</v>
      </c>
      <c r="D6" s="116"/>
      <c r="E6" s="117"/>
      <c r="F6" s="117"/>
      <c r="G6" s="117">
        <v>3</v>
      </c>
      <c r="H6" s="117" t="s">
        <v>462</v>
      </c>
      <c r="I6" s="116" t="s">
        <v>463</v>
      </c>
      <c r="J6" s="124" t="s">
        <v>463</v>
      </c>
      <c r="K6" s="116"/>
      <c r="L6" s="116"/>
      <c r="M6" s="116"/>
      <c r="N6" s="120" t="s">
        <v>464</v>
      </c>
      <c r="O6" s="122"/>
      <c r="P6" s="117" t="s">
        <v>1287</v>
      </c>
      <c r="Q6" s="118"/>
      <c r="R6" s="118"/>
      <c r="S6" s="117"/>
      <c r="T6" s="117"/>
      <c r="U6" s="117"/>
      <c r="V6" s="150"/>
      <c r="W6" s="124"/>
      <c r="X6" s="124"/>
      <c r="Y6" s="170"/>
    </row>
    <row r="7" spans="1:25" ht="18" customHeight="1" x14ac:dyDescent="0.3">
      <c r="A7" s="163" t="s">
        <v>1556</v>
      </c>
      <c r="B7" s="137"/>
      <c r="C7" s="137"/>
      <c r="D7" s="137" t="s">
        <v>40</v>
      </c>
      <c r="E7" s="136"/>
      <c r="F7" s="136"/>
      <c r="G7" s="136">
        <v>4</v>
      </c>
      <c r="H7" s="136" t="s">
        <v>462</v>
      </c>
      <c r="I7" s="137" t="s">
        <v>463</v>
      </c>
      <c r="J7" s="139" t="s">
        <v>40</v>
      </c>
      <c r="K7" s="137" t="s">
        <v>465</v>
      </c>
      <c r="L7" s="137" t="s">
        <v>42</v>
      </c>
      <c r="M7" s="137"/>
      <c r="N7" s="144" t="s">
        <v>370</v>
      </c>
      <c r="O7" s="146" t="s">
        <v>150</v>
      </c>
      <c r="P7" s="136" t="s">
        <v>1289</v>
      </c>
      <c r="Q7" s="138"/>
      <c r="R7" s="138"/>
      <c r="S7" s="136"/>
      <c r="T7" s="136" t="s">
        <v>1288</v>
      </c>
      <c r="U7" s="136" t="s">
        <v>815</v>
      </c>
      <c r="V7" s="148" t="s">
        <v>1976</v>
      </c>
      <c r="W7" s="139" t="s">
        <v>466</v>
      </c>
      <c r="X7" s="139" t="s">
        <v>467</v>
      </c>
      <c r="Y7" s="171"/>
    </row>
    <row r="8" spans="1:25" ht="18" customHeight="1" x14ac:dyDescent="0.3">
      <c r="A8" s="164" t="s">
        <v>1557</v>
      </c>
      <c r="B8" s="141"/>
      <c r="C8" s="141"/>
      <c r="D8" s="141" t="s">
        <v>46</v>
      </c>
      <c r="E8" s="140"/>
      <c r="F8" s="140"/>
      <c r="G8" s="140">
        <v>4</v>
      </c>
      <c r="H8" s="140" t="s">
        <v>462</v>
      </c>
      <c r="I8" s="141" t="s">
        <v>463</v>
      </c>
      <c r="J8" s="143" t="s">
        <v>46</v>
      </c>
      <c r="K8" s="141" t="s">
        <v>465</v>
      </c>
      <c r="L8" s="141" t="s">
        <v>42</v>
      </c>
      <c r="M8" s="141"/>
      <c r="N8" s="145" t="s">
        <v>371</v>
      </c>
      <c r="O8" s="147" t="s">
        <v>150</v>
      </c>
      <c r="P8" s="140" t="s">
        <v>1292</v>
      </c>
      <c r="Q8" s="142"/>
      <c r="R8" s="142"/>
      <c r="S8" s="140"/>
      <c r="T8" s="140" t="s">
        <v>1288</v>
      </c>
      <c r="U8" s="140" t="s">
        <v>815</v>
      </c>
      <c r="V8" s="149" t="s">
        <v>1977</v>
      </c>
      <c r="W8" s="143" t="s">
        <v>466</v>
      </c>
      <c r="X8" s="143" t="s">
        <v>467</v>
      </c>
      <c r="Y8" s="172"/>
    </row>
    <row r="9" spans="1:25" ht="18" customHeight="1" x14ac:dyDescent="0.3">
      <c r="A9" s="163" t="s">
        <v>1558</v>
      </c>
      <c r="B9" s="137"/>
      <c r="C9" s="137"/>
      <c r="D9" s="137" t="s">
        <v>47</v>
      </c>
      <c r="E9" s="136"/>
      <c r="F9" s="136"/>
      <c r="G9" s="136">
        <v>4</v>
      </c>
      <c r="H9" s="136" t="s">
        <v>462</v>
      </c>
      <c r="I9" s="137" t="s">
        <v>463</v>
      </c>
      <c r="J9" s="139" t="s">
        <v>47</v>
      </c>
      <c r="K9" s="137" t="s">
        <v>465</v>
      </c>
      <c r="L9" s="137" t="s">
        <v>42</v>
      </c>
      <c r="M9" s="137"/>
      <c r="N9" s="144" t="s">
        <v>372</v>
      </c>
      <c r="O9" s="146" t="s">
        <v>154</v>
      </c>
      <c r="P9" s="136" t="s">
        <v>1290</v>
      </c>
      <c r="Q9" s="138"/>
      <c r="R9" s="138"/>
      <c r="S9" s="136"/>
      <c r="T9" s="136" t="s">
        <v>1288</v>
      </c>
      <c r="U9" s="136" t="s">
        <v>815</v>
      </c>
      <c r="V9" s="148" t="s">
        <v>1978</v>
      </c>
      <c r="W9" s="139" t="s">
        <v>466</v>
      </c>
      <c r="X9" s="139" t="s">
        <v>467</v>
      </c>
      <c r="Y9" s="171"/>
    </row>
    <row r="10" spans="1:25" ht="18" customHeight="1" x14ac:dyDescent="0.3">
      <c r="A10" s="164" t="s">
        <v>1559</v>
      </c>
      <c r="B10" s="141"/>
      <c r="C10" s="141"/>
      <c r="D10" s="141" t="s">
        <v>48</v>
      </c>
      <c r="E10" s="140"/>
      <c r="F10" s="140"/>
      <c r="G10" s="140">
        <v>4</v>
      </c>
      <c r="H10" s="140" t="s">
        <v>462</v>
      </c>
      <c r="I10" s="141" t="s">
        <v>463</v>
      </c>
      <c r="J10" s="143" t="s">
        <v>48</v>
      </c>
      <c r="K10" s="141" t="s">
        <v>465</v>
      </c>
      <c r="L10" s="141" t="s">
        <v>42</v>
      </c>
      <c r="M10" s="141"/>
      <c r="N10" s="145" t="s">
        <v>373</v>
      </c>
      <c r="O10" s="147" t="s">
        <v>155</v>
      </c>
      <c r="P10" s="140" t="s">
        <v>1979</v>
      </c>
      <c r="Q10" s="142"/>
      <c r="R10" s="142"/>
      <c r="S10" s="140"/>
      <c r="T10" s="140" t="s">
        <v>1288</v>
      </c>
      <c r="U10" s="140" t="s">
        <v>815</v>
      </c>
      <c r="V10" s="149" t="s">
        <v>1980</v>
      </c>
      <c r="W10" s="143" t="s">
        <v>466</v>
      </c>
      <c r="X10" s="143" t="s">
        <v>467</v>
      </c>
      <c r="Y10" s="172"/>
    </row>
    <row r="11" spans="1:25" ht="18" customHeight="1" x14ac:dyDescent="0.3">
      <c r="A11" s="163" t="s">
        <v>1560</v>
      </c>
      <c r="B11" s="137"/>
      <c r="C11" s="137"/>
      <c r="D11" s="137" t="s">
        <v>49</v>
      </c>
      <c r="E11" s="136"/>
      <c r="F11" s="136"/>
      <c r="G11" s="136">
        <v>4</v>
      </c>
      <c r="H11" s="136" t="s">
        <v>462</v>
      </c>
      <c r="I11" s="137" t="s">
        <v>463</v>
      </c>
      <c r="J11" s="139" t="s">
        <v>49</v>
      </c>
      <c r="K11" s="137" t="s">
        <v>468</v>
      </c>
      <c r="L11" s="137" t="s">
        <v>50</v>
      </c>
      <c r="M11" s="137"/>
      <c r="N11" s="144" t="s">
        <v>374</v>
      </c>
      <c r="O11" s="146" t="s">
        <v>156</v>
      </c>
      <c r="P11" s="136" t="s">
        <v>173</v>
      </c>
      <c r="Q11" s="138"/>
      <c r="R11" s="138"/>
      <c r="S11" s="136"/>
      <c r="T11" s="136" t="s">
        <v>1288</v>
      </c>
      <c r="U11" s="136" t="s">
        <v>815</v>
      </c>
      <c r="V11" s="148" t="s">
        <v>1981</v>
      </c>
      <c r="W11" s="139" t="s">
        <v>466</v>
      </c>
      <c r="X11" s="139" t="s">
        <v>467</v>
      </c>
      <c r="Y11" s="171"/>
    </row>
    <row r="12" spans="1:25" ht="18" customHeight="1" x14ac:dyDescent="0.3">
      <c r="A12" s="164" t="s">
        <v>1561</v>
      </c>
      <c r="B12" s="141"/>
      <c r="C12" s="141"/>
      <c r="D12" s="141" t="s">
        <v>51</v>
      </c>
      <c r="E12" s="140"/>
      <c r="F12" s="140"/>
      <c r="G12" s="140">
        <v>4</v>
      </c>
      <c r="H12" s="140" t="s">
        <v>462</v>
      </c>
      <c r="I12" s="141" t="s">
        <v>463</v>
      </c>
      <c r="J12" s="143" t="s">
        <v>51</v>
      </c>
      <c r="K12" s="141" t="s">
        <v>469</v>
      </c>
      <c r="L12" s="141" t="s">
        <v>52</v>
      </c>
      <c r="M12" s="141"/>
      <c r="N12" s="145" t="s">
        <v>375</v>
      </c>
      <c r="O12" s="147" t="s">
        <v>150</v>
      </c>
      <c r="P12" s="140" t="s">
        <v>1293</v>
      </c>
      <c r="Q12" s="142"/>
      <c r="R12" s="142"/>
      <c r="S12" s="140"/>
      <c r="T12" s="140" t="s">
        <v>1288</v>
      </c>
      <c r="U12" s="140" t="s">
        <v>815</v>
      </c>
      <c r="V12" s="149" t="s">
        <v>1982</v>
      </c>
      <c r="W12" s="143" t="s">
        <v>466</v>
      </c>
      <c r="X12" s="143" t="s">
        <v>467</v>
      </c>
      <c r="Y12" s="172"/>
    </row>
    <row r="13" spans="1:25" ht="18" customHeight="1" x14ac:dyDescent="0.3">
      <c r="A13" s="163" t="s">
        <v>1562</v>
      </c>
      <c r="B13" s="137"/>
      <c r="C13" s="137"/>
      <c r="D13" s="137" t="s">
        <v>53</v>
      </c>
      <c r="E13" s="136"/>
      <c r="F13" s="136"/>
      <c r="G13" s="136">
        <v>4</v>
      </c>
      <c r="H13" s="136" t="s">
        <v>462</v>
      </c>
      <c r="I13" s="137" t="s">
        <v>463</v>
      </c>
      <c r="J13" s="139" t="s">
        <v>53</v>
      </c>
      <c r="K13" s="137" t="s">
        <v>470</v>
      </c>
      <c r="L13" s="137" t="s">
        <v>54</v>
      </c>
      <c r="M13" s="137"/>
      <c r="N13" s="144" t="s">
        <v>376</v>
      </c>
      <c r="O13" s="146"/>
      <c r="P13" s="136" t="s">
        <v>1983</v>
      </c>
      <c r="Q13" s="138"/>
      <c r="R13" s="138"/>
      <c r="S13" s="136"/>
      <c r="T13" s="136" t="s">
        <v>1288</v>
      </c>
      <c r="U13" s="136" t="s">
        <v>815</v>
      </c>
      <c r="V13" s="148" t="s">
        <v>1984</v>
      </c>
      <c r="W13" s="139" t="s">
        <v>466</v>
      </c>
      <c r="X13" s="139" t="s">
        <v>467</v>
      </c>
      <c r="Y13" s="171"/>
    </row>
    <row r="14" spans="1:25" ht="18" customHeight="1" x14ac:dyDescent="0.3">
      <c r="A14" s="164" t="s">
        <v>1563</v>
      </c>
      <c r="B14" s="141"/>
      <c r="C14" s="141"/>
      <c r="D14" s="141" t="s">
        <v>55</v>
      </c>
      <c r="E14" s="140"/>
      <c r="F14" s="140"/>
      <c r="G14" s="140">
        <v>4</v>
      </c>
      <c r="H14" s="140" t="s">
        <v>462</v>
      </c>
      <c r="I14" s="141" t="s">
        <v>463</v>
      </c>
      <c r="J14" s="143" t="s">
        <v>55</v>
      </c>
      <c r="K14" s="141" t="s">
        <v>41</v>
      </c>
      <c r="L14" s="141" t="s">
        <v>471</v>
      </c>
      <c r="M14" s="141"/>
      <c r="N14" s="145" t="s">
        <v>377</v>
      </c>
      <c r="O14" s="147"/>
      <c r="P14" s="140" t="s">
        <v>1291</v>
      </c>
      <c r="Q14" s="142"/>
      <c r="R14" s="142"/>
      <c r="S14" s="140"/>
      <c r="T14" s="140" t="s">
        <v>1288</v>
      </c>
      <c r="U14" s="140" t="s">
        <v>815</v>
      </c>
      <c r="V14" s="149" t="s">
        <v>1985</v>
      </c>
      <c r="W14" s="143" t="s">
        <v>466</v>
      </c>
      <c r="X14" s="143" t="s">
        <v>467</v>
      </c>
      <c r="Y14" s="172"/>
    </row>
    <row r="15" spans="1:25" ht="18" customHeight="1" x14ac:dyDescent="0.3">
      <c r="A15" s="163" t="s">
        <v>1564</v>
      </c>
      <c r="B15" s="137"/>
      <c r="C15" s="137"/>
      <c r="D15" s="137" t="s">
        <v>56</v>
      </c>
      <c r="E15" s="136"/>
      <c r="F15" s="136"/>
      <c r="G15" s="136">
        <v>4</v>
      </c>
      <c r="H15" s="136" t="s">
        <v>462</v>
      </c>
      <c r="I15" s="137" t="s">
        <v>463</v>
      </c>
      <c r="J15" s="139" t="s">
        <v>56</v>
      </c>
      <c r="K15" s="137" t="s">
        <v>41</v>
      </c>
      <c r="L15" s="137" t="s">
        <v>57</v>
      </c>
      <c r="M15" s="137"/>
      <c r="N15" s="144" t="s">
        <v>378</v>
      </c>
      <c r="O15" s="146"/>
      <c r="P15" s="136" t="s">
        <v>1975</v>
      </c>
      <c r="Q15" s="138"/>
      <c r="R15" s="138"/>
      <c r="S15" s="136"/>
      <c r="T15" s="136" t="s">
        <v>1288</v>
      </c>
      <c r="U15" s="136" t="s">
        <v>815</v>
      </c>
      <c r="V15" s="148" t="s">
        <v>1986</v>
      </c>
      <c r="W15" s="139" t="s">
        <v>466</v>
      </c>
      <c r="X15" s="139" t="s">
        <v>467</v>
      </c>
      <c r="Y15" s="171"/>
    </row>
    <row r="16" spans="1:25" ht="18" customHeight="1" x14ac:dyDescent="0.3">
      <c r="A16" s="164" t="s">
        <v>1565</v>
      </c>
      <c r="B16" s="141"/>
      <c r="C16" s="141"/>
      <c r="D16" s="141" t="s">
        <v>58</v>
      </c>
      <c r="E16" s="140"/>
      <c r="F16" s="140"/>
      <c r="G16" s="140">
        <v>4</v>
      </c>
      <c r="H16" s="140" t="s">
        <v>462</v>
      </c>
      <c r="I16" s="141" t="s">
        <v>463</v>
      </c>
      <c r="J16" s="143" t="s">
        <v>58</v>
      </c>
      <c r="K16" s="141" t="s">
        <v>472</v>
      </c>
      <c r="L16" s="141" t="s">
        <v>59</v>
      </c>
      <c r="M16" s="141"/>
      <c r="N16" s="145" t="s">
        <v>379</v>
      </c>
      <c r="O16" s="147"/>
      <c r="P16" s="140" t="s">
        <v>1987</v>
      </c>
      <c r="Q16" s="142"/>
      <c r="R16" s="142"/>
      <c r="S16" s="140"/>
      <c r="T16" s="140" t="s">
        <v>1288</v>
      </c>
      <c r="U16" s="140" t="s">
        <v>815</v>
      </c>
      <c r="V16" s="149" t="s">
        <v>1988</v>
      </c>
      <c r="W16" s="143" t="s">
        <v>466</v>
      </c>
      <c r="X16" s="143" t="s">
        <v>467</v>
      </c>
      <c r="Y16" s="172"/>
    </row>
    <row r="17" spans="1:25" ht="18" customHeight="1" x14ac:dyDescent="0.3">
      <c r="A17" s="162">
        <v>1.02</v>
      </c>
      <c r="B17" s="116"/>
      <c r="C17" s="116" t="s">
        <v>173</v>
      </c>
      <c r="D17" s="116"/>
      <c r="E17" s="117"/>
      <c r="F17" s="117"/>
      <c r="G17" s="117">
        <v>3</v>
      </c>
      <c r="H17" s="117" t="s">
        <v>462</v>
      </c>
      <c r="I17" s="116" t="s">
        <v>173</v>
      </c>
      <c r="J17" s="124" t="s">
        <v>173</v>
      </c>
      <c r="K17" s="116"/>
      <c r="L17" s="116"/>
      <c r="M17" s="116"/>
      <c r="N17" s="120" t="s">
        <v>473</v>
      </c>
      <c r="O17" s="122"/>
      <c r="P17" s="117" t="s">
        <v>173</v>
      </c>
      <c r="Q17" s="118"/>
      <c r="R17" s="118"/>
      <c r="S17" s="117"/>
      <c r="T17" s="117"/>
      <c r="U17" s="117"/>
      <c r="V17" s="150"/>
      <c r="W17" s="124"/>
      <c r="X17" s="124"/>
      <c r="Y17" s="170"/>
    </row>
    <row r="18" spans="1:25" ht="18" customHeight="1" x14ac:dyDescent="0.3">
      <c r="A18" s="163" t="s">
        <v>1566</v>
      </c>
      <c r="B18" s="137"/>
      <c r="C18" s="137"/>
      <c r="D18" s="137" t="s">
        <v>60</v>
      </c>
      <c r="E18" s="136"/>
      <c r="F18" s="136"/>
      <c r="G18" s="136">
        <v>4</v>
      </c>
      <c r="H18" s="136" t="s">
        <v>462</v>
      </c>
      <c r="I18" s="137" t="s">
        <v>173</v>
      </c>
      <c r="J18" s="139" t="s">
        <v>60</v>
      </c>
      <c r="K18" s="137" t="s">
        <v>474</v>
      </c>
      <c r="L18" s="137" t="s">
        <v>61</v>
      </c>
      <c r="M18" s="137"/>
      <c r="N18" s="144" t="s">
        <v>380</v>
      </c>
      <c r="O18" s="146" t="s">
        <v>156</v>
      </c>
      <c r="P18" s="136" t="s">
        <v>173</v>
      </c>
      <c r="Q18" s="138"/>
      <c r="R18" s="138"/>
      <c r="S18" s="136"/>
      <c r="T18" s="136" t="s">
        <v>1288</v>
      </c>
      <c r="U18" s="136" t="s">
        <v>815</v>
      </c>
      <c r="V18" s="148" t="s">
        <v>1989</v>
      </c>
      <c r="W18" s="139" t="s">
        <v>63</v>
      </c>
      <c r="X18" s="139" t="s">
        <v>64</v>
      </c>
      <c r="Y18" s="171"/>
    </row>
    <row r="19" spans="1:25" ht="18" customHeight="1" x14ac:dyDescent="0.3">
      <c r="A19" s="164" t="s">
        <v>1567</v>
      </c>
      <c r="B19" s="141"/>
      <c r="C19" s="141"/>
      <c r="D19" s="141" t="s">
        <v>65</v>
      </c>
      <c r="E19" s="140"/>
      <c r="F19" s="140"/>
      <c r="G19" s="140">
        <v>4</v>
      </c>
      <c r="H19" s="140" t="s">
        <v>462</v>
      </c>
      <c r="I19" s="141" t="s">
        <v>173</v>
      </c>
      <c r="J19" s="143" t="s">
        <v>65</v>
      </c>
      <c r="K19" s="141" t="s">
        <v>475</v>
      </c>
      <c r="L19" s="141" t="s">
        <v>66</v>
      </c>
      <c r="M19" s="141"/>
      <c r="N19" s="145" t="s">
        <v>381</v>
      </c>
      <c r="O19" s="147"/>
      <c r="P19" s="140" t="s">
        <v>1287</v>
      </c>
      <c r="Q19" s="142"/>
      <c r="R19" s="142"/>
      <c r="S19" s="140"/>
      <c r="T19" s="140" t="s">
        <v>1288</v>
      </c>
      <c r="U19" s="140" t="s">
        <v>815</v>
      </c>
      <c r="V19" s="149" t="s">
        <v>1990</v>
      </c>
      <c r="W19" s="143" t="s">
        <v>45</v>
      </c>
      <c r="X19" s="143" t="s">
        <v>476</v>
      </c>
      <c r="Y19" s="172"/>
    </row>
    <row r="20" spans="1:25" ht="18" customHeight="1" x14ac:dyDescent="0.3">
      <c r="A20" s="163" t="s">
        <v>1568</v>
      </c>
      <c r="B20" s="137"/>
      <c r="C20" s="137"/>
      <c r="D20" s="137" t="s">
        <v>67</v>
      </c>
      <c r="E20" s="136"/>
      <c r="F20" s="136"/>
      <c r="G20" s="136">
        <v>4</v>
      </c>
      <c r="H20" s="136" t="s">
        <v>462</v>
      </c>
      <c r="I20" s="137" t="s">
        <v>173</v>
      </c>
      <c r="J20" s="139" t="s">
        <v>67</v>
      </c>
      <c r="K20" s="137" t="s">
        <v>477</v>
      </c>
      <c r="L20" s="137" t="s">
        <v>68</v>
      </c>
      <c r="M20" s="137"/>
      <c r="N20" s="144" t="s">
        <v>382</v>
      </c>
      <c r="O20" s="146"/>
      <c r="P20" s="136" t="s">
        <v>173</v>
      </c>
      <c r="Q20" s="138"/>
      <c r="R20" s="138"/>
      <c r="S20" s="136"/>
      <c r="T20" s="136" t="s">
        <v>1288</v>
      </c>
      <c r="U20" s="136" t="s">
        <v>815</v>
      </c>
      <c r="V20" s="148" t="s">
        <v>1991</v>
      </c>
      <c r="W20" s="139" t="s">
        <v>63</v>
      </c>
      <c r="X20" s="139" t="s">
        <v>69</v>
      </c>
      <c r="Y20" s="171"/>
    </row>
    <row r="21" spans="1:25" ht="18" customHeight="1" x14ac:dyDescent="0.3">
      <c r="A21" s="164" t="s">
        <v>1569</v>
      </c>
      <c r="B21" s="141"/>
      <c r="C21" s="141"/>
      <c r="D21" s="141" t="s">
        <v>70</v>
      </c>
      <c r="E21" s="140"/>
      <c r="F21" s="140"/>
      <c r="G21" s="140">
        <v>4</v>
      </c>
      <c r="H21" s="140" t="s">
        <v>462</v>
      </c>
      <c r="I21" s="141" t="s">
        <v>173</v>
      </c>
      <c r="J21" s="143" t="s">
        <v>70</v>
      </c>
      <c r="K21" s="141" t="s">
        <v>478</v>
      </c>
      <c r="L21" s="141" t="s">
        <v>68</v>
      </c>
      <c r="M21" s="141"/>
      <c r="N21" s="145" t="s">
        <v>383</v>
      </c>
      <c r="O21" s="147"/>
      <c r="P21" s="140" t="s">
        <v>1287</v>
      </c>
      <c r="Q21" s="142"/>
      <c r="R21" s="142"/>
      <c r="S21" s="140"/>
      <c r="T21" s="140" t="s">
        <v>1288</v>
      </c>
      <c r="U21" s="140" t="s">
        <v>815</v>
      </c>
      <c r="V21" s="149" t="s">
        <v>1992</v>
      </c>
      <c r="W21" s="143" t="s">
        <v>466</v>
      </c>
      <c r="X21" s="143" t="s">
        <v>467</v>
      </c>
      <c r="Y21" s="172"/>
    </row>
    <row r="22" spans="1:25" ht="18" customHeight="1" x14ac:dyDescent="0.3">
      <c r="A22" s="163" t="s">
        <v>1570</v>
      </c>
      <c r="B22" s="137"/>
      <c r="C22" s="137"/>
      <c r="D22" s="137" t="s">
        <v>71</v>
      </c>
      <c r="E22" s="136"/>
      <c r="F22" s="136"/>
      <c r="G22" s="136">
        <v>4</v>
      </c>
      <c r="H22" s="136" t="s">
        <v>462</v>
      </c>
      <c r="I22" s="137" t="s">
        <v>173</v>
      </c>
      <c r="J22" s="139" t="s">
        <v>71</v>
      </c>
      <c r="K22" s="137" t="s">
        <v>478</v>
      </c>
      <c r="L22" s="137" t="s">
        <v>72</v>
      </c>
      <c r="M22" s="137"/>
      <c r="N22" s="144" t="s">
        <v>384</v>
      </c>
      <c r="O22" s="146"/>
      <c r="P22" s="136" t="s">
        <v>1287</v>
      </c>
      <c r="Q22" s="138"/>
      <c r="R22" s="138"/>
      <c r="S22" s="136"/>
      <c r="T22" s="136" t="s">
        <v>1288</v>
      </c>
      <c r="U22" s="136" t="s">
        <v>815</v>
      </c>
      <c r="V22" s="148" t="s">
        <v>1993</v>
      </c>
      <c r="W22" s="139" t="s">
        <v>45</v>
      </c>
      <c r="X22" s="139" t="s">
        <v>479</v>
      </c>
      <c r="Y22" s="171"/>
    </row>
    <row r="23" spans="1:25" ht="18" customHeight="1" x14ac:dyDescent="0.3">
      <c r="A23" s="164" t="s">
        <v>1571</v>
      </c>
      <c r="B23" s="141"/>
      <c r="C23" s="141"/>
      <c r="D23" s="141" t="s">
        <v>73</v>
      </c>
      <c r="E23" s="140"/>
      <c r="F23" s="140"/>
      <c r="G23" s="140">
        <v>4</v>
      </c>
      <c r="H23" s="140" t="s">
        <v>462</v>
      </c>
      <c r="I23" s="141" t="s">
        <v>173</v>
      </c>
      <c r="J23" s="143" t="s">
        <v>73</v>
      </c>
      <c r="K23" s="141" t="s">
        <v>480</v>
      </c>
      <c r="L23" s="141" t="s">
        <v>74</v>
      </c>
      <c r="M23" s="141"/>
      <c r="N23" s="145" t="s">
        <v>385</v>
      </c>
      <c r="O23" s="147"/>
      <c r="P23" s="140" t="s">
        <v>1287</v>
      </c>
      <c r="Q23" s="142"/>
      <c r="R23" s="142"/>
      <c r="S23" s="140"/>
      <c r="T23" s="140" t="s">
        <v>1288</v>
      </c>
      <c r="U23" s="140" t="s">
        <v>815</v>
      </c>
      <c r="V23" s="149" t="s">
        <v>1994</v>
      </c>
      <c r="W23" s="143" t="s">
        <v>45</v>
      </c>
      <c r="X23" s="143" t="s">
        <v>481</v>
      </c>
      <c r="Y23" s="172"/>
    </row>
    <row r="24" spans="1:25" ht="18" customHeight="1" x14ac:dyDescent="0.3">
      <c r="A24" s="163" t="s">
        <v>1572</v>
      </c>
      <c r="B24" s="137"/>
      <c r="C24" s="137"/>
      <c r="D24" s="137" t="s">
        <v>75</v>
      </c>
      <c r="E24" s="136"/>
      <c r="F24" s="136"/>
      <c r="G24" s="136">
        <v>4</v>
      </c>
      <c r="H24" s="136" t="s">
        <v>462</v>
      </c>
      <c r="I24" s="137" t="s">
        <v>173</v>
      </c>
      <c r="J24" s="139" t="s">
        <v>75</v>
      </c>
      <c r="K24" s="137" t="s">
        <v>482</v>
      </c>
      <c r="L24" s="137" t="s">
        <v>76</v>
      </c>
      <c r="M24" s="137"/>
      <c r="N24" s="144" t="s">
        <v>357</v>
      </c>
      <c r="O24" s="146"/>
      <c r="P24" s="136" t="s">
        <v>1287</v>
      </c>
      <c r="Q24" s="138"/>
      <c r="R24" s="138"/>
      <c r="S24" s="136"/>
      <c r="T24" s="136" t="s">
        <v>1288</v>
      </c>
      <c r="U24" s="136" t="s">
        <v>815</v>
      </c>
      <c r="V24" s="148" t="s">
        <v>1995</v>
      </c>
      <c r="W24" s="139" t="s">
        <v>63</v>
      </c>
      <c r="X24" s="139" t="s">
        <v>483</v>
      </c>
      <c r="Y24" s="171"/>
    </row>
    <row r="25" spans="1:25" ht="18" customHeight="1" x14ac:dyDescent="0.3">
      <c r="A25" s="162">
        <v>1.03</v>
      </c>
      <c r="B25" s="116"/>
      <c r="C25" s="116" t="s">
        <v>484</v>
      </c>
      <c r="D25" s="116"/>
      <c r="E25" s="117"/>
      <c r="F25" s="117"/>
      <c r="G25" s="117">
        <v>3</v>
      </c>
      <c r="H25" s="117" t="s">
        <v>462</v>
      </c>
      <c r="I25" s="116" t="s">
        <v>484</v>
      </c>
      <c r="J25" s="124" t="s">
        <v>484</v>
      </c>
      <c r="K25" s="116"/>
      <c r="L25" s="116"/>
      <c r="M25" s="116"/>
      <c r="N25" s="120" t="s">
        <v>485</v>
      </c>
      <c r="O25" s="122" t="s">
        <v>158</v>
      </c>
      <c r="P25" s="117" t="s">
        <v>1293</v>
      </c>
      <c r="Q25" s="118"/>
      <c r="R25" s="118"/>
      <c r="S25" s="117"/>
      <c r="T25" s="117"/>
      <c r="U25" s="117"/>
      <c r="V25" s="150"/>
      <c r="W25" s="124"/>
      <c r="X25" s="124"/>
      <c r="Y25" s="170"/>
    </row>
    <row r="26" spans="1:25" ht="18" customHeight="1" x14ac:dyDescent="0.3">
      <c r="A26" s="164" t="s">
        <v>1573</v>
      </c>
      <c r="B26" s="141"/>
      <c r="C26" s="141"/>
      <c r="D26" s="141" t="s">
        <v>77</v>
      </c>
      <c r="E26" s="140"/>
      <c r="F26" s="140"/>
      <c r="G26" s="140">
        <v>4</v>
      </c>
      <c r="H26" s="140" t="s">
        <v>462</v>
      </c>
      <c r="I26" s="141" t="s">
        <v>484</v>
      </c>
      <c r="J26" s="143" t="s">
        <v>77</v>
      </c>
      <c r="K26" s="141" t="s">
        <v>486</v>
      </c>
      <c r="L26" s="141" t="s">
        <v>78</v>
      </c>
      <c r="M26" s="141"/>
      <c r="N26" s="145" t="s">
        <v>386</v>
      </c>
      <c r="O26" s="147" t="s">
        <v>158</v>
      </c>
      <c r="P26" s="140" t="s">
        <v>1293</v>
      </c>
      <c r="Q26" s="142"/>
      <c r="R26" s="142"/>
      <c r="S26" s="140"/>
      <c r="T26" s="140" t="s">
        <v>1288</v>
      </c>
      <c r="U26" s="140" t="s">
        <v>815</v>
      </c>
      <c r="V26" s="149" t="s">
        <v>1996</v>
      </c>
      <c r="W26" s="143" t="s">
        <v>79</v>
      </c>
      <c r="X26" s="143" t="s">
        <v>487</v>
      </c>
      <c r="Y26" s="172"/>
    </row>
    <row r="27" spans="1:25" ht="18" customHeight="1" x14ac:dyDescent="0.3">
      <c r="A27" s="163" t="s">
        <v>1574</v>
      </c>
      <c r="B27" s="137"/>
      <c r="C27" s="137"/>
      <c r="D27" s="137" t="s">
        <v>80</v>
      </c>
      <c r="E27" s="136"/>
      <c r="F27" s="136"/>
      <c r="G27" s="136">
        <v>4</v>
      </c>
      <c r="H27" s="136" t="s">
        <v>462</v>
      </c>
      <c r="I27" s="137" t="s">
        <v>484</v>
      </c>
      <c r="J27" s="139" t="s">
        <v>80</v>
      </c>
      <c r="K27" s="137" t="s">
        <v>81</v>
      </c>
      <c r="L27" s="137" t="s">
        <v>82</v>
      </c>
      <c r="M27" s="137"/>
      <c r="N27" s="144" t="s">
        <v>387</v>
      </c>
      <c r="O27" s="146"/>
      <c r="P27" s="136" t="s">
        <v>1287</v>
      </c>
      <c r="Q27" s="138"/>
      <c r="R27" s="138"/>
      <c r="S27" s="136"/>
      <c r="T27" s="136" t="s">
        <v>1288</v>
      </c>
      <c r="U27" s="136" t="s">
        <v>815</v>
      </c>
      <c r="V27" s="148" t="s">
        <v>1997</v>
      </c>
      <c r="W27" s="139" t="s">
        <v>488</v>
      </c>
      <c r="X27" s="139" t="s">
        <v>83</v>
      </c>
      <c r="Y27" s="171"/>
    </row>
    <row r="28" spans="1:25" ht="18" customHeight="1" x14ac:dyDescent="0.3">
      <c r="A28" s="164" t="s">
        <v>1575</v>
      </c>
      <c r="B28" s="141"/>
      <c r="C28" s="141"/>
      <c r="D28" s="141" t="s">
        <v>84</v>
      </c>
      <c r="E28" s="140"/>
      <c r="F28" s="140"/>
      <c r="G28" s="140">
        <v>4</v>
      </c>
      <c r="H28" s="140" t="s">
        <v>462</v>
      </c>
      <c r="I28" s="141" t="s">
        <v>484</v>
      </c>
      <c r="J28" s="143" t="s">
        <v>84</v>
      </c>
      <c r="K28" s="141" t="s">
        <v>85</v>
      </c>
      <c r="L28" s="141" t="s">
        <v>86</v>
      </c>
      <c r="M28" s="141"/>
      <c r="N28" s="145" t="s">
        <v>388</v>
      </c>
      <c r="O28" s="147"/>
      <c r="P28" s="140" t="s">
        <v>1287</v>
      </c>
      <c r="Q28" s="142"/>
      <c r="R28" s="142"/>
      <c r="S28" s="140"/>
      <c r="T28" s="140" t="s">
        <v>1288</v>
      </c>
      <c r="U28" s="140" t="s">
        <v>815</v>
      </c>
      <c r="V28" s="149" t="s">
        <v>1998</v>
      </c>
      <c r="W28" s="143" t="s">
        <v>45</v>
      </c>
      <c r="X28" s="143" t="s">
        <v>489</v>
      </c>
      <c r="Y28" s="172"/>
    </row>
    <row r="29" spans="1:25" ht="18" customHeight="1" x14ac:dyDescent="0.3">
      <c r="A29" s="163" t="s">
        <v>1576</v>
      </c>
      <c r="B29" s="137"/>
      <c r="C29" s="137"/>
      <c r="D29" s="137" t="s">
        <v>87</v>
      </c>
      <c r="E29" s="136"/>
      <c r="F29" s="136"/>
      <c r="G29" s="136">
        <v>4</v>
      </c>
      <c r="H29" s="136" t="s">
        <v>462</v>
      </c>
      <c r="I29" s="137" t="s">
        <v>484</v>
      </c>
      <c r="J29" s="139" t="s">
        <v>87</v>
      </c>
      <c r="K29" s="137" t="s">
        <v>88</v>
      </c>
      <c r="L29" s="137" t="s">
        <v>89</v>
      </c>
      <c r="M29" s="137"/>
      <c r="N29" s="144" t="s">
        <v>389</v>
      </c>
      <c r="O29" s="146"/>
      <c r="P29" s="136" t="s">
        <v>1287</v>
      </c>
      <c r="Q29" s="138"/>
      <c r="R29" s="138"/>
      <c r="S29" s="136"/>
      <c r="T29" s="136" t="s">
        <v>1288</v>
      </c>
      <c r="U29" s="136" t="s">
        <v>815</v>
      </c>
      <c r="V29" s="148" t="s">
        <v>1999</v>
      </c>
      <c r="W29" s="139" t="s">
        <v>490</v>
      </c>
      <c r="X29" s="139" t="s">
        <v>491</v>
      </c>
      <c r="Y29" s="171"/>
    </row>
    <row r="30" spans="1:25" ht="18" customHeight="1" x14ac:dyDescent="0.3">
      <c r="A30" s="164" t="s">
        <v>1577</v>
      </c>
      <c r="B30" s="141"/>
      <c r="C30" s="141"/>
      <c r="D30" s="141" t="s">
        <v>91</v>
      </c>
      <c r="E30" s="140"/>
      <c r="F30" s="140"/>
      <c r="G30" s="140">
        <v>4</v>
      </c>
      <c r="H30" s="140" t="s">
        <v>462</v>
      </c>
      <c r="I30" s="141" t="s">
        <v>484</v>
      </c>
      <c r="J30" s="143" t="s">
        <v>91</v>
      </c>
      <c r="K30" s="141" t="s">
        <v>492</v>
      </c>
      <c r="L30" s="141" t="s">
        <v>92</v>
      </c>
      <c r="M30" s="141"/>
      <c r="N30" s="145" t="s">
        <v>390</v>
      </c>
      <c r="O30" s="147"/>
      <c r="P30" s="140" t="s">
        <v>1287</v>
      </c>
      <c r="Q30" s="142"/>
      <c r="R30" s="142"/>
      <c r="S30" s="140"/>
      <c r="T30" s="140" t="s">
        <v>1288</v>
      </c>
      <c r="U30" s="140" t="s">
        <v>815</v>
      </c>
      <c r="V30" s="149" t="s">
        <v>2000</v>
      </c>
      <c r="W30" s="143" t="s">
        <v>79</v>
      </c>
      <c r="X30" s="143" t="s">
        <v>493</v>
      </c>
      <c r="Y30" s="172"/>
    </row>
    <row r="31" spans="1:25" ht="18" customHeight="1" x14ac:dyDescent="0.3">
      <c r="A31" s="162">
        <v>1.04</v>
      </c>
      <c r="B31" s="116"/>
      <c r="C31" s="116" t="s">
        <v>494</v>
      </c>
      <c r="D31" s="116"/>
      <c r="E31" s="117"/>
      <c r="F31" s="117"/>
      <c r="G31" s="117">
        <v>3</v>
      </c>
      <c r="H31" s="117" t="s">
        <v>462</v>
      </c>
      <c r="I31" s="116" t="s">
        <v>494</v>
      </c>
      <c r="J31" s="124" t="s">
        <v>494</v>
      </c>
      <c r="K31" s="116"/>
      <c r="L31" s="116"/>
      <c r="M31" s="116"/>
      <c r="N31" s="120" t="s">
        <v>495</v>
      </c>
      <c r="O31" s="122"/>
      <c r="P31" s="117" t="s">
        <v>359</v>
      </c>
      <c r="Q31" s="118"/>
      <c r="R31" s="118"/>
      <c r="S31" s="117"/>
      <c r="T31" s="117"/>
      <c r="U31" s="117"/>
      <c r="V31" s="150"/>
      <c r="W31" s="124"/>
      <c r="X31" s="124"/>
      <c r="Y31" s="170"/>
    </row>
    <row r="32" spans="1:25" ht="18" customHeight="1" x14ac:dyDescent="0.3">
      <c r="A32" s="163" t="s">
        <v>1578</v>
      </c>
      <c r="B32" s="137"/>
      <c r="C32" s="137"/>
      <c r="D32" s="137" t="s">
        <v>93</v>
      </c>
      <c r="E32" s="136"/>
      <c r="F32" s="136"/>
      <c r="G32" s="136">
        <v>4</v>
      </c>
      <c r="H32" s="136" t="s">
        <v>462</v>
      </c>
      <c r="I32" s="137" t="s">
        <v>494</v>
      </c>
      <c r="J32" s="139" t="s">
        <v>93</v>
      </c>
      <c r="K32" s="137" t="s">
        <v>94</v>
      </c>
      <c r="L32" s="137" t="s">
        <v>95</v>
      </c>
      <c r="M32" s="137"/>
      <c r="N32" s="144" t="s">
        <v>358</v>
      </c>
      <c r="O32" s="146"/>
      <c r="P32" s="136" t="s">
        <v>359</v>
      </c>
      <c r="Q32" s="138"/>
      <c r="R32" s="138"/>
      <c r="S32" s="136"/>
      <c r="T32" s="136" t="s">
        <v>1288</v>
      </c>
      <c r="U32" s="136" t="s">
        <v>815</v>
      </c>
      <c r="V32" s="148" t="s">
        <v>2001</v>
      </c>
      <c r="W32" s="139" t="s">
        <v>79</v>
      </c>
      <c r="X32" s="139" t="s">
        <v>496</v>
      </c>
      <c r="Y32" s="171"/>
    </row>
    <row r="33" spans="1:25" ht="18" customHeight="1" x14ac:dyDescent="0.3">
      <c r="A33" s="164" t="s">
        <v>1579</v>
      </c>
      <c r="B33" s="141"/>
      <c r="C33" s="141"/>
      <c r="D33" s="141" t="s">
        <v>96</v>
      </c>
      <c r="E33" s="140"/>
      <c r="F33" s="140"/>
      <c r="G33" s="140">
        <v>4</v>
      </c>
      <c r="H33" s="140" t="s">
        <v>462</v>
      </c>
      <c r="I33" s="141" t="s">
        <v>494</v>
      </c>
      <c r="J33" s="143" t="s">
        <v>96</v>
      </c>
      <c r="K33" s="141" t="s">
        <v>94</v>
      </c>
      <c r="L33" s="141" t="s">
        <v>97</v>
      </c>
      <c r="M33" s="141"/>
      <c r="N33" s="145" t="s">
        <v>360</v>
      </c>
      <c r="O33" s="147"/>
      <c r="P33" s="140" t="s">
        <v>359</v>
      </c>
      <c r="Q33" s="142"/>
      <c r="R33" s="142"/>
      <c r="S33" s="140"/>
      <c r="T33" s="140" t="s">
        <v>1288</v>
      </c>
      <c r="U33" s="140" t="s">
        <v>815</v>
      </c>
      <c r="V33" s="149" t="s">
        <v>2002</v>
      </c>
      <c r="W33" s="143" t="s">
        <v>79</v>
      </c>
      <c r="X33" s="143" t="s">
        <v>98</v>
      </c>
      <c r="Y33" s="172"/>
    </row>
    <row r="34" spans="1:25" ht="18" customHeight="1" x14ac:dyDescent="0.3">
      <c r="A34" s="163" t="s">
        <v>1580</v>
      </c>
      <c r="B34" s="137"/>
      <c r="C34" s="137"/>
      <c r="D34" s="137" t="s">
        <v>99</v>
      </c>
      <c r="E34" s="136"/>
      <c r="F34" s="136"/>
      <c r="G34" s="136">
        <v>4</v>
      </c>
      <c r="H34" s="136" t="s">
        <v>462</v>
      </c>
      <c r="I34" s="137" t="s">
        <v>494</v>
      </c>
      <c r="J34" s="139" t="s">
        <v>99</v>
      </c>
      <c r="K34" s="137" t="s">
        <v>100</v>
      </c>
      <c r="L34" s="137" t="s">
        <v>101</v>
      </c>
      <c r="M34" s="137"/>
      <c r="N34" s="144" t="s">
        <v>361</v>
      </c>
      <c r="O34" s="146"/>
      <c r="P34" s="136" t="s">
        <v>1287</v>
      </c>
      <c r="Q34" s="138"/>
      <c r="R34" s="138"/>
      <c r="S34" s="136"/>
      <c r="T34" s="136" t="s">
        <v>1288</v>
      </c>
      <c r="U34" s="136" t="s">
        <v>815</v>
      </c>
      <c r="V34" s="148" t="s">
        <v>2003</v>
      </c>
      <c r="W34" s="139" t="s">
        <v>102</v>
      </c>
      <c r="X34" s="139" t="s">
        <v>497</v>
      </c>
      <c r="Y34" s="171"/>
    </row>
    <row r="35" spans="1:25" ht="18" customHeight="1" x14ac:dyDescent="0.3">
      <c r="A35" s="162">
        <v>1.05</v>
      </c>
      <c r="B35" s="116"/>
      <c r="C35" s="116" t="s">
        <v>498</v>
      </c>
      <c r="D35" s="116"/>
      <c r="E35" s="117"/>
      <c r="F35" s="117"/>
      <c r="G35" s="117">
        <v>3</v>
      </c>
      <c r="H35" s="117" t="s">
        <v>462</v>
      </c>
      <c r="I35" s="116" t="s">
        <v>498</v>
      </c>
      <c r="J35" s="124" t="s">
        <v>498</v>
      </c>
      <c r="K35" s="116"/>
      <c r="L35" s="116"/>
      <c r="M35" s="116"/>
      <c r="N35" s="120" t="s">
        <v>499</v>
      </c>
      <c r="O35" s="122"/>
      <c r="P35" s="117" t="s">
        <v>1287</v>
      </c>
      <c r="Q35" s="118"/>
      <c r="R35" s="118"/>
      <c r="S35" s="117"/>
      <c r="T35" s="117"/>
      <c r="U35" s="117"/>
      <c r="V35" s="150"/>
      <c r="W35" s="124"/>
      <c r="X35" s="124"/>
      <c r="Y35" s="170"/>
    </row>
    <row r="36" spans="1:25" ht="18" customHeight="1" x14ac:dyDescent="0.3">
      <c r="A36" s="164" t="s">
        <v>1581</v>
      </c>
      <c r="B36" s="141"/>
      <c r="C36" s="141"/>
      <c r="D36" s="141" t="s">
        <v>103</v>
      </c>
      <c r="E36" s="140"/>
      <c r="F36" s="140"/>
      <c r="G36" s="140">
        <v>4</v>
      </c>
      <c r="H36" s="140" t="s">
        <v>462</v>
      </c>
      <c r="I36" s="141" t="s">
        <v>498</v>
      </c>
      <c r="J36" s="143" t="s">
        <v>103</v>
      </c>
      <c r="K36" s="141" t="s">
        <v>500</v>
      </c>
      <c r="L36" s="141" t="s">
        <v>104</v>
      </c>
      <c r="M36" s="141"/>
      <c r="N36" s="145" t="s">
        <v>363</v>
      </c>
      <c r="O36" s="147"/>
      <c r="P36" s="140" t="s">
        <v>1287</v>
      </c>
      <c r="Q36" s="142"/>
      <c r="R36" s="142"/>
      <c r="S36" s="140"/>
      <c r="T36" s="140" t="s">
        <v>1288</v>
      </c>
      <c r="U36" s="140" t="s">
        <v>815</v>
      </c>
      <c r="V36" s="149" t="s">
        <v>2004</v>
      </c>
      <c r="W36" s="143" t="s">
        <v>79</v>
      </c>
      <c r="X36" s="143" t="s">
        <v>105</v>
      </c>
      <c r="Y36" s="172"/>
    </row>
    <row r="37" spans="1:25" ht="18" customHeight="1" x14ac:dyDescent="0.3">
      <c r="A37" s="163" t="s">
        <v>1582</v>
      </c>
      <c r="B37" s="137"/>
      <c r="C37" s="137"/>
      <c r="D37" s="137" t="s">
        <v>106</v>
      </c>
      <c r="E37" s="136"/>
      <c r="F37" s="136"/>
      <c r="G37" s="136">
        <v>4</v>
      </c>
      <c r="H37" s="136" t="s">
        <v>462</v>
      </c>
      <c r="I37" s="137" t="s">
        <v>498</v>
      </c>
      <c r="J37" s="139" t="s">
        <v>106</v>
      </c>
      <c r="K37" s="137" t="s">
        <v>501</v>
      </c>
      <c r="L37" s="137" t="s">
        <v>104</v>
      </c>
      <c r="M37" s="137"/>
      <c r="N37" s="144" t="s">
        <v>364</v>
      </c>
      <c r="O37" s="146"/>
      <c r="P37" s="136" t="s">
        <v>1287</v>
      </c>
      <c r="Q37" s="138"/>
      <c r="R37" s="138"/>
      <c r="S37" s="136"/>
      <c r="T37" s="136" t="s">
        <v>1288</v>
      </c>
      <c r="U37" s="136" t="s">
        <v>815</v>
      </c>
      <c r="V37" s="148" t="s">
        <v>2005</v>
      </c>
      <c r="W37" s="139" t="s">
        <v>490</v>
      </c>
      <c r="X37" s="139" t="s">
        <v>107</v>
      </c>
      <c r="Y37" s="171"/>
    </row>
    <row r="38" spans="1:25" ht="18" customHeight="1" x14ac:dyDescent="0.3">
      <c r="A38" s="164" t="s">
        <v>1583</v>
      </c>
      <c r="B38" s="141"/>
      <c r="C38" s="141"/>
      <c r="D38" s="141" t="s">
        <v>108</v>
      </c>
      <c r="E38" s="140"/>
      <c r="F38" s="140"/>
      <c r="G38" s="140">
        <v>4</v>
      </c>
      <c r="H38" s="140" t="s">
        <v>462</v>
      </c>
      <c r="I38" s="141" t="s">
        <v>498</v>
      </c>
      <c r="J38" s="143" t="s">
        <v>108</v>
      </c>
      <c r="K38" s="141" t="s">
        <v>502</v>
      </c>
      <c r="L38" s="141" t="s">
        <v>104</v>
      </c>
      <c r="M38" s="141"/>
      <c r="N38" s="145" t="s">
        <v>365</v>
      </c>
      <c r="O38" s="147"/>
      <c r="P38" s="140" t="s">
        <v>1287</v>
      </c>
      <c r="Q38" s="142"/>
      <c r="R38" s="142"/>
      <c r="S38" s="140"/>
      <c r="T38" s="140" t="s">
        <v>1288</v>
      </c>
      <c r="U38" s="140" t="s">
        <v>815</v>
      </c>
      <c r="V38" s="149" t="s">
        <v>2006</v>
      </c>
      <c r="W38" s="143" t="s">
        <v>90</v>
      </c>
      <c r="X38" s="143" t="s">
        <v>503</v>
      </c>
      <c r="Y38" s="172"/>
    </row>
    <row r="39" spans="1:25" ht="18" customHeight="1" x14ac:dyDescent="0.3">
      <c r="A39" s="163" t="s">
        <v>1584</v>
      </c>
      <c r="B39" s="137"/>
      <c r="C39" s="137"/>
      <c r="D39" s="137" t="s">
        <v>109</v>
      </c>
      <c r="E39" s="136"/>
      <c r="F39" s="136"/>
      <c r="G39" s="136">
        <v>4</v>
      </c>
      <c r="H39" s="136" t="s">
        <v>462</v>
      </c>
      <c r="I39" s="137" t="s">
        <v>498</v>
      </c>
      <c r="J39" s="139" t="s">
        <v>109</v>
      </c>
      <c r="K39" s="137" t="s">
        <v>504</v>
      </c>
      <c r="L39" s="137" t="s">
        <v>104</v>
      </c>
      <c r="M39" s="137"/>
      <c r="N39" s="144" t="s">
        <v>366</v>
      </c>
      <c r="O39" s="146"/>
      <c r="P39" s="136" t="s">
        <v>1287</v>
      </c>
      <c r="Q39" s="138"/>
      <c r="R39" s="138"/>
      <c r="S39" s="136"/>
      <c r="T39" s="136" t="s">
        <v>1288</v>
      </c>
      <c r="U39" s="136" t="s">
        <v>815</v>
      </c>
      <c r="V39" s="148" t="s">
        <v>2007</v>
      </c>
      <c r="W39" s="139" t="s">
        <v>505</v>
      </c>
      <c r="X39" s="139" t="s">
        <v>110</v>
      </c>
      <c r="Y39" s="171"/>
    </row>
    <row r="40" spans="1:25" ht="18" customHeight="1" x14ac:dyDescent="0.3">
      <c r="A40" s="164" t="s">
        <v>1585</v>
      </c>
      <c r="B40" s="141"/>
      <c r="C40" s="141"/>
      <c r="D40" s="141" t="s">
        <v>111</v>
      </c>
      <c r="E40" s="140"/>
      <c r="F40" s="140"/>
      <c r="G40" s="140">
        <v>4</v>
      </c>
      <c r="H40" s="140" t="s">
        <v>462</v>
      </c>
      <c r="I40" s="141" t="s">
        <v>498</v>
      </c>
      <c r="J40" s="143" t="s">
        <v>111</v>
      </c>
      <c r="K40" s="141" t="s">
        <v>506</v>
      </c>
      <c r="L40" s="141" t="s">
        <v>104</v>
      </c>
      <c r="M40" s="141"/>
      <c r="N40" s="145" t="s">
        <v>367</v>
      </c>
      <c r="O40" s="147"/>
      <c r="P40" s="140" t="s">
        <v>2008</v>
      </c>
      <c r="Q40" s="142"/>
      <c r="R40" s="142"/>
      <c r="S40" s="140"/>
      <c r="T40" s="140" t="s">
        <v>1288</v>
      </c>
      <c r="U40" s="140" t="s">
        <v>815</v>
      </c>
      <c r="V40" s="149" t="s">
        <v>2009</v>
      </c>
      <c r="W40" s="143" t="s">
        <v>79</v>
      </c>
      <c r="X40" s="143" t="s">
        <v>507</v>
      </c>
      <c r="Y40" s="172"/>
    </row>
    <row r="41" spans="1:25" ht="18" customHeight="1" x14ac:dyDescent="0.3">
      <c r="A41" s="163" t="s">
        <v>1586</v>
      </c>
      <c r="B41" s="137"/>
      <c r="C41" s="137"/>
      <c r="D41" s="137" t="s">
        <v>112</v>
      </c>
      <c r="E41" s="136"/>
      <c r="F41" s="136"/>
      <c r="G41" s="136">
        <v>4</v>
      </c>
      <c r="H41" s="136" t="s">
        <v>462</v>
      </c>
      <c r="I41" s="137" t="s">
        <v>498</v>
      </c>
      <c r="J41" s="139" t="s">
        <v>112</v>
      </c>
      <c r="K41" s="137" t="s">
        <v>508</v>
      </c>
      <c r="L41" s="137" t="s">
        <v>113</v>
      </c>
      <c r="M41" s="137"/>
      <c r="N41" s="144" t="s">
        <v>368</v>
      </c>
      <c r="O41" s="146"/>
      <c r="P41" s="136" t="s">
        <v>1287</v>
      </c>
      <c r="Q41" s="138"/>
      <c r="R41" s="138"/>
      <c r="S41" s="136"/>
      <c r="T41" s="136" t="s">
        <v>1288</v>
      </c>
      <c r="U41" s="136" t="s">
        <v>815</v>
      </c>
      <c r="V41" s="148" t="s">
        <v>2010</v>
      </c>
      <c r="W41" s="139" t="s">
        <v>79</v>
      </c>
      <c r="X41" s="139" t="s">
        <v>509</v>
      </c>
      <c r="Y41" s="171"/>
    </row>
    <row r="42" spans="1:25" ht="18" customHeight="1" x14ac:dyDescent="0.3">
      <c r="A42" s="164" t="s">
        <v>1587</v>
      </c>
      <c r="B42" s="141"/>
      <c r="C42" s="141"/>
      <c r="D42" s="141" t="s">
        <v>114</v>
      </c>
      <c r="E42" s="140"/>
      <c r="F42" s="140"/>
      <c r="G42" s="140">
        <v>4</v>
      </c>
      <c r="H42" s="140" t="s">
        <v>462</v>
      </c>
      <c r="I42" s="141" t="s">
        <v>498</v>
      </c>
      <c r="J42" s="143" t="s">
        <v>114</v>
      </c>
      <c r="K42" s="141" t="s">
        <v>510</v>
      </c>
      <c r="L42" s="141" t="s">
        <v>104</v>
      </c>
      <c r="M42" s="141"/>
      <c r="N42" s="145" t="s">
        <v>369</v>
      </c>
      <c r="O42" s="147"/>
      <c r="P42" s="140" t="s">
        <v>1287</v>
      </c>
      <c r="Q42" s="142"/>
      <c r="R42" s="142"/>
      <c r="S42" s="140"/>
      <c r="T42" s="140" t="s">
        <v>1288</v>
      </c>
      <c r="U42" s="140" t="s">
        <v>815</v>
      </c>
      <c r="V42" s="149" t="s">
        <v>2011</v>
      </c>
      <c r="W42" s="143" t="s">
        <v>79</v>
      </c>
      <c r="X42" s="143" t="s">
        <v>511</v>
      </c>
      <c r="Y42" s="172"/>
    </row>
    <row r="43" spans="1:25" ht="18" customHeight="1" x14ac:dyDescent="0.3">
      <c r="A43" s="161">
        <v>2</v>
      </c>
      <c r="B43" s="113" t="s">
        <v>392</v>
      </c>
      <c r="C43" s="113"/>
      <c r="D43" s="113"/>
      <c r="E43" s="114"/>
      <c r="F43" s="114"/>
      <c r="G43" s="114">
        <v>2</v>
      </c>
      <c r="H43" s="114" t="s">
        <v>512</v>
      </c>
      <c r="I43" s="113" t="s">
        <v>392</v>
      </c>
      <c r="J43" s="123" t="s">
        <v>392</v>
      </c>
      <c r="K43" s="113"/>
      <c r="L43" s="113"/>
      <c r="M43" s="113"/>
      <c r="N43" s="119" t="s">
        <v>437</v>
      </c>
      <c r="O43" s="121"/>
      <c r="P43" s="114" t="s">
        <v>1287</v>
      </c>
      <c r="Q43" s="115"/>
      <c r="R43" s="115"/>
      <c r="S43" s="114"/>
      <c r="T43" s="114"/>
      <c r="U43" s="114"/>
      <c r="V43" s="126"/>
      <c r="W43" s="123"/>
      <c r="X43" s="123"/>
      <c r="Y43" s="169"/>
    </row>
    <row r="44" spans="1:25" ht="18" customHeight="1" x14ac:dyDescent="0.3">
      <c r="A44" s="162">
        <v>2.0099999999999998</v>
      </c>
      <c r="B44" s="116"/>
      <c r="C44" s="116" t="s">
        <v>273</v>
      </c>
      <c r="D44" s="116"/>
      <c r="E44" s="117"/>
      <c r="F44" s="117"/>
      <c r="G44" s="117">
        <v>3</v>
      </c>
      <c r="H44" s="117" t="s">
        <v>512</v>
      </c>
      <c r="I44" s="116" t="s">
        <v>273</v>
      </c>
      <c r="J44" s="124" t="s">
        <v>273</v>
      </c>
      <c r="K44" s="116"/>
      <c r="L44" s="116"/>
      <c r="M44" s="116"/>
      <c r="N44" s="120" t="s">
        <v>1673</v>
      </c>
      <c r="O44" s="122"/>
      <c r="P44" s="117" t="s">
        <v>1287</v>
      </c>
      <c r="Q44" s="118"/>
      <c r="R44" s="118"/>
      <c r="S44" s="117"/>
      <c r="T44" s="117"/>
      <c r="U44" s="117"/>
      <c r="V44" s="150"/>
      <c r="W44" s="124"/>
      <c r="X44" s="124"/>
      <c r="Y44" s="170"/>
    </row>
    <row r="45" spans="1:25" ht="18" customHeight="1" x14ac:dyDescent="0.3">
      <c r="A45" s="163" t="s">
        <v>1815</v>
      </c>
      <c r="B45" s="137"/>
      <c r="C45" s="137"/>
      <c r="D45" s="137" t="s">
        <v>274</v>
      </c>
      <c r="E45" s="136"/>
      <c r="F45" s="136"/>
      <c r="G45" s="136">
        <v>4</v>
      </c>
      <c r="H45" s="136" t="s">
        <v>512</v>
      </c>
      <c r="I45" s="137" t="s">
        <v>273</v>
      </c>
      <c r="J45" s="139" t="s">
        <v>274</v>
      </c>
      <c r="K45" s="137" t="s">
        <v>280</v>
      </c>
      <c r="L45" s="137" t="s">
        <v>281</v>
      </c>
      <c r="M45" s="137" t="s">
        <v>514</v>
      </c>
      <c r="N45" s="144" t="s">
        <v>1674</v>
      </c>
      <c r="O45" s="146"/>
      <c r="P45" s="136" t="s">
        <v>1287</v>
      </c>
      <c r="Q45" s="138"/>
      <c r="R45" s="138"/>
      <c r="S45" s="136"/>
      <c r="T45" s="136"/>
      <c r="U45" s="136"/>
      <c r="V45" s="148" t="s">
        <v>2012</v>
      </c>
      <c r="W45" s="139" t="s">
        <v>79</v>
      </c>
      <c r="X45" s="139" t="s">
        <v>115</v>
      </c>
      <c r="Y45" s="171"/>
    </row>
    <row r="46" spans="1:25" ht="18" customHeight="1" x14ac:dyDescent="0.3">
      <c r="A46" s="164" t="s">
        <v>1816</v>
      </c>
      <c r="B46" s="141"/>
      <c r="C46" s="141"/>
      <c r="D46" s="141" t="s">
        <v>275</v>
      </c>
      <c r="E46" s="140"/>
      <c r="F46" s="140"/>
      <c r="G46" s="140">
        <v>4</v>
      </c>
      <c r="H46" s="140" t="s">
        <v>512</v>
      </c>
      <c r="I46" s="141" t="s">
        <v>273</v>
      </c>
      <c r="J46" s="143" t="s">
        <v>275</v>
      </c>
      <c r="K46" s="141" t="s">
        <v>282</v>
      </c>
      <c r="L46" s="141" t="s">
        <v>283</v>
      </c>
      <c r="M46" s="141" t="s">
        <v>514</v>
      </c>
      <c r="N46" s="145" t="s">
        <v>1675</v>
      </c>
      <c r="O46" s="147"/>
      <c r="P46" s="140" t="s">
        <v>1287</v>
      </c>
      <c r="Q46" s="142"/>
      <c r="R46" s="142"/>
      <c r="S46" s="140"/>
      <c r="T46" s="140"/>
      <c r="U46" s="140"/>
      <c r="V46" s="149" t="s">
        <v>2013</v>
      </c>
      <c r="W46" s="143" t="s">
        <v>79</v>
      </c>
      <c r="X46" s="143" t="s">
        <v>515</v>
      </c>
      <c r="Y46" s="172"/>
    </row>
    <row r="47" spans="1:25" ht="18" customHeight="1" x14ac:dyDescent="0.3">
      <c r="A47" s="163" t="s">
        <v>1817</v>
      </c>
      <c r="B47" s="137"/>
      <c r="C47" s="137"/>
      <c r="D47" s="137" t="s">
        <v>276</v>
      </c>
      <c r="E47" s="136"/>
      <c r="F47" s="136"/>
      <c r="G47" s="136">
        <v>4</v>
      </c>
      <c r="H47" s="136" t="s">
        <v>512</v>
      </c>
      <c r="I47" s="137" t="s">
        <v>273</v>
      </c>
      <c r="J47" s="139" t="s">
        <v>276</v>
      </c>
      <c r="K47" s="137" t="s">
        <v>282</v>
      </c>
      <c r="L47" s="137" t="s">
        <v>119</v>
      </c>
      <c r="M47" s="137"/>
      <c r="N47" s="144" t="s">
        <v>1676</v>
      </c>
      <c r="O47" s="146"/>
      <c r="P47" s="136" t="s">
        <v>1287</v>
      </c>
      <c r="Q47" s="138"/>
      <c r="R47" s="138"/>
      <c r="S47" s="136"/>
      <c r="T47" s="136"/>
      <c r="U47" s="136"/>
      <c r="V47" s="148" t="s">
        <v>2014</v>
      </c>
      <c r="W47" s="139" t="s">
        <v>79</v>
      </c>
      <c r="X47" s="139" t="s">
        <v>117</v>
      </c>
      <c r="Y47" s="171"/>
    </row>
    <row r="48" spans="1:25" ht="18" customHeight="1" x14ac:dyDescent="0.3">
      <c r="A48" s="164" t="s">
        <v>1818</v>
      </c>
      <c r="B48" s="141"/>
      <c r="C48" s="141"/>
      <c r="D48" s="141" t="s">
        <v>277</v>
      </c>
      <c r="E48" s="140"/>
      <c r="F48" s="140"/>
      <c r="G48" s="140">
        <v>4</v>
      </c>
      <c r="H48" s="140" t="s">
        <v>512</v>
      </c>
      <c r="I48" s="141" t="s">
        <v>273</v>
      </c>
      <c r="J48" s="143" t="s">
        <v>277</v>
      </c>
      <c r="K48" s="141" t="s">
        <v>282</v>
      </c>
      <c r="L48" s="141" t="s">
        <v>119</v>
      </c>
      <c r="M48" s="141" t="s">
        <v>514</v>
      </c>
      <c r="N48" s="145" t="s">
        <v>1677</v>
      </c>
      <c r="O48" s="147"/>
      <c r="P48" s="140" t="s">
        <v>1287</v>
      </c>
      <c r="Q48" s="142"/>
      <c r="R48" s="142"/>
      <c r="S48" s="140"/>
      <c r="T48" s="140"/>
      <c r="U48" s="140"/>
      <c r="V48" s="149" t="s">
        <v>2015</v>
      </c>
      <c r="W48" s="143" t="s">
        <v>516</v>
      </c>
      <c r="X48" s="143" t="s">
        <v>517</v>
      </c>
      <c r="Y48" s="172"/>
    </row>
    <row r="49" spans="1:25" ht="18" customHeight="1" x14ac:dyDescent="0.3">
      <c r="A49" s="163" t="s">
        <v>1819</v>
      </c>
      <c r="B49" s="137"/>
      <c r="C49" s="137"/>
      <c r="D49" s="137" t="s">
        <v>278</v>
      </c>
      <c r="E49" s="136"/>
      <c r="F49" s="136"/>
      <c r="G49" s="136">
        <v>4</v>
      </c>
      <c r="H49" s="136" t="s">
        <v>512</v>
      </c>
      <c r="I49" s="137" t="s">
        <v>273</v>
      </c>
      <c r="J49" s="139" t="s">
        <v>278</v>
      </c>
      <c r="K49" s="137" t="s">
        <v>282</v>
      </c>
      <c r="L49" s="137" t="s">
        <v>119</v>
      </c>
      <c r="M49" s="137"/>
      <c r="N49" s="144" t="s">
        <v>1678</v>
      </c>
      <c r="O49" s="146" t="s">
        <v>156</v>
      </c>
      <c r="P49" s="136" t="s">
        <v>173</v>
      </c>
      <c r="Q49" s="138"/>
      <c r="R49" s="138"/>
      <c r="S49" s="136"/>
      <c r="T49" s="136"/>
      <c r="U49" s="136"/>
      <c r="V49" s="148" t="s">
        <v>2016</v>
      </c>
      <c r="W49" s="139" t="s">
        <v>79</v>
      </c>
      <c r="X49" s="139" t="s">
        <v>518</v>
      </c>
      <c r="Y49" s="171"/>
    </row>
    <row r="50" spans="1:25" ht="18" customHeight="1" x14ac:dyDescent="0.3">
      <c r="A50" s="164" t="s">
        <v>1820</v>
      </c>
      <c r="B50" s="141"/>
      <c r="C50" s="141"/>
      <c r="D50" s="141" t="s">
        <v>279</v>
      </c>
      <c r="E50" s="140"/>
      <c r="F50" s="140"/>
      <c r="G50" s="140">
        <v>4</v>
      </c>
      <c r="H50" s="140" t="s">
        <v>512</v>
      </c>
      <c r="I50" s="141" t="s">
        <v>273</v>
      </c>
      <c r="J50" s="143" t="s">
        <v>279</v>
      </c>
      <c r="K50" s="141" t="s">
        <v>519</v>
      </c>
      <c r="L50" s="141" t="s">
        <v>119</v>
      </c>
      <c r="M50" s="141"/>
      <c r="N50" s="145" t="s">
        <v>1679</v>
      </c>
      <c r="O50" s="147"/>
      <c r="P50" s="140" t="s">
        <v>1287</v>
      </c>
      <c r="Q50" s="142"/>
      <c r="R50" s="142"/>
      <c r="S50" s="140"/>
      <c r="T50" s="140"/>
      <c r="U50" s="140"/>
      <c r="V50" s="149" t="s">
        <v>2017</v>
      </c>
      <c r="W50" s="143" t="s">
        <v>63</v>
      </c>
      <c r="X50" s="143" t="s">
        <v>520</v>
      </c>
      <c r="Y50" s="172"/>
    </row>
    <row r="51" spans="1:25" ht="18" customHeight="1" x14ac:dyDescent="0.3">
      <c r="A51" s="162">
        <v>2.02</v>
      </c>
      <c r="B51" s="116"/>
      <c r="C51" s="116" t="s">
        <v>521</v>
      </c>
      <c r="D51" s="116"/>
      <c r="E51" s="117"/>
      <c r="F51" s="117"/>
      <c r="G51" s="117">
        <v>3</v>
      </c>
      <c r="H51" s="117" t="s">
        <v>512</v>
      </c>
      <c r="I51" s="116" t="s">
        <v>521</v>
      </c>
      <c r="J51" s="124" t="s">
        <v>521</v>
      </c>
      <c r="K51" s="116"/>
      <c r="L51" s="116"/>
      <c r="M51" s="116"/>
      <c r="N51" s="120" t="s">
        <v>2018</v>
      </c>
      <c r="O51" s="122"/>
      <c r="P51" s="117" t="s">
        <v>1287</v>
      </c>
      <c r="Q51" s="118"/>
      <c r="R51" s="118"/>
      <c r="S51" s="117"/>
      <c r="T51" s="117"/>
      <c r="U51" s="117"/>
      <c r="V51" s="150"/>
      <c r="W51" s="124"/>
      <c r="X51" s="124"/>
      <c r="Y51" s="170"/>
    </row>
    <row r="52" spans="1:25" ht="18" customHeight="1" x14ac:dyDescent="0.3">
      <c r="A52" s="163" t="s">
        <v>1821</v>
      </c>
      <c r="B52" s="137"/>
      <c r="C52" s="137"/>
      <c r="D52" s="137" t="s">
        <v>126</v>
      </c>
      <c r="E52" s="136"/>
      <c r="F52" s="136"/>
      <c r="G52" s="136">
        <v>4</v>
      </c>
      <c r="H52" s="136" t="s">
        <v>512</v>
      </c>
      <c r="I52" s="137" t="s">
        <v>521</v>
      </c>
      <c r="J52" s="139" t="s">
        <v>126</v>
      </c>
      <c r="K52" s="137" t="s">
        <v>127</v>
      </c>
      <c r="L52" s="137" t="s">
        <v>128</v>
      </c>
      <c r="M52" s="137"/>
      <c r="N52" s="144" t="s">
        <v>1680</v>
      </c>
      <c r="O52" s="146"/>
      <c r="P52" s="136" t="s">
        <v>1287</v>
      </c>
      <c r="Q52" s="138"/>
      <c r="R52" s="138"/>
      <c r="S52" s="136"/>
      <c r="T52" s="136"/>
      <c r="U52" s="136"/>
      <c r="V52" s="148" t="s">
        <v>2012</v>
      </c>
      <c r="W52" s="139" t="s">
        <v>79</v>
      </c>
      <c r="X52" s="139" t="s">
        <v>523</v>
      </c>
      <c r="Y52" s="171"/>
    </row>
    <row r="53" spans="1:25" ht="18" customHeight="1" x14ac:dyDescent="0.3">
      <c r="A53" s="164" t="s">
        <v>1822</v>
      </c>
      <c r="B53" s="141"/>
      <c r="C53" s="141"/>
      <c r="D53" s="141" t="s">
        <v>129</v>
      </c>
      <c r="E53" s="140"/>
      <c r="F53" s="140"/>
      <c r="G53" s="140">
        <v>4</v>
      </c>
      <c r="H53" s="140" t="s">
        <v>512</v>
      </c>
      <c r="I53" s="141" t="s">
        <v>521</v>
      </c>
      <c r="J53" s="143" t="s">
        <v>129</v>
      </c>
      <c r="K53" s="141" t="s">
        <v>130</v>
      </c>
      <c r="L53" s="141" t="s">
        <v>119</v>
      </c>
      <c r="M53" s="141"/>
      <c r="N53" s="145" t="s">
        <v>1681</v>
      </c>
      <c r="O53" s="147"/>
      <c r="P53" s="140" t="s">
        <v>1287</v>
      </c>
      <c r="Q53" s="142"/>
      <c r="R53" s="142"/>
      <c r="S53" s="140"/>
      <c r="T53" s="140"/>
      <c r="U53" s="140"/>
      <c r="V53" s="149" t="s">
        <v>2019</v>
      </c>
      <c r="W53" s="143" t="s">
        <v>79</v>
      </c>
      <c r="X53" s="143" t="s">
        <v>524</v>
      </c>
      <c r="Y53" s="172"/>
    </row>
    <row r="54" spans="1:25" ht="18" customHeight="1" x14ac:dyDescent="0.3">
      <c r="A54" s="163" t="s">
        <v>1823</v>
      </c>
      <c r="B54" s="137"/>
      <c r="C54" s="137"/>
      <c r="D54" s="137" t="s">
        <v>131</v>
      </c>
      <c r="E54" s="136"/>
      <c r="F54" s="136"/>
      <c r="G54" s="136">
        <v>4</v>
      </c>
      <c r="H54" s="136" t="s">
        <v>512</v>
      </c>
      <c r="I54" s="137" t="s">
        <v>521</v>
      </c>
      <c r="J54" s="139" t="s">
        <v>131</v>
      </c>
      <c r="K54" s="137" t="s">
        <v>132</v>
      </c>
      <c r="L54" s="137" t="s">
        <v>125</v>
      </c>
      <c r="M54" s="137"/>
      <c r="N54" s="144" t="s">
        <v>1682</v>
      </c>
      <c r="O54" s="146"/>
      <c r="P54" s="136" t="s">
        <v>1287</v>
      </c>
      <c r="Q54" s="138"/>
      <c r="R54" s="138"/>
      <c r="S54" s="136"/>
      <c r="T54" s="136"/>
      <c r="U54" s="136"/>
      <c r="V54" s="148" t="s">
        <v>2020</v>
      </c>
      <c r="W54" s="139" t="s">
        <v>525</v>
      </c>
      <c r="X54" s="139" t="s">
        <v>526</v>
      </c>
      <c r="Y54" s="171"/>
    </row>
    <row r="55" spans="1:25" ht="18" customHeight="1" x14ac:dyDescent="0.3">
      <c r="A55" s="162">
        <v>2.0299999999999998</v>
      </c>
      <c r="B55" s="116"/>
      <c r="C55" s="116" t="s">
        <v>527</v>
      </c>
      <c r="D55" s="116"/>
      <c r="E55" s="117"/>
      <c r="F55" s="117"/>
      <c r="G55" s="117">
        <v>3</v>
      </c>
      <c r="H55" s="117" t="s">
        <v>512</v>
      </c>
      <c r="I55" s="116" t="s">
        <v>527</v>
      </c>
      <c r="J55" s="124" t="s">
        <v>527</v>
      </c>
      <c r="K55" s="116"/>
      <c r="L55" s="116"/>
      <c r="M55" s="116"/>
      <c r="N55" s="120" t="s">
        <v>2021</v>
      </c>
      <c r="O55" s="122"/>
      <c r="P55" s="117" t="s">
        <v>1287</v>
      </c>
      <c r="Q55" s="118"/>
      <c r="R55" s="118"/>
      <c r="S55" s="117"/>
      <c r="T55" s="117"/>
      <c r="U55" s="117"/>
      <c r="V55" s="150"/>
      <c r="W55" s="124"/>
      <c r="X55" s="124"/>
      <c r="Y55" s="170"/>
    </row>
    <row r="56" spans="1:25" ht="18" customHeight="1" x14ac:dyDescent="0.3">
      <c r="A56" s="164" t="s">
        <v>1824</v>
      </c>
      <c r="B56" s="141"/>
      <c r="C56" s="141"/>
      <c r="D56" s="141" t="s">
        <v>284</v>
      </c>
      <c r="E56" s="140"/>
      <c r="F56" s="140"/>
      <c r="G56" s="140">
        <v>4</v>
      </c>
      <c r="H56" s="140" t="s">
        <v>512</v>
      </c>
      <c r="I56" s="141" t="s">
        <v>527</v>
      </c>
      <c r="J56" s="143" t="s">
        <v>284</v>
      </c>
      <c r="K56" s="141" t="s">
        <v>325</v>
      </c>
      <c r="L56" s="141" t="s">
        <v>326</v>
      </c>
      <c r="M56" s="141" t="s">
        <v>529</v>
      </c>
      <c r="N56" s="145" t="s">
        <v>1683</v>
      </c>
      <c r="O56" s="147"/>
      <c r="P56" s="140" t="s">
        <v>2022</v>
      </c>
      <c r="Q56" s="142"/>
      <c r="R56" s="142"/>
      <c r="S56" s="140"/>
      <c r="T56" s="140"/>
      <c r="U56" s="140"/>
      <c r="V56" s="149" t="s">
        <v>2023</v>
      </c>
      <c r="W56" s="143" t="s">
        <v>530</v>
      </c>
      <c r="X56" s="143" t="s">
        <v>531</v>
      </c>
      <c r="Y56" s="172"/>
    </row>
    <row r="57" spans="1:25" ht="18" customHeight="1" x14ac:dyDescent="0.3">
      <c r="A57" s="163" t="s">
        <v>1825</v>
      </c>
      <c r="B57" s="137"/>
      <c r="C57" s="137"/>
      <c r="D57" s="137" t="s">
        <v>285</v>
      </c>
      <c r="E57" s="136"/>
      <c r="F57" s="136"/>
      <c r="G57" s="136">
        <v>4</v>
      </c>
      <c r="H57" s="136" t="s">
        <v>512</v>
      </c>
      <c r="I57" s="137" t="s">
        <v>527</v>
      </c>
      <c r="J57" s="139" t="s">
        <v>285</v>
      </c>
      <c r="K57" s="137" t="s">
        <v>325</v>
      </c>
      <c r="L57" s="137" t="s">
        <v>326</v>
      </c>
      <c r="M57" s="137" t="s">
        <v>532</v>
      </c>
      <c r="N57" s="144" t="s">
        <v>1684</v>
      </c>
      <c r="O57" s="146"/>
      <c r="P57" s="136" t="s">
        <v>1287</v>
      </c>
      <c r="Q57" s="138"/>
      <c r="R57" s="138"/>
      <c r="S57" s="136"/>
      <c r="T57" s="136"/>
      <c r="U57" s="136"/>
      <c r="V57" s="148" t="s">
        <v>2023</v>
      </c>
      <c r="W57" s="139" t="s">
        <v>530</v>
      </c>
      <c r="X57" s="139" t="s">
        <v>533</v>
      </c>
      <c r="Y57" s="171"/>
    </row>
    <row r="58" spans="1:25" ht="18" customHeight="1" x14ac:dyDescent="0.3">
      <c r="A58" s="164" t="s">
        <v>1826</v>
      </c>
      <c r="B58" s="141"/>
      <c r="C58" s="141"/>
      <c r="D58" s="141" t="s">
        <v>286</v>
      </c>
      <c r="E58" s="140"/>
      <c r="F58" s="140"/>
      <c r="G58" s="140">
        <v>4</v>
      </c>
      <c r="H58" s="140" t="s">
        <v>512</v>
      </c>
      <c r="I58" s="141" t="s">
        <v>527</v>
      </c>
      <c r="J58" s="143" t="s">
        <v>286</v>
      </c>
      <c r="K58" s="141" t="s">
        <v>327</v>
      </c>
      <c r="L58" s="141" t="s">
        <v>328</v>
      </c>
      <c r="M58" s="141" t="s">
        <v>534</v>
      </c>
      <c r="N58" s="145" t="s">
        <v>1685</v>
      </c>
      <c r="O58" s="147"/>
      <c r="P58" s="140" t="s">
        <v>2008</v>
      </c>
      <c r="Q58" s="142"/>
      <c r="R58" s="142"/>
      <c r="S58" s="140"/>
      <c r="T58" s="140"/>
      <c r="U58" s="140"/>
      <c r="V58" s="149" t="s">
        <v>2023</v>
      </c>
      <c r="W58" s="143" t="s">
        <v>530</v>
      </c>
      <c r="X58" s="143" t="s">
        <v>535</v>
      </c>
      <c r="Y58" s="172"/>
    </row>
    <row r="59" spans="1:25" ht="18" customHeight="1" x14ac:dyDescent="0.3">
      <c r="A59" s="163" t="s">
        <v>1827</v>
      </c>
      <c r="B59" s="137"/>
      <c r="C59" s="137"/>
      <c r="D59" s="137" t="s">
        <v>287</v>
      </c>
      <c r="E59" s="136"/>
      <c r="F59" s="136"/>
      <c r="G59" s="136">
        <v>4</v>
      </c>
      <c r="H59" s="136" t="s">
        <v>512</v>
      </c>
      <c r="I59" s="137" t="s">
        <v>527</v>
      </c>
      <c r="J59" s="139" t="s">
        <v>287</v>
      </c>
      <c r="K59" s="137" t="s">
        <v>329</v>
      </c>
      <c r="L59" s="137" t="s">
        <v>328</v>
      </c>
      <c r="M59" s="137" t="s">
        <v>536</v>
      </c>
      <c r="N59" s="144" t="s">
        <v>1686</v>
      </c>
      <c r="O59" s="146"/>
      <c r="P59" s="136" t="s">
        <v>1287</v>
      </c>
      <c r="Q59" s="138"/>
      <c r="R59" s="138"/>
      <c r="S59" s="136"/>
      <c r="T59" s="136"/>
      <c r="U59" s="136"/>
      <c r="V59" s="148" t="s">
        <v>2024</v>
      </c>
      <c r="W59" s="139" t="s">
        <v>537</v>
      </c>
      <c r="X59" s="139" t="s">
        <v>538</v>
      </c>
      <c r="Y59" s="171"/>
    </row>
    <row r="60" spans="1:25" ht="18" customHeight="1" x14ac:dyDescent="0.3">
      <c r="A60" s="164" t="s">
        <v>1828</v>
      </c>
      <c r="B60" s="141"/>
      <c r="C60" s="141"/>
      <c r="D60" s="141" t="s">
        <v>288</v>
      </c>
      <c r="E60" s="140"/>
      <c r="F60" s="140"/>
      <c r="G60" s="140">
        <v>4</v>
      </c>
      <c r="H60" s="140" t="s">
        <v>512</v>
      </c>
      <c r="I60" s="141" t="s">
        <v>527</v>
      </c>
      <c r="J60" s="143" t="s">
        <v>288</v>
      </c>
      <c r="K60" s="141" t="s">
        <v>330</v>
      </c>
      <c r="L60" s="141" t="s">
        <v>328</v>
      </c>
      <c r="M60" s="141" t="s">
        <v>539</v>
      </c>
      <c r="N60" s="145" t="s">
        <v>1687</v>
      </c>
      <c r="O60" s="147"/>
      <c r="P60" s="140" t="s">
        <v>2025</v>
      </c>
      <c r="Q60" s="142"/>
      <c r="R60" s="142"/>
      <c r="S60" s="140"/>
      <c r="T60" s="140"/>
      <c r="U60" s="140"/>
      <c r="V60" s="149" t="s">
        <v>2024</v>
      </c>
      <c r="W60" s="143" t="s">
        <v>530</v>
      </c>
      <c r="X60" s="143" t="s">
        <v>540</v>
      </c>
      <c r="Y60" s="172"/>
    </row>
    <row r="61" spans="1:25" ht="18" customHeight="1" x14ac:dyDescent="0.3">
      <c r="A61" s="162">
        <v>2.04</v>
      </c>
      <c r="B61" s="116"/>
      <c r="C61" s="116" t="s">
        <v>541</v>
      </c>
      <c r="D61" s="116"/>
      <c r="E61" s="117"/>
      <c r="F61" s="117"/>
      <c r="G61" s="117">
        <v>3</v>
      </c>
      <c r="H61" s="117" t="s">
        <v>512</v>
      </c>
      <c r="I61" s="116" t="s">
        <v>541</v>
      </c>
      <c r="J61" s="124" t="s">
        <v>541</v>
      </c>
      <c r="K61" s="116"/>
      <c r="L61" s="116"/>
      <c r="M61" s="116"/>
      <c r="N61" s="120" t="s">
        <v>2026</v>
      </c>
      <c r="O61" s="122"/>
      <c r="P61" s="117" t="s">
        <v>1287</v>
      </c>
      <c r="Q61" s="118"/>
      <c r="R61" s="118"/>
      <c r="S61" s="117"/>
      <c r="T61" s="117"/>
      <c r="U61" s="117"/>
      <c r="V61" s="150"/>
      <c r="W61" s="124"/>
      <c r="X61" s="124"/>
      <c r="Y61" s="170"/>
    </row>
    <row r="62" spans="1:25" ht="18" customHeight="1" x14ac:dyDescent="0.3">
      <c r="A62" s="163" t="s">
        <v>1829</v>
      </c>
      <c r="B62" s="137"/>
      <c r="C62" s="137"/>
      <c r="D62" s="137" t="s">
        <v>289</v>
      </c>
      <c r="E62" s="136"/>
      <c r="F62" s="136"/>
      <c r="G62" s="136">
        <v>4</v>
      </c>
      <c r="H62" s="136" t="s">
        <v>512</v>
      </c>
      <c r="I62" s="137" t="s">
        <v>541</v>
      </c>
      <c r="J62" s="139" t="s">
        <v>289</v>
      </c>
      <c r="K62" s="137" t="s">
        <v>331</v>
      </c>
      <c r="L62" s="137" t="s">
        <v>332</v>
      </c>
      <c r="M62" s="137"/>
      <c r="N62" s="144" t="s">
        <v>1688</v>
      </c>
      <c r="O62" s="146"/>
      <c r="P62" s="136" t="s">
        <v>1287</v>
      </c>
      <c r="Q62" s="138"/>
      <c r="R62" s="138"/>
      <c r="S62" s="136"/>
      <c r="T62" s="136" t="s">
        <v>2027</v>
      </c>
      <c r="U62" s="136" t="s">
        <v>2028</v>
      </c>
      <c r="V62" s="148" t="s">
        <v>2029</v>
      </c>
      <c r="W62" s="139" t="s">
        <v>79</v>
      </c>
      <c r="X62" s="139" t="s">
        <v>543</v>
      </c>
      <c r="Y62" s="171"/>
    </row>
    <row r="63" spans="1:25" ht="18" customHeight="1" x14ac:dyDescent="0.3">
      <c r="A63" s="164" t="s">
        <v>1830</v>
      </c>
      <c r="B63" s="141"/>
      <c r="C63" s="141"/>
      <c r="D63" s="141" t="s">
        <v>290</v>
      </c>
      <c r="E63" s="140"/>
      <c r="F63" s="140"/>
      <c r="G63" s="140">
        <v>4</v>
      </c>
      <c r="H63" s="140" t="s">
        <v>512</v>
      </c>
      <c r="I63" s="141" t="s">
        <v>541</v>
      </c>
      <c r="J63" s="143" t="s">
        <v>290</v>
      </c>
      <c r="K63" s="141" t="s">
        <v>331</v>
      </c>
      <c r="L63" s="141" t="s">
        <v>333</v>
      </c>
      <c r="M63" s="141" t="s">
        <v>529</v>
      </c>
      <c r="N63" s="145" t="s">
        <v>1689</v>
      </c>
      <c r="O63" s="147"/>
      <c r="P63" s="140" t="s">
        <v>2022</v>
      </c>
      <c r="Q63" s="142"/>
      <c r="R63" s="142"/>
      <c r="S63" s="140"/>
      <c r="T63" s="140" t="s">
        <v>2027</v>
      </c>
      <c r="U63" s="140" t="s">
        <v>2028</v>
      </c>
      <c r="V63" s="149" t="s">
        <v>2030</v>
      </c>
      <c r="W63" s="143" t="s">
        <v>79</v>
      </c>
      <c r="X63" s="143" t="s">
        <v>544</v>
      </c>
      <c r="Y63" s="172"/>
    </row>
    <row r="64" spans="1:25" ht="18" customHeight="1" x14ac:dyDescent="0.3">
      <c r="A64" s="163" t="s">
        <v>1831</v>
      </c>
      <c r="B64" s="137"/>
      <c r="C64" s="137"/>
      <c r="D64" s="137" t="s">
        <v>291</v>
      </c>
      <c r="E64" s="136"/>
      <c r="F64" s="136"/>
      <c r="G64" s="136">
        <v>4</v>
      </c>
      <c r="H64" s="136" t="s">
        <v>512</v>
      </c>
      <c r="I64" s="137" t="s">
        <v>541</v>
      </c>
      <c r="J64" s="139" t="s">
        <v>291</v>
      </c>
      <c r="K64" s="137" t="s">
        <v>331</v>
      </c>
      <c r="L64" s="137" t="s">
        <v>334</v>
      </c>
      <c r="M64" s="137" t="s">
        <v>532</v>
      </c>
      <c r="N64" s="144" t="s">
        <v>1690</v>
      </c>
      <c r="O64" s="146"/>
      <c r="P64" s="136" t="s">
        <v>2031</v>
      </c>
      <c r="Q64" s="138"/>
      <c r="R64" s="138"/>
      <c r="S64" s="136"/>
      <c r="T64" s="136" t="s">
        <v>2027</v>
      </c>
      <c r="U64" s="136" t="s">
        <v>2028</v>
      </c>
      <c r="V64" s="148" t="s">
        <v>2032</v>
      </c>
      <c r="W64" s="139" t="s">
        <v>79</v>
      </c>
      <c r="X64" s="139" t="s">
        <v>545</v>
      </c>
      <c r="Y64" s="171"/>
    </row>
    <row r="65" spans="1:25" ht="18" customHeight="1" x14ac:dyDescent="0.3">
      <c r="A65" s="164" t="s">
        <v>1832</v>
      </c>
      <c r="B65" s="141"/>
      <c r="C65" s="141"/>
      <c r="D65" s="141" t="s">
        <v>292</v>
      </c>
      <c r="E65" s="140"/>
      <c r="F65" s="140"/>
      <c r="G65" s="140">
        <v>4</v>
      </c>
      <c r="H65" s="140" t="s">
        <v>512</v>
      </c>
      <c r="I65" s="141" t="s">
        <v>541</v>
      </c>
      <c r="J65" s="143" t="s">
        <v>292</v>
      </c>
      <c r="K65" s="141" t="s">
        <v>331</v>
      </c>
      <c r="L65" s="141" t="s">
        <v>335</v>
      </c>
      <c r="M65" s="141" t="s">
        <v>534</v>
      </c>
      <c r="N65" s="145" t="s">
        <v>1691</v>
      </c>
      <c r="O65" s="147"/>
      <c r="P65" s="140" t="s">
        <v>2008</v>
      </c>
      <c r="Q65" s="142"/>
      <c r="R65" s="142"/>
      <c r="S65" s="140"/>
      <c r="T65" s="140" t="s">
        <v>2027</v>
      </c>
      <c r="U65" s="140" t="s">
        <v>2028</v>
      </c>
      <c r="V65" s="149" t="s">
        <v>2033</v>
      </c>
      <c r="W65" s="143" t="s">
        <v>79</v>
      </c>
      <c r="X65" s="143" t="s">
        <v>546</v>
      </c>
      <c r="Y65" s="172"/>
    </row>
    <row r="66" spans="1:25" ht="18" customHeight="1" x14ac:dyDescent="0.3">
      <c r="A66" s="163" t="s">
        <v>1833</v>
      </c>
      <c r="B66" s="137"/>
      <c r="C66" s="137"/>
      <c r="D66" s="137" t="s">
        <v>120</v>
      </c>
      <c r="E66" s="136"/>
      <c r="F66" s="136"/>
      <c r="G66" s="136">
        <v>4</v>
      </c>
      <c r="H66" s="136" t="s">
        <v>512</v>
      </c>
      <c r="I66" s="137" t="s">
        <v>541</v>
      </c>
      <c r="J66" s="139" t="s">
        <v>120</v>
      </c>
      <c r="K66" s="137" t="s">
        <v>331</v>
      </c>
      <c r="L66" s="137" t="s">
        <v>124</v>
      </c>
      <c r="M66" s="137" t="s">
        <v>534</v>
      </c>
      <c r="N66" s="144" t="s">
        <v>1692</v>
      </c>
      <c r="O66" s="146"/>
      <c r="P66" s="136" t="s">
        <v>2034</v>
      </c>
      <c r="Q66" s="138"/>
      <c r="R66" s="138"/>
      <c r="S66" s="136"/>
      <c r="T66" s="136" t="s">
        <v>2027</v>
      </c>
      <c r="U66" s="136" t="s">
        <v>2028</v>
      </c>
      <c r="V66" s="148" t="s">
        <v>2035</v>
      </c>
      <c r="W66" s="139" t="s">
        <v>79</v>
      </c>
      <c r="X66" s="139" t="s">
        <v>547</v>
      </c>
      <c r="Y66" s="171"/>
    </row>
    <row r="67" spans="1:25" ht="18" customHeight="1" x14ac:dyDescent="0.3">
      <c r="A67" s="164" t="s">
        <v>1834</v>
      </c>
      <c r="B67" s="141"/>
      <c r="C67" s="141"/>
      <c r="D67" s="141" t="s">
        <v>293</v>
      </c>
      <c r="E67" s="140"/>
      <c r="F67" s="140"/>
      <c r="G67" s="140">
        <v>4</v>
      </c>
      <c r="H67" s="140" t="s">
        <v>512</v>
      </c>
      <c r="I67" s="141" t="s">
        <v>541</v>
      </c>
      <c r="J67" s="143" t="s">
        <v>293</v>
      </c>
      <c r="K67" s="141" t="s">
        <v>331</v>
      </c>
      <c r="L67" s="141" t="s">
        <v>125</v>
      </c>
      <c r="M67" s="141"/>
      <c r="N67" s="145" t="s">
        <v>1693</v>
      </c>
      <c r="O67" s="147"/>
      <c r="P67" s="140" t="s">
        <v>1287</v>
      </c>
      <c r="Q67" s="142"/>
      <c r="R67" s="142"/>
      <c r="S67" s="140"/>
      <c r="T67" s="140" t="s">
        <v>2027</v>
      </c>
      <c r="U67" s="140" t="s">
        <v>2028</v>
      </c>
      <c r="V67" s="149" t="s">
        <v>2036</v>
      </c>
      <c r="W67" s="143" t="s">
        <v>79</v>
      </c>
      <c r="X67" s="143" t="s">
        <v>548</v>
      </c>
      <c r="Y67" s="172"/>
    </row>
    <row r="68" spans="1:25" ht="18" customHeight="1" x14ac:dyDescent="0.3">
      <c r="A68" s="163" t="s">
        <v>1835</v>
      </c>
      <c r="B68" s="137"/>
      <c r="C68" s="137"/>
      <c r="D68" s="137" t="s">
        <v>121</v>
      </c>
      <c r="E68" s="136"/>
      <c r="F68" s="136"/>
      <c r="G68" s="136">
        <v>4</v>
      </c>
      <c r="H68" s="136" t="s">
        <v>512</v>
      </c>
      <c r="I68" s="137" t="s">
        <v>541</v>
      </c>
      <c r="J68" s="139" t="s">
        <v>121</v>
      </c>
      <c r="K68" s="137" t="s">
        <v>331</v>
      </c>
      <c r="L68" s="137" t="s">
        <v>336</v>
      </c>
      <c r="M68" s="137"/>
      <c r="N68" s="144" t="s">
        <v>1694</v>
      </c>
      <c r="O68" s="146"/>
      <c r="P68" s="136" t="s">
        <v>1287</v>
      </c>
      <c r="Q68" s="138"/>
      <c r="R68" s="138"/>
      <c r="S68" s="136"/>
      <c r="T68" s="136" t="s">
        <v>2027</v>
      </c>
      <c r="U68" s="136" t="s">
        <v>2028</v>
      </c>
      <c r="V68" s="148" t="s">
        <v>2037</v>
      </c>
      <c r="W68" s="139" t="s">
        <v>79</v>
      </c>
      <c r="X68" s="139" t="s">
        <v>549</v>
      </c>
      <c r="Y68" s="171"/>
    </row>
    <row r="69" spans="1:25" ht="18" customHeight="1" x14ac:dyDescent="0.3">
      <c r="A69" s="162">
        <v>2.0499999999999998</v>
      </c>
      <c r="B69" s="116"/>
      <c r="C69" s="116" t="s">
        <v>550</v>
      </c>
      <c r="D69" s="116"/>
      <c r="E69" s="117"/>
      <c r="F69" s="117"/>
      <c r="G69" s="117">
        <v>3</v>
      </c>
      <c r="H69" s="117" t="s">
        <v>512</v>
      </c>
      <c r="I69" s="116" t="s">
        <v>550</v>
      </c>
      <c r="J69" s="124" t="s">
        <v>550</v>
      </c>
      <c r="K69" s="116"/>
      <c r="L69" s="116"/>
      <c r="M69" s="116"/>
      <c r="N69" s="120" t="s">
        <v>1960</v>
      </c>
      <c r="O69" s="122"/>
      <c r="P69" s="117" t="s">
        <v>1287</v>
      </c>
      <c r="Q69" s="118"/>
      <c r="R69" s="118"/>
      <c r="S69" s="117"/>
      <c r="T69" s="117"/>
      <c r="U69" s="117"/>
      <c r="V69" s="150"/>
      <c r="W69" s="124"/>
      <c r="X69" s="124"/>
      <c r="Y69" s="170"/>
    </row>
    <row r="70" spans="1:25" ht="18" customHeight="1" x14ac:dyDescent="0.3">
      <c r="A70" s="164" t="s">
        <v>1836</v>
      </c>
      <c r="B70" s="141"/>
      <c r="C70" s="141"/>
      <c r="D70" s="141" t="s">
        <v>294</v>
      </c>
      <c r="E70" s="140"/>
      <c r="F70" s="140"/>
      <c r="G70" s="140">
        <v>4</v>
      </c>
      <c r="H70" s="140" t="s">
        <v>512</v>
      </c>
      <c r="I70" s="141" t="s">
        <v>550</v>
      </c>
      <c r="J70" s="143" t="s">
        <v>294</v>
      </c>
      <c r="K70" s="141" t="s">
        <v>325</v>
      </c>
      <c r="L70" s="141" t="s">
        <v>337</v>
      </c>
      <c r="M70" s="141"/>
      <c r="N70" s="145" t="s">
        <v>1695</v>
      </c>
      <c r="O70" s="147"/>
      <c r="P70" s="140" t="s">
        <v>1983</v>
      </c>
      <c r="Q70" s="142"/>
      <c r="R70" s="142"/>
      <c r="S70" s="140"/>
      <c r="T70" s="140" t="s">
        <v>815</v>
      </c>
      <c r="U70" s="140" t="s">
        <v>2038</v>
      </c>
      <c r="V70" s="149" t="s">
        <v>2039</v>
      </c>
      <c r="W70" s="143" t="s">
        <v>79</v>
      </c>
      <c r="X70" s="143" t="s">
        <v>551</v>
      </c>
      <c r="Y70" s="172"/>
    </row>
    <row r="71" spans="1:25" ht="18" customHeight="1" x14ac:dyDescent="0.3">
      <c r="A71" s="163" t="s">
        <v>1837</v>
      </c>
      <c r="B71" s="137"/>
      <c r="C71" s="137"/>
      <c r="D71" s="137" t="s">
        <v>122</v>
      </c>
      <c r="E71" s="136"/>
      <c r="F71" s="136"/>
      <c r="G71" s="136">
        <v>4</v>
      </c>
      <c r="H71" s="136" t="s">
        <v>512</v>
      </c>
      <c r="I71" s="137" t="s">
        <v>550</v>
      </c>
      <c r="J71" s="139" t="s">
        <v>122</v>
      </c>
      <c r="K71" s="137" t="s">
        <v>327</v>
      </c>
      <c r="L71" s="137" t="s">
        <v>338</v>
      </c>
      <c r="M71" s="137"/>
      <c r="N71" s="144" t="s">
        <v>1696</v>
      </c>
      <c r="O71" s="146"/>
      <c r="P71" s="136" t="s">
        <v>1287</v>
      </c>
      <c r="Q71" s="138"/>
      <c r="R71" s="138"/>
      <c r="S71" s="136"/>
      <c r="T71" s="136" t="s">
        <v>815</v>
      </c>
      <c r="U71" s="136" t="s">
        <v>2038</v>
      </c>
      <c r="V71" s="148" t="s">
        <v>2040</v>
      </c>
      <c r="W71" s="139" t="s">
        <v>79</v>
      </c>
      <c r="X71" s="139" t="s">
        <v>552</v>
      </c>
      <c r="Y71" s="171"/>
    </row>
    <row r="72" spans="1:25" ht="18" customHeight="1" x14ac:dyDescent="0.3">
      <c r="A72" s="164" t="s">
        <v>1838</v>
      </c>
      <c r="B72" s="141"/>
      <c r="C72" s="141"/>
      <c r="D72" s="141" t="s">
        <v>123</v>
      </c>
      <c r="E72" s="140"/>
      <c r="F72" s="140"/>
      <c r="G72" s="140">
        <v>4</v>
      </c>
      <c r="H72" s="140" t="s">
        <v>512</v>
      </c>
      <c r="I72" s="141" t="s">
        <v>550</v>
      </c>
      <c r="J72" s="143" t="s">
        <v>123</v>
      </c>
      <c r="K72" s="141" t="s">
        <v>339</v>
      </c>
      <c r="L72" s="141" t="s">
        <v>338</v>
      </c>
      <c r="M72" s="141"/>
      <c r="N72" s="145" t="s">
        <v>1697</v>
      </c>
      <c r="O72" s="147"/>
      <c r="P72" s="140" t="s">
        <v>1287</v>
      </c>
      <c r="Q72" s="142"/>
      <c r="R72" s="142"/>
      <c r="S72" s="140"/>
      <c r="T72" s="140" t="s">
        <v>815</v>
      </c>
      <c r="U72" s="140" t="s">
        <v>2038</v>
      </c>
      <c r="V72" s="149" t="s">
        <v>2041</v>
      </c>
      <c r="W72" s="143" t="s">
        <v>553</v>
      </c>
      <c r="X72" s="143" t="s">
        <v>554</v>
      </c>
      <c r="Y72" s="172"/>
    </row>
    <row r="73" spans="1:25" ht="18" customHeight="1" x14ac:dyDescent="0.3">
      <c r="A73" s="163" t="s">
        <v>1839</v>
      </c>
      <c r="B73" s="137"/>
      <c r="C73" s="137"/>
      <c r="D73" s="137" t="s">
        <v>295</v>
      </c>
      <c r="E73" s="136"/>
      <c r="F73" s="136"/>
      <c r="G73" s="136">
        <v>4</v>
      </c>
      <c r="H73" s="136" t="s">
        <v>512</v>
      </c>
      <c r="I73" s="137" t="s">
        <v>550</v>
      </c>
      <c r="J73" s="139" t="s">
        <v>295</v>
      </c>
      <c r="K73" s="137" t="s">
        <v>340</v>
      </c>
      <c r="L73" s="137" t="s">
        <v>341</v>
      </c>
      <c r="M73" s="137"/>
      <c r="N73" s="144" t="s">
        <v>1698</v>
      </c>
      <c r="O73" s="146"/>
      <c r="P73" s="136" t="s">
        <v>1287</v>
      </c>
      <c r="Q73" s="138"/>
      <c r="R73" s="138"/>
      <c r="S73" s="136"/>
      <c r="T73" s="136" t="s">
        <v>815</v>
      </c>
      <c r="U73" s="136" t="s">
        <v>2038</v>
      </c>
      <c r="V73" s="148" t="s">
        <v>2042</v>
      </c>
      <c r="W73" s="139" t="s">
        <v>79</v>
      </c>
      <c r="X73" s="139" t="s">
        <v>555</v>
      </c>
      <c r="Y73" s="171"/>
    </row>
    <row r="74" spans="1:25" ht="18" customHeight="1" x14ac:dyDescent="0.3">
      <c r="A74" s="164" t="s">
        <v>1840</v>
      </c>
      <c r="B74" s="141"/>
      <c r="C74" s="141"/>
      <c r="D74" s="141" t="s">
        <v>296</v>
      </c>
      <c r="E74" s="140"/>
      <c r="F74" s="140"/>
      <c r="G74" s="140">
        <v>4</v>
      </c>
      <c r="H74" s="140" t="s">
        <v>512</v>
      </c>
      <c r="I74" s="141" t="s">
        <v>550</v>
      </c>
      <c r="J74" s="143" t="s">
        <v>296</v>
      </c>
      <c r="K74" s="141" t="s">
        <v>342</v>
      </c>
      <c r="L74" s="141" t="s">
        <v>343</v>
      </c>
      <c r="M74" s="141"/>
      <c r="N74" s="145" t="s">
        <v>1699</v>
      </c>
      <c r="O74" s="147"/>
      <c r="P74" s="140" t="s">
        <v>1287</v>
      </c>
      <c r="Q74" s="142"/>
      <c r="R74" s="142"/>
      <c r="S74" s="140"/>
      <c r="T74" s="140" t="s">
        <v>815</v>
      </c>
      <c r="U74" s="140" t="s">
        <v>2038</v>
      </c>
      <c r="V74" s="149" t="s">
        <v>2020</v>
      </c>
      <c r="W74" s="143" t="s">
        <v>525</v>
      </c>
      <c r="X74" s="143" t="s">
        <v>526</v>
      </c>
      <c r="Y74" s="172"/>
    </row>
    <row r="75" spans="1:25" ht="18" customHeight="1" x14ac:dyDescent="0.3">
      <c r="A75" s="163" t="s">
        <v>1841</v>
      </c>
      <c r="B75" s="137"/>
      <c r="C75" s="137"/>
      <c r="D75" s="137" t="s">
        <v>297</v>
      </c>
      <c r="E75" s="136"/>
      <c r="F75" s="136"/>
      <c r="G75" s="136">
        <v>4</v>
      </c>
      <c r="H75" s="136" t="s">
        <v>512</v>
      </c>
      <c r="I75" s="137" t="s">
        <v>550</v>
      </c>
      <c r="J75" s="139" t="s">
        <v>297</v>
      </c>
      <c r="K75" s="137" t="s">
        <v>427</v>
      </c>
      <c r="L75" s="137" t="s">
        <v>119</v>
      </c>
      <c r="M75" s="137"/>
      <c r="N75" s="144" t="s">
        <v>1700</v>
      </c>
      <c r="O75" s="146"/>
      <c r="P75" s="136" t="s">
        <v>1287</v>
      </c>
      <c r="Q75" s="138"/>
      <c r="R75" s="138"/>
      <c r="S75" s="136"/>
      <c r="T75" s="136" t="s">
        <v>815</v>
      </c>
      <c r="U75" s="136" t="s">
        <v>2038</v>
      </c>
      <c r="V75" s="148" t="s">
        <v>2012</v>
      </c>
      <c r="W75" s="139" t="s">
        <v>79</v>
      </c>
      <c r="X75" s="139" t="s">
        <v>556</v>
      </c>
      <c r="Y75" s="171"/>
    </row>
    <row r="76" spans="1:25" ht="18" customHeight="1" x14ac:dyDescent="0.3">
      <c r="A76" s="162">
        <v>2.06</v>
      </c>
      <c r="B76" s="116"/>
      <c r="C76" s="116" t="s">
        <v>1653</v>
      </c>
      <c r="D76" s="116"/>
      <c r="E76" s="117"/>
      <c r="F76" s="117"/>
      <c r="G76" s="117">
        <v>3</v>
      </c>
      <c r="H76" s="117" t="s">
        <v>512</v>
      </c>
      <c r="I76" s="116" t="s">
        <v>1653</v>
      </c>
      <c r="J76" s="124" t="s">
        <v>1653</v>
      </c>
      <c r="K76" s="116"/>
      <c r="L76" s="116"/>
      <c r="M76" s="116"/>
      <c r="N76" s="120" t="s">
        <v>513</v>
      </c>
      <c r="O76" s="122"/>
      <c r="P76" s="117" t="s">
        <v>2043</v>
      </c>
      <c r="Q76" s="118"/>
      <c r="R76" s="118"/>
      <c r="S76" s="117"/>
      <c r="T76" s="117"/>
      <c r="U76" s="117"/>
      <c r="V76" s="150"/>
      <c r="W76" s="124"/>
      <c r="X76" s="124"/>
      <c r="Y76" s="170"/>
    </row>
    <row r="77" spans="1:25" ht="18" customHeight="1" x14ac:dyDescent="0.3">
      <c r="A77" s="164" t="s">
        <v>1588</v>
      </c>
      <c r="B77" s="141"/>
      <c r="C77" s="141"/>
      <c r="D77" s="141" t="s">
        <v>1301</v>
      </c>
      <c r="E77" s="140"/>
      <c r="F77" s="140"/>
      <c r="G77" s="140">
        <v>4</v>
      </c>
      <c r="H77" s="140" t="s">
        <v>512</v>
      </c>
      <c r="I77" s="141" t="s">
        <v>1653</v>
      </c>
      <c r="J77" s="143" t="s">
        <v>1301</v>
      </c>
      <c r="K77" s="141" t="s">
        <v>1299</v>
      </c>
      <c r="L77" s="141" t="s">
        <v>78</v>
      </c>
      <c r="M77" s="141" t="s">
        <v>1300</v>
      </c>
      <c r="N77" s="145" t="s">
        <v>397</v>
      </c>
      <c r="O77" s="147"/>
      <c r="P77" s="140" t="s">
        <v>1287</v>
      </c>
      <c r="Q77" s="142"/>
      <c r="R77" s="142"/>
      <c r="S77" s="140"/>
      <c r="T77" s="140"/>
      <c r="U77" s="140"/>
      <c r="V77" s="149" t="s">
        <v>2044</v>
      </c>
      <c r="W77" s="143" t="s">
        <v>1302</v>
      </c>
      <c r="X77" s="143" t="s">
        <v>1303</v>
      </c>
      <c r="Y77" s="172"/>
    </row>
    <row r="78" spans="1:25" ht="18" customHeight="1" x14ac:dyDescent="0.3">
      <c r="A78" s="163" t="s">
        <v>1589</v>
      </c>
      <c r="B78" s="137"/>
      <c r="C78" s="137"/>
      <c r="D78" s="137" t="s">
        <v>1305</v>
      </c>
      <c r="E78" s="136"/>
      <c r="F78" s="136"/>
      <c r="G78" s="136">
        <v>4</v>
      </c>
      <c r="H78" s="136" t="s">
        <v>512</v>
      </c>
      <c r="I78" s="137" t="s">
        <v>1653</v>
      </c>
      <c r="J78" s="139" t="s">
        <v>1305</v>
      </c>
      <c r="K78" s="137" t="s">
        <v>478</v>
      </c>
      <c r="L78" s="137" t="s">
        <v>78</v>
      </c>
      <c r="M78" s="137" t="s">
        <v>1304</v>
      </c>
      <c r="N78" s="144" t="s">
        <v>398</v>
      </c>
      <c r="O78" s="146"/>
      <c r="P78" s="136" t="s">
        <v>2043</v>
      </c>
      <c r="Q78" s="138"/>
      <c r="R78" s="138"/>
      <c r="S78" s="136"/>
      <c r="T78" s="136"/>
      <c r="U78" s="136"/>
      <c r="V78" s="148" t="s">
        <v>2044</v>
      </c>
      <c r="W78" s="139" t="s">
        <v>1306</v>
      </c>
      <c r="X78" s="139" t="s">
        <v>1307</v>
      </c>
      <c r="Y78" s="171"/>
    </row>
    <row r="79" spans="1:25" ht="18" customHeight="1" x14ac:dyDescent="0.3">
      <c r="A79" s="164" t="s">
        <v>1590</v>
      </c>
      <c r="B79" s="141"/>
      <c r="C79" s="141"/>
      <c r="D79" s="141" t="s">
        <v>1308</v>
      </c>
      <c r="E79" s="140"/>
      <c r="F79" s="140"/>
      <c r="G79" s="140">
        <v>4</v>
      </c>
      <c r="H79" s="140" t="s">
        <v>512</v>
      </c>
      <c r="I79" s="141" t="s">
        <v>1653</v>
      </c>
      <c r="J79" s="143" t="s">
        <v>1308</v>
      </c>
      <c r="K79" s="141" t="s">
        <v>478</v>
      </c>
      <c r="L79" s="141" t="s">
        <v>78</v>
      </c>
      <c r="M79" s="141" t="s">
        <v>1300</v>
      </c>
      <c r="N79" s="145" t="s">
        <v>399</v>
      </c>
      <c r="O79" s="147"/>
      <c r="P79" s="140" t="s">
        <v>1287</v>
      </c>
      <c r="Q79" s="142"/>
      <c r="R79" s="142"/>
      <c r="S79" s="140"/>
      <c r="T79" s="140"/>
      <c r="U79" s="140"/>
      <c r="V79" s="149" t="s">
        <v>2045</v>
      </c>
      <c r="W79" s="143" t="s">
        <v>1309</v>
      </c>
      <c r="X79" s="143" t="s">
        <v>1310</v>
      </c>
      <c r="Y79" s="172"/>
    </row>
    <row r="80" spans="1:25" ht="18" customHeight="1" x14ac:dyDescent="0.3">
      <c r="A80" s="163" t="s">
        <v>1591</v>
      </c>
      <c r="B80" s="137"/>
      <c r="C80" s="137"/>
      <c r="D80" s="137" t="s">
        <v>1311</v>
      </c>
      <c r="E80" s="136"/>
      <c r="F80" s="136"/>
      <c r="G80" s="136">
        <v>4</v>
      </c>
      <c r="H80" s="136" t="s">
        <v>512</v>
      </c>
      <c r="I80" s="137" t="s">
        <v>1653</v>
      </c>
      <c r="J80" s="139" t="s">
        <v>1311</v>
      </c>
      <c r="K80" s="137" t="s">
        <v>478</v>
      </c>
      <c r="L80" s="137" t="s">
        <v>78</v>
      </c>
      <c r="M80" s="137" t="s">
        <v>1300</v>
      </c>
      <c r="N80" s="144" t="s">
        <v>400</v>
      </c>
      <c r="O80" s="146"/>
      <c r="P80" s="136" t="s">
        <v>1287</v>
      </c>
      <c r="Q80" s="138"/>
      <c r="R80" s="138"/>
      <c r="S80" s="136"/>
      <c r="T80" s="136"/>
      <c r="U80" s="136"/>
      <c r="V80" s="148" t="s">
        <v>2044</v>
      </c>
      <c r="W80" s="139" t="s">
        <v>1312</v>
      </c>
      <c r="X80" s="139" t="s">
        <v>1313</v>
      </c>
      <c r="Y80" s="171"/>
    </row>
    <row r="81" spans="1:25" ht="18" customHeight="1" x14ac:dyDescent="0.3">
      <c r="A81" s="162">
        <v>2.0699999999999998</v>
      </c>
      <c r="B81" s="116"/>
      <c r="C81" s="116" t="s">
        <v>1652</v>
      </c>
      <c r="D81" s="116"/>
      <c r="E81" s="117"/>
      <c r="F81" s="117"/>
      <c r="G81" s="117">
        <v>3</v>
      </c>
      <c r="H81" s="117" t="s">
        <v>512</v>
      </c>
      <c r="I81" s="116" t="s">
        <v>1652</v>
      </c>
      <c r="J81" s="124" t="s">
        <v>1652</v>
      </c>
      <c r="K81" s="116"/>
      <c r="L81" s="116"/>
      <c r="M81" s="116"/>
      <c r="N81" s="120" t="s">
        <v>522</v>
      </c>
      <c r="O81" s="122"/>
      <c r="P81" s="117" t="s">
        <v>1287</v>
      </c>
      <c r="Q81" s="118"/>
      <c r="R81" s="118"/>
      <c r="S81" s="117"/>
      <c r="T81" s="117"/>
      <c r="U81" s="117"/>
      <c r="V81" s="150"/>
      <c r="W81" s="124"/>
      <c r="X81" s="124"/>
      <c r="Y81" s="170"/>
    </row>
    <row r="82" spans="1:25" ht="18" customHeight="1" x14ac:dyDescent="0.3">
      <c r="A82" s="164" t="s">
        <v>1592</v>
      </c>
      <c r="B82" s="141"/>
      <c r="C82" s="141"/>
      <c r="D82" s="141" t="s">
        <v>1316</v>
      </c>
      <c r="E82" s="140"/>
      <c r="F82" s="140"/>
      <c r="G82" s="140">
        <v>4</v>
      </c>
      <c r="H82" s="140" t="s">
        <v>512</v>
      </c>
      <c r="I82" s="141" t="s">
        <v>1652</v>
      </c>
      <c r="J82" s="143" t="s">
        <v>1316</v>
      </c>
      <c r="K82" s="141" t="s">
        <v>1314</v>
      </c>
      <c r="L82" s="141" t="s">
        <v>78</v>
      </c>
      <c r="M82" s="141" t="s">
        <v>1315</v>
      </c>
      <c r="N82" s="145" t="s">
        <v>401</v>
      </c>
      <c r="O82" s="147"/>
      <c r="P82" s="140" t="s">
        <v>1287</v>
      </c>
      <c r="Q82" s="142"/>
      <c r="R82" s="142"/>
      <c r="S82" s="140"/>
      <c r="T82" s="140"/>
      <c r="U82" s="140"/>
      <c r="V82" s="149" t="s">
        <v>2046</v>
      </c>
      <c r="W82" s="143" t="s">
        <v>516</v>
      </c>
      <c r="X82" s="143" t="s">
        <v>1317</v>
      </c>
      <c r="Y82" s="172"/>
    </row>
    <row r="83" spans="1:25" ht="18" customHeight="1" x14ac:dyDescent="0.3">
      <c r="A83" s="163" t="s">
        <v>1593</v>
      </c>
      <c r="B83" s="137"/>
      <c r="C83" s="137"/>
      <c r="D83" s="137" t="s">
        <v>1318</v>
      </c>
      <c r="E83" s="136"/>
      <c r="F83" s="136"/>
      <c r="G83" s="136">
        <v>4</v>
      </c>
      <c r="H83" s="136" t="s">
        <v>512</v>
      </c>
      <c r="I83" s="137" t="s">
        <v>1652</v>
      </c>
      <c r="J83" s="139" t="s">
        <v>1318</v>
      </c>
      <c r="K83" s="137" t="s">
        <v>1314</v>
      </c>
      <c r="L83" s="137" t="s">
        <v>78</v>
      </c>
      <c r="M83" s="137" t="s">
        <v>1315</v>
      </c>
      <c r="N83" s="144" t="s">
        <v>402</v>
      </c>
      <c r="O83" s="146"/>
      <c r="P83" s="136" t="s">
        <v>1287</v>
      </c>
      <c r="Q83" s="138"/>
      <c r="R83" s="138"/>
      <c r="S83" s="136"/>
      <c r="T83" s="136"/>
      <c r="U83" s="136"/>
      <c r="V83" s="148" t="s">
        <v>2046</v>
      </c>
      <c r="W83" s="139" t="s">
        <v>1319</v>
      </c>
      <c r="X83" s="139" t="s">
        <v>1320</v>
      </c>
      <c r="Y83" s="171"/>
    </row>
    <row r="84" spans="1:25" ht="18" customHeight="1" x14ac:dyDescent="0.3">
      <c r="A84" s="164" t="s">
        <v>1594</v>
      </c>
      <c r="B84" s="141"/>
      <c r="C84" s="141"/>
      <c r="D84" s="141" t="s">
        <v>1322</v>
      </c>
      <c r="E84" s="140"/>
      <c r="F84" s="140"/>
      <c r="G84" s="140">
        <v>4</v>
      </c>
      <c r="H84" s="140" t="s">
        <v>512</v>
      </c>
      <c r="I84" s="141" t="s">
        <v>1652</v>
      </c>
      <c r="J84" s="143" t="s">
        <v>1322</v>
      </c>
      <c r="K84" s="141" t="s">
        <v>477</v>
      </c>
      <c r="L84" s="141" t="s">
        <v>78</v>
      </c>
      <c r="M84" s="141" t="s">
        <v>1321</v>
      </c>
      <c r="N84" s="145" t="s">
        <v>403</v>
      </c>
      <c r="O84" s="147"/>
      <c r="P84" s="140" t="s">
        <v>1287</v>
      </c>
      <c r="Q84" s="142"/>
      <c r="R84" s="142"/>
      <c r="S84" s="140"/>
      <c r="T84" s="140"/>
      <c r="U84" s="140"/>
      <c r="V84" s="149" t="s">
        <v>2046</v>
      </c>
      <c r="W84" s="143" t="s">
        <v>1323</v>
      </c>
      <c r="X84" s="143" t="s">
        <v>1324</v>
      </c>
      <c r="Y84" s="172"/>
    </row>
    <row r="85" spans="1:25" ht="18" customHeight="1" x14ac:dyDescent="0.3">
      <c r="A85" s="163" t="s">
        <v>1843</v>
      </c>
      <c r="B85" s="137"/>
      <c r="C85" s="137"/>
      <c r="D85" s="137" t="s">
        <v>1326</v>
      </c>
      <c r="E85" s="136"/>
      <c r="F85" s="136"/>
      <c r="G85" s="136">
        <v>4</v>
      </c>
      <c r="H85" s="136" t="s">
        <v>512</v>
      </c>
      <c r="I85" s="137" t="s">
        <v>1652</v>
      </c>
      <c r="J85" s="139" t="s">
        <v>1326</v>
      </c>
      <c r="K85" s="137" t="s">
        <v>1325</v>
      </c>
      <c r="L85" s="137" t="s">
        <v>335</v>
      </c>
      <c r="M85" s="137" t="s">
        <v>534</v>
      </c>
      <c r="N85" s="144" t="s">
        <v>1702</v>
      </c>
      <c r="O85" s="146"/>
      <c r="P85" s="136" t="s">
        <v>1287</v>
      </c>
      <c r="Q85" s="138"/>
      <c r="R85" s="138"/>
      <c r="S85" s="136"/>
      <c r="T85" s="136"/>
      <c r="U85" s="136"/>
      <c r="V85" s="148" t="s">
        <v>2046</v>
      </c>
      <c r="W85" s="139" t="s">
        <v>1327</v>
      </c>
      <c r="X85" s="139" t="s">
        <v>1328</v>
      </c>
      <c r="Y85" s="171"/>
    </row>
    <row r="86" spans="1:25" ht="18" customHeight="1" x14ac:dyDescent="0.3">
      <c r="A86" s="162">
        <v>2.08</v>
      </c>
      <c r="B86" s="116"/>
      <c r="C86" s="116" t="s">
        <v>1654</v>
      </c>
      <c r="D86" s="116"/>
      <c r="E86" s="117"/>
      <c r="F86" s="117"/>
      <c r="G86" s="117">
        <v>3</v>
      </c>
      <c r="H86" s="117" t="s">
        <v>512</v>
      </c>
      <c r="I86" s="116" t="s">
        <v>1654</v>
      </c>
      <c r="J86" s="124" t="s">
        <v>1654</v>
      </c>
      <c r="K86" s="116"/>
      <c r="L86" s="116"/>
      <c r="M86" s="116"/>
      <c r="N86" s="120" t="s">
        <v>528</v>
      </c>
      <c r="O86" s="122"/>
      <c r="P86" s="117" t="s">
        <v>1287</v>
      </c>
      <c r="Q86" s="118"/>
      <c r="R86" s="118"/>
      <c r="S86" s="117"/>
      <c r="T86" s="117"/>
      <c r="U86" s="117"/>
      <c r="V86" s="150"/>
      <c r="W86" s="124"/>
      <c r="X86" s="124"/>
      <c r="Y86" s="170"/>
    </row>
    <row r="87" spans="1:25" ht="18" customHeight="1" x14ac:dyDescent="0.3">
      <c r="A87" s="164" t="s">
        <v>1595</v>
      </c>
      <c r="B87" s="141"/>
      <c r="C87" s="141"/>
      <c r="D87" s="141" t="s">
        <v>1330</v>
      </c>
      <c r="E87" s="140"/>
      <c r="F87" s="140"/>
      <c r="G87" s="140">
        <v>4</v>
      </c>
      <c r="H87" s="140" t="s">
        <v>512</v>
      </c>
      <c r="I87" s="141" t="s">
        <v>1654</v>
      </c>
      <c r="J87" s="143" t="s">
        <v>1330</v>
      </c>
      <c r="K87" s="141" t="s">
        <v>1329</v>
      </c>
      <c r="L87" s="141" t="s">
        <v>78</v>
      </c>
      <c r="M87" s="141" t="s">
        <v>532</v>
      </c>
      <c r="N87" s="145" t="s">
        <v>404</v>
      </c>
      <c r="O87" s="147"/>
      <c r="P87" s="140" t="s">
        <v>2031</v>
      </c>
      <c r="Q87" s="142"/>
      <c r="R87" s="142"/>
      <c r="S87" s="140"/>
      <c r="T87" s="140"/>
      <c r="U87" s="140"/>
      <c r="V87" s="149" t="s">
        <v>2047</v>
      </c>
      <c r="W87" s="143" t="s">
        <v>1331</v>
      </c>
      <c r="X87" s="143" t="s">
        <v>1332</v>
      </c>
      <c r="Y87" s="172"/>
    </row>
    <row r="88" spans="1:25" ht="18" customHeight="1" x14ac:dyDescent="0.3">
      <c r="A88" s="163" t="s">
        <v>1596</v>
      </c>
      <c r="B88" s="137"/>
      <c r="C88" s="137"/>
      <c r="D88" s="137" t="s">
        <v>1333</v>
      </c>
      <c r="E88" s="136"/>
      <c r="F88" s="136"/>
      <c r="G88" s="136">
        <v>4</v>
      </c>
      <c r="H88" s="136" t="s">
        <v>512</v>
      </c>
      <c r="I88" s="137" t="s">
        <v>1654</v>
      </c>
      <c r="J88" s="139" t="s">
        <v>1333</v>
      </c>
      <c r="K88" s="137" t="s">
        <v>1329</v>
      </c>
      <c r="L88" s="137" t="s">
        <v>78</v>
      </c>
      <c r="M88" s="137" t="s">
        <v>532</v>
      </c>
      <c r="N88" s="144" t="s">
        <v>406</v>
      </c>
      <c r="O88" s="146"/>
      <c r="P88" s="136" t="s">
        <v>1287</v>
      </c>
      <c r="Q88" s="138"/>
      <c r="R88" s="138"/>
      <c r="S88" s="136"/>
      <c r="T88" s="136"/>
      <c r="U88" s="136"/>
      <c r="V88" s="148" t="s">
        <v>2048</v>
      </c>
      <c r="W88" s="139" t="s">
        <v>1331</v>
      </c>
      <c r="X88" s="139" t="s">
        <v>1334</v>
      </c>
      <c r="Y88" s="171"/>
    </row>
    <row r="89" spans="1:25" ht="18" customHeight="1" x14ac:dyDescent="0.3">
      <c r="A89" s="164" t="s">
        <v>1597</v>
      </c>
      <c r="B89" s="141"/>
      <c r="C89" s="141"/>
      <c r="D89" s="141" t="s">
        <v>1336</v>
      </c>
      <c r="E89" s="140"/>
      <c r="F89" s="140"/>
      <c r="G89" s="140">
        <v>4</v>
      </c>
      <c r="H89" s="140" t="s">
        <v>512</v>
      </c>
      <c r="I89" s="141" t="s">
        <v>1654</v>
      </c>
      <c r="J89" s="143" t="s">
        <v>1336</v>
      </c>
      <c r="K89" s="141" t="s">
        <v>1335</v>
      </c>
      <c r="L89" s="141" t="s">
        <v>78</v>
      </c>
      <c r="M89" s="141" t="s">
        <v>534</v>
      </c>
      <c r="N89" s="145" t="s">
        <v>407</v>
      </c>
      <c r="O89" s="147"/>
      <c r="P89" s="140" t="s">
        <v>2034</v>
      </c>
      <c r="Q89" s="142"/>
      <c r="R89" s="142"/>
      <c r="S89" s="140"/>
      <c r="T89" s="140"/>
      <c r="U89" s="140"/>
      <c r="V89" s="149" t="s">
        <v>2049</v>
      </c>
      <c r="W89" s="143" t="s">
        <v>1331</v>
      </c>
      <c r="X89" s="143" t="s">
        <v>1337</v>
      </c>
      <c r="Y89" s="172"/>
    </row>
    <row r="90" spans="1:25" ht="18" customHeight="1" x14ac:dyDescent="0.3">
      <c r="A90" s="163" t="s">
        <v>1598</v>
      </c>
      <c r="B90" s="137"/>
      <c r="C90" s="137"/>
      <c r="D90" s="137" t="s">
        <v>1338</v>
      </c>
      <c r="E90" s="136"/>
      <c r="F90" s="136"/>
      <c r="G90" s="136">
        <v>4</v>
      </c>
      <c r="H90" s="136" t="s">
        <v>512</v>
      </c>
      <c r="I90" s="137" t="s">
        <v>1654</v>
      </c>
      <c r="J90" s="139" t="s">
        <v>1338</v>
      </c>
      <c r="K90" s="137" t="s">
        <v>475</v>
      </c>
      <c r="L90" s="137" t="s">
        <v>78</v>
      </c>
      <c r="M90" s="137" t="s">
        <v>532</v>
      </c>
      <c r="N90" s="144" t="s">
        <v>408</v>
      </c>
      <c r="O90" s="146"/>
      <c r="P90" s="136" t="s">
        <v>1287</v>
      </c>
      <c r="Q90" s="138"/>
      <c r="R90" s="138"/>
      <c r="S90" s="136"/>
      <c r="T90" s="136"/>
      <c r="U90" s="136"/>
      <c r="V90" s="148" t="s">
        <v>2105</v>
      </c>
      <c r="W90" s="139" t="s">
        <v>1319</v>
      </c>
      <c r="X90" s="139" t="s">
        <v>1339</v>
      </c>
      <c r="Y90" s="171"/>
    </row>
    <row r="91" spans="1:25" ht="18" customHeight="1" x14ac:dyDescent="0.3">
      <c r="A91" s="162">
        <v>2.09</v>
      </c>
      <c r="B91" s="116"/>
      <c r="C91" s="116" t="s">
        <v>1655</v>
      </c>
      <c r="D91" s="116"/>
      <c r="E91" s="117"/>
      <c r="F91" s="117"/>
      <c r="G91" s="117">
        <v>3</v>
      </c>
      <c r="H91" s="117" t="s">
        <v>512</v>
      </c>
      <c r="I91" s="116" t="s">
        <v>1655</v>
      </c>
      <c r="J91" s="124" t="s">
        <v>1655</v>
      </c>
      <c r="K91" s="116"/>
      <c r="L91" s="116"/>
      <c r="M91" s="116"/>
      <c r="N91" s="120" t="s">
        <v>542</v>
      </c>
      <c r="O91" s="122"/>
      <c r="P91" s="117" t="s">
        <v>1287</v>
      </c>
      <c r="Q91" s="118"/>
      <c r="R91" s="118"/>
      <c r="S91" s="117"/>
      <c r="T91" s="117"/>
      <c r="U91" s="117"/>
      <c r="V91" s="150"/>
      <c r="W91" s="124"/>
      <c r="X91" s="124"/>
      <c r="Y91" s="170"/>
    </row>
    <row r="92" spans="1:25" ht="18" customHeight="1" x14ac:dyDescent="0.3">
      <c r="A92" s="164" t="s">
        <v>1599</v>
      </c>
      <c r="B92" s="141"/>
      <c r="C92" s="141"/>
      <c r="D92" s="141" t="s">
        <v>1340</v>
      </c>
      <c r="E92" s="140"/>
      <c r="F92" s="140"/>
      <c r="G92" s="140">
        <v>4</v>
      </c>
      <c r="H92" s="140" t="s">
        <v>512</v>
      </c>
      <c r="I92" s="141" t="s">
        <v>1655</v>
      </c>
      <c r="J92" s="143" t="s">
        <v>1340</v>
      </c>
      <c r="K92" s="141" t="s">
        <v>480</v>
      </c>
      <c r="L92" s="141" t="s">
        <v>78</v>
      </c>
      <c r="M92" s="141" t="s">
        <v>1300</v>
      </c>
      <c r="N92" s="145" t="s">
        <v>409</v>
      </c>
      <c r="O92" s="147"/>
      <c r="P92" s="140" t="s">
        <v>1287</v>
      </c>
      <c r="Q92" s="142"/>
      <c r="R92" s="142"/>
      <c r="S92" s="140"/>
      <c r="T92" s="140"/>
      <c r="U92" s="140"/>
      <c r="V92" s="149" t="s">
        <v>2106</v>
      </c>
      <c r="W92" s="143" t="s">
        <v>1341</v>
      </c>
      <c r="X92" s="143" t="s">
        <v>1342</v>
      </c>
      <c r="Y92" s="172"/>
    </row>
    <row r="93" spans="1:25" ht="18" customHeight="1" x14ac:dyDescent="0.3">
      <c r="A93" s="163" t="s">
        <v>1600</v>
      </c>
      <c r="B93" s="137"/>
      <c r="C93" s="137"/>
      <c r="D93" s="137" t="s">
        <v>1343</v>
      </c>
      <c r="E93" s="136"/>
      <c r="F93" s="136"/>
      <c r="G93" s="136">
        <v>4</v>
      </c>
      <c r="H93" s="136" t="s">
        <v>512</v>
      </c>
      <c r="I93" s="137" t="s">
        <v>1655</v>
      </c>
      <c r="J93" s="139" t="s">
        <v>1343</v>
      </c>
      <c r="K93" s="137" t="s">
        <v>480</v>
      </c>
      <c r="L93" s="137" t="s">
        <v>78</v>
      </c>
      <c r="M93" s="137" t="s">
        <v>1300</v>
      </c>
      <c r="N93" s="144" t="s">
        <v>410</v>
      </c>
      <c r="O93" s="146"/>
      <c r="P93" s="136" t="s">
        <v>1287</v>
      </c>
      <c r="Q93" s="138"/>
      <c r="R93" s="138"/>
      <c r="S93" s="136"/>
      <c r="T93" s="136"/>
      <c r="U93" s="136"/>
      <c r="V93" s="148" t="s">
        <v>2106</v>
      </c>
      <c r="W93" s="139" t="s">
        <v>1344</v>
      </c>
      <c r="X93" s="139" t="s">
        <v>1345</v>
      </c>
      <c r="Y93" s="171"/>
    </row>
    <row r="94" spans="1:25" ht="18" customHeight="1" x14ac:dyDescent="0.3">
      <c r="A94" s="164" t="s">
        <v>1601</v>
      </c>
      <c r="B94" s="141"/>
      <c r="C94" s="141"/>
      <c r="D94" s="141" t="s">
        <v>1346</v>
      </c>
      <c r="E94" s="140"/>
      <c r="F94" s="140"/>
      <c r="G94" s="140">
        <v>4</v>
      </c>
      <c r="H94" s="140" t="s">
        <v>512</v>
      </c>
      <c r="I94" s="141" t="s">
        <v>1655</v>
      </c>
      <c r="J94" s="143" t="s">
        <v>1346</v>
      </c>
      <c r="K94" s="141" t="s">
        <v>480</v>
      </c>
      <c r="L94" s="141" t="s">
        <v>78</v>
      </c>
      <c r="M94" s="141" t="s">
        <v>1300</v>
      </c>
      <c r="N94" s="145" t="s">
        <v>411</v>
      </c>
      <c r="O94" s="147"/>
      <c r="P94" s="140" t="s">
        <v>1287</v>
      </c>
      <c r="Q94" s="142"/>
      <c r="R94" s="142"/>
      <c r="S94" s="140"/>
      <c r="T94" s="140"/>
      <c r="U94" s="140"/>
      <c r="V94" s="149" t="s">
        <v>2106</v>
      </c>
      <c r="W94" s="143" t="s">
        <v>1347</v>
      </c>
      <c r="X94" s="143" t="s">
        <v>1348</v>
      </c>
      <c r="Y94" s="172"/>
    </row>
    <row r="95" spans="1:25" ht="18" customHeight="1" x14ac:dyDescent="0.3">
      <c r="A95" s="163" t="s">
        <v>1602</v>
      </c>
      <c r="B95" s="137"/>
      <c r="C95" s="137"/>
      <c r="D95" s="137" t="s">
        <v>1349</v>
      </c>
      <c r="E95" s="136"/>
      <c r="F95" s="136"/>
      <c r="G95" s="136">
        <v>4</v>
      </c>
      <c r="H95" s="136" t="s">
        <v>512</v>
      </c>
      <c r="I95" s="137" t="s">
        <v>1655</v>
      </c>
      <c r="J95" s="139" t="s">
        <v>1349</v>
      </c>
      <c r="K95" s="137" t="s">
        <v>480</v>
      </c>
      <c r="L95" s="137" t="s">
        <v>78</v>
      </c>
      <c r="M95" s="137" t="s">
        <v>1300</v>
      </c>
      <c r="N95" s="144" t="s">
        <v>412</v>
      </c>
      <c r="O95" s="146"/>
      <c r="P95" s="136" t="s">
        <v>1287</v>
      </c>
      <c r="Q95" s="138"/>
      <c r="R95" s="138"/>
      <c r="S95" s="136"/>
      <c r="T95" s="136"/>
      <c r="U95" s="136"/>
      <c r="V95" s="148" t="s">
        <v>2016</v>
      </c>
      <c r="W95" s="139" t="s">
        <v>1327</v>
      </c>
      <c r="X95" s="139" t="s">
        <v>1350</v>
      </c>
      <c r="Y95" s="171"/>
    </row>
    <row r="96" spans="1:25" ht="18" customHeight="1" x14ac:dyDescent="0.3">
      <c r="A96" s="161">
        <v>3</v>
      </c>
      <c r="B96" s="113" t="s">
        <v>391</v>
      </c>
      <c r="C96" s="113"/>
      <c r="D96" s="113"/>
      <c r="E96" s="114"/>
      <c r="F96" s="114"/>
      <c r="G96" s="114">
        <v>2</v>
      </c>
      <c r="H96" s="114" t="s">
        <v>512</v>
      </c>
      <c r="I96" s="113" t="s">
        <v>391</v>
      </c>
      <c r="J96" s="123" t="s">
        <v>391</v>
      </c>
      <c r="K96" s="113"/>
      <c r="L96" s="113"/>
      <c r="M96" s="113"/>
      <c r="N96" s="119" t="s">
        <v>439</v>
      </c>
      <c r="O96" s="121"/>
      <c r="P96" s="114" t="s">
        <v>1287</v>
      </c>
      <c r="Q96" s="115"/>
      <c r="R96" s="115"/>
      <c r="S96" s="114"/>
      <c r="T96" s="114"/>
      <c r="U96" s="114"/>
      <c r="V96" s="126"/>
      <c r="W96" s="123"/>
      <c r="X96" s="123"/>
      <c r="Y96" s="169"/>
    </row>
    <row r="97" spans="1:25" ht="18" customHeight="1" x14ac:dyDescent="0.3">
      <c r="A97" s="162">
        <v>3.01</v>
      </c>
      <c r="B97" s="116"/>
      <c r="C97" s="116" t="s">
        <v>557</v>
      </c>
      <c r="D97" s="116"/>
      <c r="E97" s="117"/>
      <c r="F97" s="117"/>
      <c r="G97" s="117">
        <v>3</v>
      </c>
      <c r="H97" s="117" t="s">
        <v>512</v>
      </c>
      <c r="I97" s="116" t="s">
        <v>557</v>
      </c>
      <c r="J97" s="124" t="s">
        <v>557</v>
      </c>
      <c r="K97" s="116"/>
      <c r="L97" s="116"/>
      <c r="M97" s="116"/>
      <c r="N97" s="120" t="s">
        <v>2050</v>
      </c>
      <c r="O97" s="122"/>
      <c r="P97" s="117" t="s">
        <v>1287</v>
      </c>
      <c r="Q97" s="118"/>
      <c r="R97" s="118"/>
      <c r="S97" s="117"/>
      <c r="T97" s="117"/>
      <c r="U97" s="117"/>
      <c r="V97" s="150"/>
      <c r="W97" s="124"/>
      <c r="X97" s="124"/>
      <c r="Y97" s="170"/>
    </row>
    <row r="98" spans="1:25" ht="18" customHeight="1" x14ac:dyDescent="0.3">
      <c r="A98" s="164" t="s">
        <v>2051</v>
      </c>
      <c r="B98" s="141"/>
      <c r="C98" s="141"/>
      <c r="D98" s="141" t="s">
        <v>298</v>
      </c>
      <c r="E98" s="140"/>
      <c r="F98" s="140"/>
      <c r="G98" s="140">
        <v>4</v>
      </c>
      <c r="H98" s="140" t="s">
        <v>512</v>
      </c>
      <c r="I98" s="141" t="s">
        <v>557</v>
      </c>
      <c r="J98" s="143" t="s">
        <v>298</v>
      </c>
      <c r="K98" s="141" t="s">
        <v>344</v>
      </c>
      <c r="L98" s="141" t="s">
        <v>345</v>
      </c>
      <c r="M98" s="141" t="s">
        <v>559</v>
      </c>
      <c r="N98" s="145" t="s">
        <v>2052</v>
      </c>
      <c r="O98" s="147"/>
      <c r="P98" s="140" t="s">
        <v>1287</v>
      </c>
      <c r="Q98" s="142"/>
      <c r="R98" s="142"/>
      <c r="S98" s="140"/>
      <c r="T98" s="140" t="s">
        <v>1288</v>
      </c>
      <c r="U98" s="140" t="s">
        <v>2053</v>
      </c>
      <c r="V98" s="149" t="s">
        <v>2054</v>
      </c>
      <c r="W98" s="143" t="s">
        <v>560</v>
      </c>
      <c r="X98" s="143" t="s">
        <v>561</v>
      </c>
      <c r="Y98" s="172"/>
    </row>
    <row r="99" spans="1:25" ht="18" customHeight="1" x14ac:dyDescent="0.3">
      <c r="A99" s="163" t="s">
        <v>1845</v>
      </c>
      <c r="B99" s="137"/>
      <c r="C99" s="137"/>
      <c r="D99" s="137" t="s">
        <v>299</v>
      </c>
      <c r="E99" s="136"/>
      <c r="F99" s="136"/>
      <c r="G99" s="136">
        <v>4</v>
      </c>
      <c r="H99" s="136" t="s">
        <v>512</v>
      </c>
      <c r="I99" s="137" t="s">
        <v>557</v>
      </c>
      <c r="J99" s="139" t="s">
        <v>299</v>
      </c>
      <c r="K99" s="137" t="s">
        <v>346</v>
      </c>
      <c r="L99" s="137" t="s">
        <v>347</v>
      </c>
      <c r="M99" s="137" t="s">
        <v>559</v>
      </c>
      <c r="N99" s="144" t="s">
        <v>1704</v>
      </c>
      <c r="O99" s="146"/>
      <c r="P99" s="136" t="s">
        <v>1287</v>
      </c>
      <c r="Q99" s="138"/>
      <c r="R99" s="138"/>
      <c r="S99" s="136"/>
      <c r="T99" s="136" t="s">
        <v>1288</v>
      </c>
      <c r="U99" s="136" t="s">
        <v>2053</v>
      </c>
      <c r="V99" s="148" t="s">
        <v>2055</v>
      </c>
      <c r="W99" s="139" t="s">
        <v>79</v>
      </c>
      <c r="X99" s="139" t="s">
        <v>562</v>
      </c>
      <c r="Y99" s="171"/>
    </row>
    <row r="100" spans="1:25" ht="18" customHeight="1" x14ac:dyDescent="0.3">
      <c r="A100" s="164" t="s">
        <v>1846</v>
      </c>
      <c r="B100" s="141"/>
      <c r="C100" s="141"/>
      <c r="D100" s="141" t="s">
        <v>300</v>
      </c>
      <c r="E100" s="140"/>
      <c r="F100" s="140"/>
      <c r="G100" s="140">
        <v>4</v>
      </c>
      <c r="H100" s="140" t="s">
        <v>512</v>
      </c>
      <c r="I100" s="141" t="s">
        <v>557</v>
      </c>
      <c r="J100" s="143" t="s">
        <v>300</v>
      </c>
      <c r="K100" s="141" t="s">
        <v>346</v>
      </c>
      <c r="L100" s="141" t="s">
        <v>347</v>
      </c>
      <c r="M100" s="141" t="s">
        <v>559</v>
      </c>
      <c r="N100" s="145" t="s">
        <v>1705</v>
      </c>
      <c r="O100" s="147"/>
      <c r="P100" s="140" t="s">
        <v>1287</v>
      </c>
      <c r="Q100" s="142"/>
      <c r="R100" s="142"/>
      <c r="S100" s="140"/>
      <c r="T100" s="140" t="s">
        <v>1288</v>
      </c>
      <c r="U100" s="140" t="s">
        <v>2053</v>
      </c>
      <c r="V100" s="149" t="s">
        <v>2055</v>
      </c>
      <c r="W100" s="143" t="s">
        <v>563</v>
      </c>
      <c r="X100" s="143" t="s">
        <v>564</v>
      </c>
      <c r="Y100" s="172"/>
    </row>
    <row r="101" spans="1:25" ht="18" customHeight="1" x14ac:dyDescent="0.3">
      <c r="A101" s="163" t="s">
        <v>1847</v>
      </c>
      <c r="B101" s="137"/>
      <c r="C101" s="137"/>
      <c r="D101" s="137" t="s">
        <v>301</v>
      </c>
      <c r="E101" s="136"/>
      <c r="F101" s="136"/>
      <c r="G101" s="136">
        <v>4</v>
      </c>
      <c r="H101" s="136" t="s">
        <v>512</v>
      </c>
      <c r="I101" s="137" t="s">
        <v>557</v>
      </c>
      <c r="J101" s="139" t="s">
        <v>301</v>
      </c>
      <c r="K101" s="137" t="s">
        <v>344</v>
      </c>
      <c r="L101" s="137" t="s">
        <v>345</v>
      </c>
      <c r="M101" s="137" t="s">
        <v>559</v>
      </c>
      <c r="N101" s="144" t="s">
        <v>1706</v>
      </c>
      <c r="O101" s="146"/>
      <c r="P101" s="136" t="s">
        <v>1287</v>
      </c>
      <c r="Q101" s="138"/>
      <c r="R101" s="138"/>
      <c r="S101" s="136"/>
      <c r="T101" s="136" t="s">
        <v>1288</v>
      </c>
      <c r="U101" s="136" t="s">
        <v>2053</v>
      </c>
      <c r="V101" s="148" t="s">
        <v>1670</v>
      </c>
      <c r="W101" s="139" t="s">
        <v>560</v>
      </c>
      <c r="X101" s="139" t="s">
        <v>561</v>
      </c>
      <c r="Y101" s="171"/>
    </row>
    <row r="102" spans="1:25" ht="18" customHeight="1" x14ac:dyDescent="0.3">
      <c r="A102" s="164" t="s">
        <v>1848</v>
      </c>
      <c r="B102" s="141"/>
      <c r="C102" s="141"/>
      <c r="D102" s="141" t="s">
        <v>302</v>
      </c>
      <c r="E102" s="140"/>
      <c r="F102" s="140"/>
      <c r="G102" s="140">
        <v>4</v>
      </c>
      <c r="H102" s="140" t="s">
        <v>512</v>
      </c>
      <c r="I102" s="141" t="s">
        <v>557</v>
      </c>
      <c r="J102" s="143" t="s">
        <v>302</v>
      </c>
      <c r="K102" s="141" t="s">
        <v>344</v>
      </c>
      <c r="L102" s="141" t="s">
        <v>345</v>
      </c>
      <c r="M102" s="141" t="s">
        <v>559</v>
      </c>
      <c r="N102" s="145" t="s">
        <v>1707</v>
      </c>
      <c r="O102" s="147"/>
      <c r="P102" s="140" t="s">
        <v>1287</v>
      </c>
      <c r="Q102" s="142"/>
      <c r="R102" s="142"/>
      <c r="S102" s="140"/>
      <c r="T102" s="140" t="s">
        <v>1288</v>
      </c>
      <c r="U102" s="140" t="s">
        <v>2053</v>
      </c>
      <c r="V102" s="149" t="s">
        <v>1670</v>
      </c>
      <c r="W102" s="143" t="s">
        <v>563</v>
      </c>
      <c r="X102" s="143" t="s">
        <v>561</v>
      </c>
      <c r="Y102" s="172"/>
    </row>
    <row r="103" spans="1:25" ht="18" customHeight="1" x14ac:dyDescent="0.3">
      <c r="A103" s="163" t="s">
        <v>1849</v>
      </c>
      <c r="B103" s="137"/>
      <c r="C103" s="137"/>
      <c r="D103" s="137" t="s">
        <v>303</v>
      </c>
      <c r="E103" s="136"/>
      <c r="F103" s="136"/>
      <c r="G103" s="136">
        <v>4</v>
      </c>
      <c r="H103" s="136" t="s">
        <v>512</v>
      </c>
      <c r="I103" s="137" t="s">
        <v>557</v>
      </c>
      <c r="J103" s="139" t="s">
        <v>303</v>
      </c>
      <c r="K103" s="137" t="s">
        <v>344</v>
      </c>
      <c r="L103" s="137" t="s">
        <v>345</v>
      </c>
      <c r="M103" s="137" t="s">
        <v>559</v>
      </c>
      <c r="N103" s="144" t="s">
        <v>1708</v>
      </c>
      <c r="O103" s="146"/>
      <c r="P103" s="136" t="s">
        <v>1287</v>
      </c>
      <c r="Q103" s="138"/>
      <c r="R103" s="138"/>
      <c r="S103" s="136"/>
      <c r="T103" s="136" t="s">
        <v>1288</v>
      </c>
      <c r="U103" s="136" t="s">
        <v>2053</v>
      </c>
      <c r="V103" s="148" t="s">
        <v>2054</v>
      </c>
      <c r="W103" s="139" t="s">
        <v>565</v>
      </c>
      <c r="X103" s="139" t="s">
        <v>566</v>
      </c>
      <c r="Y103" s="171"/>
    </row>
    <row r="104" spans="1:25" ht="18" customHeight="1" x14ac:dyDescent="0.3">
      <c r="A104" s="164" t="s">
        <v>1850</v>
      </c>
      <c r="B104" s="141"/>
      <c r="C104" s="141"/>
      <c r="D104" s="141" t="s">
        <v>304</v>
      </c>
      <c r="E104" s="140"/>
      <c r="F104" s="140"/>
      <c r="G104" s="140">
        <v>4</v>
      </c>
      <c r="H104" s="140" t="s">
        <v>512</v>
      </c>
      <c r="I104" s="141" t="s">
        <v>557</v>
      </c>
      <c r="J104" s="143" t="s">
        <v>304</v>
      </c>
      <c r="K104" s="141" t="s">
        <v>344</v>
      </c>
      <c r="L104" s="141" t="s">
        <v>345</v>
      </c>
      <c r="M104" s="141"/>
      <c r="N104" s="145" t="s">
        <v>1709</v>
      </c>
      <c r="O104" s="147"/>
      <c r="P104" s="140" t="s">
        <v>1287</v>
      </c>
      <c r="Q104" s="142"/>
      <c r="R104" s="142"/>
      <c r="S104" s="140"/>
      <c r="T104" s="140" t="s">
        <v>1288</v>
      </c>
      <c r="U104" s="140" t="s">
        <v>2053</v>
      </c>
      <c r="V104" s="149" t="s">
        <v>1670</v>
      </c>
      <c r="W104" s="143" t="s">
        <v>79</v>
      </c>
      <c r="X104" s="143" t="s">
        <v>567</v>
      </c>
      <c r="Y104" s="172"/>
    </row>
    <row r="105" spans="1:25" ht="18" customHeight="1" x14ac:dyDescent="0.3">
      <c r="A105" s="162">
        <v>3.02</v>
      </c>
      <c r="B105" s="116"/>
      <c r="C105" s="116" t="s">
        <v>568</v>
      </c>
      <c r="D105" s="116"/>
      <c r="E105" s="117"/>
      <c r="F105" s="117"/>
      <c r="G105" s="117">
        <v>3</v>
      </c>
      <c r="H105" s="117" t="s">
        <v>512</v>
      </c>
      <c r="I105" s="116" t="s">
        <v>568</v>
      </c>
      <c r="J105" s="124" t="s">
        <v>568</v>
      </c>
      <c r="K105" s="116"/>
      <c r="L105" s="116"/>
      <c r="M105" s="116"/>
      <c r="N105" s="120" t="s">
        <v>2056</v>
      </c>
      <c r="O105" s="122"/>
      <c r="P105" s="117" t="s">
        <v>1287</v>
      </c>
      <c r="Q105" s="118"/>
      <c r="R105" s="118"/>
      <c r="S105" s="117"/>
      <c r="T105" s="117"/>
      <c r="U105" s="117"/>
      <c r="V105" s="150"/>
      <c r="W105" s="124"/>
      <c r="X105" s="124"/>
      <c r="Y105" s="170"/>
    </row>
    <row r="106" spans="1:25" ht="18" customHeight="1" x14ac:dyDescent="0.3">
      <c r="A106" s="163" t="s">
        <v>1851</v>
      </c>
      <c r="B106" s="137"/>
      <c r="C106" s="137"/>
      <c r="D106" s="137" t="s">
        <v>305</v>
      </c>
      <c r="E106" s="136"/>
      <c r="F106" s="136"/>
      <c r="G106" s="136">
        <v>4</v>
      </c>
      <c r="H106" s="136" t="s">
        <v>512</v>
      </c>
      <c r="I106" s="137" t="s">
        <v>568</v>
      </c>
      <c r="J106" s="139" t="s">
        <v>305</v>
      </c>
      <c r="K106" s="137" t="s">
        <v>330</v>
      </c>
      <c r="L106" s="137" t="s">
        <v>78</v>
      </c>
      <c r="M106" s="137" t="s">
        <v>570</v>
      </c>
      <c r="N106" s="144" t="s">
        <v>1710</v>
      </c>
      <c r="O106" s="146"/>
      <c r="P106" s="136" t="s">
        <v>2025</v>
      </c>
      <c r="Q106" s="138"/>
      <c r="R106" s="138"/>
      <c r="S106" s="136"/>
      <c r="T106" s="136" t="s">
        <v>2053</v>
      </c>
      <c r="U106" s="136" t="s">
        <v>2057</v>
      </c>
      <c r="V106" s="148" t="s">
        <v>2058</v>
      </c>
      <c r="W106" s="139" t="s">
        <v>79</v>
      </c>
      <c r="X106" s="139" t="s">
        <v>571</v>
      </c>
      <c r="Y106" s="171"/>
    </row>
    <row r="107" spans="1:25" ht="18" customHeight="1" x14ac:dyDescent="0.3">
      <c r="A107" s="164" t="s">
        <v>1852</v>
      </c>
      <c r="B107" s="141"/>
      <c r="C107" s="141"/>
      <c r="D107" s="141" t="s">
        <v>573</v>
      </c>
      <c r="E107" s="140"/>
      <c r="F107" s="140"/>
      <c r="G107" s="140">
        <v>4</v>
      </c>
      <c r="H107" s="140" t="s">
        <v>512</v>
      </c>
      <c r="I107" s="141" t="s">
        <v>568</v>
      </c>
      <c r="J107" s="143" t="s">
        <v>573</v>
      </c>
      <c r="K107" s="141" t="s">
        <v>330</v>
      </c>
      <c r="L107" s="141" t="s">
        <v>78</v>
      </c>
      <c r="M107" s="141" t="s">
        <v>572</v>
      </c>
      <c r="N107" s="145" t="s">
        <v>1711</v>
      </c>
      <c r="O107" s="147"/>
      <c r="P107" s="140" t="s">
        <v>1287</v>
      </c>
      <c r="Q107" s="142"/>
      <c r="R107" s="142"/>
      <c r="S107" s="140"/>
      <c r="T107" s="140" t="s">
        <v>2053</v>
      </c>
      <c r="U107" s="140" t="s">
        <v>2057</v>
      </c>
      <c r="V107" s="149" t="s">
        <v>2059</v>
      </c>
      <c r="W107" s="143" t="s">
        <v>576</v>
      </c>
      <c r="X107" s="143" t="s">
        <v>577</v>
      </c>
      <c r="Y107" s="172"/>
    </row>
    <row r="108" spans="1:25" ht="18" customHeight="1" x14ac:dyDescent="0.3">
      <c r="A108" s="163" t="s">
        <v>1853</v>
      </c>
      <c r="B108" s="137"/>
      <c r="C108" s="137"/>
      <c r="D108" s="137" t="s">
        <v>578</v>
      </c>
      <c r="E108" s="136"/>
      <c r="F108" s="136"/>
      <c r="G108" s="136">
        <v>4</v>
      </c>
      <c r="H108" s="136" t="s">
        <v>512</v>
      </c>
      <c r="I108" s="137" t="s">
        <v>568</v>
      </c>
      <c r="J108" s="139" t="s">
        <v>578</v>
      </c>
      <c r="K108" s="137" t="s">
        <v>330</v>
      </c>
      <c r="L108" s="137" t="s">
        <v>78</v>
      </c>
      <c r="M108" s="137" t="s">
        <v>572</v>
      </c>
      <c r="N108" s="144" t="s">
        <v>1712</v>
      </c>
      <c r="O108" s="146"/>
      <c r="P108" s="136" t="s">
        <v>1287</v>
      </c>
      <c r="Q108" s="138"/>
      <c r="R108" s="138"/>
      <c r="S108" s="136"/>
      <c r="T108" s="136" t="s">
        <v>2053</v>
      </c>
      <c r="U108" s="136" t="s">
        <v>2057</v>
      </c>
      <c r="V108" s="148" t="s">
        <v>2059</v>
      </c>
      <c r="W108" s="139" t="s">
        <v>579</v>
      </c>
      <c r="X108" s="139" t="s">
        <v>577</v>
      </c>
      <c r="Y108" s="171"/>
    </row>
    <row r="109" spans="1:25" ht="18" customHeight="1" x14ac:dyDescent="0.3">
      <c r="A109" s="164" t="s">
        <v>1854</v>
      </c>
      <c r="B109" s="141"/>
      <c r="C109" s="141"/>
      <c r="D109" s="141" t="s">
        <v>580</v>
      </c>
      <c r="E109" s="140"/>
      <c r="F109" s="140"/>
      <c r="G109" s="140">
        <v>4</v>
      </c>
      <c r="H109" s="140" t="s">
        <v>512</v>
      </c>
      <c r="I109" s="141" t="s">
        <v>568</v>
      </c>
      <c r="J109" s="143" t="s">
        <v>580</v>
      </c>
      <c r="K109" s="141" t="s">
        <v>330</v>
      </c>
      <c r="L109" s="141" t="s">
        <v>78</v>
      </c>
      <c r="M109" s="141" t="s">
        <v>572</v>
      </c>
      <c r="N109" s="145" t="s">
        <v>1713</v>
      </c>
      <c r="O109" s="147"/>
      <c r="P109" s="140" t="s">
        <v>2025</v>
      </c>
      <c r="Q109" s="142"/>
      <c r="R109" s="142"/>
      <c r="S109" s="140"/>
      <c r="T109" s="140" t="s">
        <v>2053</v>
      </c>
      <c r="U109" s="140" t="s">
        <v>2057</v>
      </c>
      <c r="V109" s="149" t="s">
        <v>2060</v>
      </c>
      <c r="W109" s="143" t="s">
        <v>581</v>
      </c>
      <c r="X109" s="143" t="s">
        <v>582</v>
      </c>
      <c r="Y109" s="172"/>
    </row>
    <row r="110" spans="1:25" ht="18" customHeight="1" x14ac:dyDescent="0.3">
      <c r="A110" s="163" t="s">
        <v>1855</v>
      </c>
      <c r="B110" s="137"/>
      <c r="C110" s="137"/>
      <c r="D110" s="137" t="s">
        <v>585</v>
      </c>
      <c r="E110" s="136"/>
      <c r="F110" s="136"/>
      <c r="G110" s="136">
        <v>4</v>
      </c>
      <c r="H110" s="136" t="s">
        <v>512</v>
      </c>
      <c r="I110" s="137" t="s">
        <v>568</v>
      </c>
      <c r="J110" s="139" t="s">
        <v>585</v>
      </c>
      <c r="K110" s="137" t="s">
        <v>330</v>
      </c>
      <c r="L110" s="137" t="s">
        <v>78</v>
      </c>
      <c r="M110" s="137" t="s">
        <v>584</v>
      </c>
      <c r="N110" s="144" t="s">
        <v>1714</v>
      </c>
      <c r="O110" s="146"/>
      <c r="P110" s="136" t="s">
        <v>1287</v>
      </c>
      <c r="Q110" s="138"/>
      <c r="R110" s="138"/>
      <c r="S110" s="136"/>
      <c r="T110" s="136" t="s">
        <v>2053</v>
      </c>
      <c r="U110" s="136" t="s">
        <v>2057</v>
      </c>
      <c r="V110" s="148" t="s">
        <v>2059</v>
      </c>
      <c r="W110" s="139" t="s">
        <v>586</v>
      </c>
      <c r="X110" s="139" t="s">
        <v>587</v>
      </c>
      <c r="Y110" s="171"/>
    </row>
    <row r="111" spans="1:25" ht="18" customHeight="1" x14ac:dyDescent="0.3">
      <c r="A111" s="164" t="s">
        <v>1856</v>
      </c>
      <c r="B111" s="141"/>
      <c r="C111" s="141"/>
      <c r="D111" s="141" t="s">
        <v>590</v>
      </c>
      <c r="E111" s="140"/>
      <c r="F111" s="140"/>
      <c r="G111" s="140">
        <v>4</v>
      </c>
      <c r="H111" s="140" t="s">
        <v>512</v>
      </c>
      <c r="I111" s="141" t="s">
        <v>568</v>
      </c>
      <c r="J111" s="143" t="s">
        <v>590</v>
      </c>
      <c r="K111" s="141" t="s">
        <v>330</v>
      </c>
      <c r="L111" s="141" t="s">
        <v>78</v>
      </c>
      <c r="M111" s="141" t="s">
        <v>589</v>
      </c>
      <c r="N111" s="145" t="s">
        <v>1715</v>
      </c>
      <c r="O111" s="147"/>
      <c r="P111" s="140" t="s">
        <v>1287</v>
      </c>
      <c r="Q111" s="142"/>
      <c r="R111" s="142"/>
      <c r="S111" s="140"/>
      <c r="T111" s="140" t="s">
        <v>2053</v>
      </c>
      <c r="U111" s="140" t="s">
        <v>2057</v>
      </c>
      <c r="V111" s="149" t="s">
        <v>2045</v>
      </c>
      <c r="W111" s="143" t="s">
        <v>579</v>
      </c>
      <c r="X111" s="143" t="s">
        <v>587</v>
      </c>
      <c r="Y111" s="172"/>
    </row>
    <row r="112" spans="1:25" ht="18" customHeight="1" x14ac:dyDescent="0.3">
      <c r="A112" s="163" t="s">
        <v>1857</v>
      </c>
      <c r="B112" s="137"/>
      <c r="C112" s="137"/>
      <c r="D112" s="137" t="s">
        <v>307</v>
      </c>
      <c r="E112" s="136"/>
      <c r="F112" s="136"/>
      <c r="G112" s="136">
        <v>4</v>
      </c>
      <c r="H112" s="136" t="s">
        <v>512</v>
      </c>
      <c r="I112" s="137" t="s">
        <v>568</v>
      </c>
      <c r="J112" s="139" t="s">
        <v>307</v>
      </c>
      <c r="K112" s="137" t="s">
        <v>330</v>
      </c>
      <c r="L112" s="137" t="s">
        <v>78</v>
      </c>
      <c r="M112" s="137" t="s">
        <v>441</v>
      </c>
      <c r="N112" s="144" t="s">
        <v>1716</v>
      </c>
      <c r="O112" s="146"/>
      <c r="P112" s="136" t="s">
        <v>1287</v>
      </c>
      <c r="Q112" s="138"/>
      <c r="R112" s="138"/>
      <c r="S112" s="136"/>
      <c r="T112" s="136" t="s">
        <v>2053</v>
      </c>
      <c r="U112" s="136" t="s">
        <v>2057</v>
      </c>
      <c r="V112" s="148" t="s">
        <v>2059</v>
      </c>
      <c r="W112" s="139" t="s">
        <v>591</v>
      </c>
      <c r="X112" s="139" t="s">
        <v>592</v>
      </c>
      <c r="Y112" s="171"/>
    </row>
    <row r="113" spans="1:25" ht="18" customHeight="1" x14ac:dyDescent="0.3">
      <c r="A113" s="164" t="s">
        <v>1858</v>
      </c>
      <c r="B113" s="141"/>
      <c r="C113" s="141"/>
      <c r="D113" s="141" t="s">
        <v>593</v>
      </c>
      <c r="E113" s="140"/>
      <c r="F113" s="140"/>
      <c r="G113" s="140">
        <v>4</v>
      </c>
      <c r="H113" s="140" t="s">
        <v>512</v>
      </c>
      <c r="I113" s="141" t="s">
        <v>568</v>
      </c>
      <c r="J113" s="143" t="s">
        <v>593</v>
      </c>
      <c r="K113" s="141" t="s">
        <v>330</v>
      </c>
      <c r="L113" s="141" t="s">
        <v>78</v>
      </c>
      <c r="M113" s="141" t="s">
        <v>441</v>
      </c>
      <c r="N113" s="145" t="s">
        <v>1717</v>
      </c>
      <c r="O113" s="147"/>
      <c r="P113" s="140" t="s">
        <v>1287</v>
      </c>
      <c r="Q113" s="142"/>
      <c r="R113" s="142"/>
      <c r="S113" s="140"/>
      <c r="T113" s="140" t="s">
        <v>2053</v>
      </c>
      <c r="U113" s="140" t="s">
        <v>2057</v>
      </c>
      <c r="V113" s="149" t="s">
        <v>2059</v>
      </c>
      <c r="W113" s="143" t="s">
        <v>594</v>
      </c>
      <c r="X113" s="143" t="s">
        <v>595</v>
      </c>
      <c r="Y113" s="172"/>
    </row>
    <row r="114" spans="1:25" ht="18" customHeight="1" x14ac:dyDescent="0.3">
      <c r="A114" s="162">
        <v>3.03</v>
      </c>
      <c r="B114" s="116"/>
      <c r="C114" s="116" t="s">
        <v>596</v>
      </c>
      <c r="D114" s="116"/>
      <c r="E114" s="117"/>
      <c r="F114" s="117"/>
      <c r="G114" s="117">
        <v>3</v>
      </c>
      <c r="H114" s="117" t="s">
        <v>512</v>
      </c>
      <c r="I114" s="116" t="s">
        <v>596</v>
      </c>
      <c r="J114" s="124" t="s">
        <v>596</v>
      </c>
      <c r="K114" s="116"/>
      <c r="L114" s="116"/>
      <c r="M114" s="116"/>
      <c r="N114" s="120" t="s">
        <v>2061</v>
      </c>
      <c r="O114" s="122"/>
      <c r="P114" s="117" t="s">
        <v>1287</v>
      </c>
      <c r="Q114" s="118"/>
      <c r="R114" s="118"/>
      <c r="S114" s="117"/>
      <c r="T114" s="117"/>
      <c r="U114" s="117"/>
      <c r="V114" s="150"/>
      <c r="W114" s="124"/>
      <c r="X114" s="124"/>
      <c r="Y114" s="170"/>
    </row>
    <row r="115" spans="1:25" ht="18" customHeight="1" x14ac:dyDescent="0.3">
      <c r="A115" s="163" t="s">
        <v>1859</v>
      </c>
      <c r="B115" s="137"/>
      <c r="C115" s="137"/>
      <c r="D115" s="137" t="s">
        <v>598</v>
      </c>
      <c r="E115" s="136"/>
      <c r="F115" s="136"/>
      <c r="G115" s="136">
        <v>4</v>
      </c>
      <c r="H115" s="136" t="s">
        <v>512</v>
      </c>
      <c r="I115" s="137" t="s">
        <v>596</v>
      </c>
      <c r="J115" s="139" t="s">
        <v>598</v>
      </c>
      <c r="K115" s="137" t="s">
        <v>348</v>
      </c>
      <c r="L115" s="137" t="s">
        <v>78</v>
      </c>
      <c r="M115" s="137" t="s">
        <v>429</v>
      </c>
      <c r="N115" s="144" t="s">
        <v>452</v>
      </c>
      <c r="O115" s="146"/>
      <c r="P115" s="136" t="s">
        <v>1287</v>
      </c>
      <c r="Q115" s="138"/>
      <c r="R115" s="138"/>
      <c r="S115" s="136"/>
      <c r="T115" s="136" t="s">
        <v>2057</v>
      </c>
      <c r="U115" s="136" t="s">
        <v>2062</v>
      </c>
      <c r="V115" s="148" t="s">
        <v>2045</v>
      </c>
      <c r="W115" s="139" t="s">
        <v>599</v>
      </c>
      <c r="X115" s="139" t="s">
        <v>600</v>
      </c>
      <c r="Y115" s="171"/>
    </row>
    <row r="116" spans="1:25" ht="18" customHeight="1" x14ac:dyDescent="0.3">
      <c r="A116" s="164" t="s">
        <v>1860</v>
      </c>
      <c r="B116" s="141"/>
      <c r="C116" s="141"/>
      <c r="D116" s="141" t="s">
        <v>601</v>
      </c>
      <c r="E116" s="140"/>
      <c r="F116" s="140"/>
      <c r="G116" s="140">
        <v>4</v>
      </c>
      <c r="H116" s="140" t="s">
        <v>512</v>
      </c>
      <c r="I116" s="141" t="s">
        <v>596</v>
      </c>
      <c r="J116" s="143" t="s">
        <v>601</v>
      </c>
      <c r="K116" s="141" t="s">
        <v>348</v>
      </c>
      <c r="L116" s="141" t="s">
        <v>78</v>
      </c>
      <c r="M116" s="141" t="s">
        <v>429</v>
      </c>
      <c r="N116" s="145" t="s">
        <v>453</v>
      </c>
      <c r="O116" s="147"/>
      <c r="P116" s="140" t="s">
        <v>1287</v>
      </c>
      <c r="Q116" s="142"/>
      <c r="R116" s="142"/>
      <c r="S116" s="140"/>
      <c r="T116" s="140" t="s">
        <v>2057</v>
      </c>
      <c r="U116" s="140" t="s">
        <v>2062</v>
      </c>
      <c r="V116" s="149" t="s">
        <v>2063</v>
      </c>
      <c r="W116" s="143" t="s">
        <v>579</v>
      </c>
      <c r="X116" s="143" t="s">
        <v>602</v>
      </c>
      <c r="Y116" s="172"/>
    </row>
    <row r="117" spans="1:25" ht="18" customHeight="1" x14ac:dyDescent="0.3">
      <c r="A117" s="163" t="s">
        <v>1861</v>
      </c>
      <c r="B117" s="137"/>
      <c r="C117" s="137"/>
      <c r="D117" s="137" t="s">
        <v>604</v>
      </c>
      <c r="E117" s="136"/>
      <c r="F117" s="136"/>
      <c r="G117" s="136">
        <v>4</v>
      </c>
      <c r="H117" s="136" t="s">
        <v>512</v>
      </c>
      <c r="I117" s="137" t="s">
        <v>596</v>
      </c>
      <c r="J117" s="139" t="s">
        <v>604</v>
      </c>
      <c r="K117" s="137" t="s">
        <v>348</v>
      </c>
      <c r="L117" s="137" t="s">
        <v>78</v>
      </c>
      <c r="M117" s="137" t="s">
        <v>603</v>
      </c>
      <c r="N117" s="144" t="s">
        <v>454</v>
      </c>
      <c r="O117" s="146"/>
      <c r="P117" s="136" t="s">
        <v>1287</v>
      </c>
      <c r="Q117" s="138"/>
      <c r="R117" s="138"/>
      <c r="S117" s="136"/>
      <c r="T117" s="136" t="s">
        <v>2057</v>
      </c>
      <c r="U117" s="136" t="s">
        <v>2062</v>
      </c>
      <c r="V117" s="148" t="s">
        <v>2064</v>
      </c>
      <c r="W117" s="139" t="s">
        <v>605</v>
      </c>
      <c r="X117" s="139" t="s">
        <v>606</v>
      </c>
      <c r="Y117" s="171"/>
    </row>
    <row r="118" spans="1:25" ht="18" customHeight="1" x14ac:dyDescent="0.3">
      <c r="A118" s="164" t="s">
        <v>1862</v>
      </c>
      <c r="B118" s="141"/>
      <c r="C118" s="141"/>
      <c r="D118" s="141" t="s">
        <v>308</v>
      </c>
      <c r="E118" s="140"/>
      <c r="F118" s="140"/>
      <c r="G118" s="140">
        <v>4</v>
      </c>
      <c r="H118" s="140" t="s">
        <v>512</v>
      </c>
      <c r="I118" s="141" t="s">
        <v>596</v>
      </c>
      <c r="J118" s="143" t="s">
        <v>308</v>
      </c>
      <c r="K118" s="141" t="s">
        <v>348</v>
      </c>
      <c r="L118" s="141" t="s">
        <v>78</v>
      </c>
      <c r="M118" s="141" t="s">
        <v>603</v>
      </c>
      <c r="N118" s="145" t="s">
        <v>455</v>
      </c>
      <c r="O118" s="147"/>
      <c r="P118" s="140" t="s">
        <v>1287</v>
      </c>
      <c r="Q118" s="142"/>
      <c r="R118" s="142"/>
      <c r="S118" s="140"/>
      <c r="T118" s="140" t="s">
        <v>2057</v>
      </c>
      <c r="U118" s="140" t="s">
        <v>2062</v>
      </c>
      <c r="V118" s="149" t="s">
        <v>2045</v>
      </c>
      <c r="W118" s="143" t="s">
        <v>605</v>
      </c>
      <c r="X118" s="143" t="s">
        <v>606</v>
      </c>
      <c r="Y118" s="172"/>
    </row>
    <row r="119" spans="1:25" ht="18" customHeight="1" x14ac:dyDescent="0.3">
      <c r="A119" s="163" t="s">
        <v>1863</v>
      </c>
      <c r="B119" s="137"/>
      <c r="C119" s="137"/>
      <c r="D119" s="137" t="s">
        <v>309</v>
      </c>
      <c r="E119" s="136"/>
      <c r="F119" s="136"/>
      <c r="G119" s="136">
        <v>4</v>
      </c>
      <c r="H119" s="136" t="s">
        <v>512</v>
      </c>
      <c r="I119" s="137" t="s">
        <v>596</v>
      </c>
      <c r="J119" s="139" t="s">
        <v>309</v>
      </c>
      <c r="K119" s="137" t="s">
        <v>348</v>
      </c>
      <c r="L119" s="137" t="s">
        <v>78</v>
      </c>
      <c r="M119" s="137" t="s">
        <v>607</v>
      </c>
      <c r="N119" s="144" t="s">
        <v>456</v>
      </c>
      <c r="O119" s="146"/>
      <c r="P119" s="136" t="s">
        <v>1287</v>
      </c>
      <c r="Q119" s="138"/>
      <c r="R119" s="138"/>
      <c r="S119" s="136"/>
      <c r="T119" s="136" t="s">
        <v>2057</v>
      </c>
      <c r="U119" s="136" t="s">
        <v>2062</v>
      </c>
      <c r="V119" s="148" t="s">
        <v>2063</v>
      </c>
      <c r="W119" s="139" t="s">
        <v>579</v>
      </c>
      <c r="X119" s="139" t="s">
        <v>608</v>
      </c>
      <c r="Y119" s="171"/>
    </row>
    <row r="120" spans="1:25" ht="18" customHeight="1" x14ac:dyDescent="0.3">
      <c r="A120" s="164" t="s">
        <v>1864</v>
      </c>
      <c r="B120" s="141"/>
      <c r="C120" s="141"/>
      <c r="D120" s="141" t="s">
        <v>310</v>
      </c>
      <c r="E120" s="140"/>
      <c r="F120" s="140"/>
      <c r="G120" s="140">
        <v>4</v>
      </c>
      <c r="H120" s="140" t="s">
        <v>512</v>
      </c>
      <c r="I120" s="141" t="s">
        <v>596</v>
      </c>
      <c r="J120" s="143" t="s">
        <v>310</v>
      </c>
      <c r="K120" s="141" t="s">
        <v>348</v>
      </c>
      <c r="L120" s="141" t="s">
        <v>78</v>
      </c>
      <c r="M120" s="141" t="s">
        <v>603</v>
      </c>
      <c r="N120" s="145" t="s">
        <v>457</v>
      </c>
      <c r="O120" s="147"/>
      <c r="P120" s="140" t="s">
        <v>1287</v>
      </c>
      <c r="Q120" s="142"/>
      <c r="R120" s="142"/>
      <c r="S120" s="140"/>
      <c r="T120" s="140" t="s">
        <v>2057</v>
      </c>
      <c r="U120" s="140" t="s">
        <v>2062</v>
      </c>
      <c r="V120" s="149" t="s">
        <v>2063</v>
      </c>
      <c r="W120" s="143" t="s">
        <v>579</v>
      </c>
      <c r="X120" s="143" t="s">
        <v>610</v>
      </c>
      <c r="Y120" s="172"/>
    </row>
    <row r="121" spans="1:25" ht="18" customHeight="1" x14ac:dyDescent="0.3">
      <c r="A121" s="163" t="s">
        <v>1865</v>
      </c>
      <c r="B121" s="137"/>
      <c r="C121" s="137"/>
      <c r="D121" s="137" t="s">
        <v>311</v>
      </c>
      <c r="E121" s="136"/>
      <c r="F121" s="136"/>
      <c r="G121" s="136">
        <v>4</v>
      </c>
      <c r="H121" s="136" t="s">
        <v>512</v>
      </c>
      <c r="I121" s="137" t="s">
        <v>596</v>
      </c>
      <c r="J121" s="139" t="s">
        <v>311</v>
      </c>
      <c r="K121" s="137" t="s">
        <v>348</v>
      </c>
      <c r="L121" s="137" t="s">
        <v>78</v>
      </c>
      <c r="M121" s="137" t="s">
        <v>603</v>
      </c>
      <c r="N121" s="144" t="s">
        <v>1718</v>
      </c>
      <c r="O121" s="146"/>
      <c r="P121" s="136" t="s">
        <v>1287</v>
      </c>
      <c r="Q121" s="138"/>
      <c r="R121" s="138"/>
      <c r="S121" s="136"/>
      <c r="T121" s="136" t="s">
        <v>2057</v>
      </c>
      <c r="U121" s="136" t="s">
        <v>2062</v>
      </c>
      <c r="V121" s="148" t="s">
        <v>2063</v>
      </c>
      <c r="W121" s="139" t="s">
        <v>605</v>
      </c>
      <c r="X121" s="139" t="s">
        <v>606</v>
      </c>
      <c r="Y121" s="171"/>
    </row>
    <row r="122" spans="1:25" ht="18" customHeight="1" x14ac:dyDescent="0.3">
      <c r="A122" s="162">
        <v>3.04</v>
      </c>
      <c r="B122" s="116"/>
      <c r="C122" s="116" t="s">
        <v>612</v>
      </c>
      <c r="D122" s="116"/>
      <c r="E122" s="117"/>
      <c r="F122" s="117"/>
      <c r="G122" s="117">
        <v>3</v>
      </c>
      <c r="H122" s="117" t="s">
        <v>512</v>
      </c>
      <c r="I122" s="116" t="s">
        <v>612</v>
      </c>
      <c r="J122" s="124" t="s">
        <v>612</v>
      </c>
      <c r="K122" s="116"/>
      <c r="L122" s="116"/>
      <c r="M122" s="116"/>
      <c r="N122" s="120" t="s">
        <v>2065</v>
      </c>
      <c r="O122" s="122"/>
      <c r="P122" s="117" t="s">
        <v>1287</v>
      </c>
      <c r="Q122" s="118"/>
      <c r="R122" s="118"/>
      <c r="S122" s="117"/>
      <c r="T122" s="117"/>
      <c r="U122" s="117"/>
      <c r="V122" s="150"/>
      <c r="W122" s="124"/>
      <c r="X122" s="124"/>
      <c r="Y122" s="170"/>
    </row>
    <row r="123" spans="1:25" ht="18" customHeight="1" x14ac:dyDescent="0.3">
      <c r="A123" s="164" t="s">
        <v>1866</v>
      </c>
      <c r="B123" s="141"/>
      <c r="C123" s="141"/>
      <c r="D123" s="141" t="s">
        <v>355</v>
      </c>
      <c r="E123" s="140"/>
      <c r="F123" s="140"/>
      <c r="G123" s="140">
        <v>4</v>
      </c>
      <c r="H123" s="140" t="s">
        <v>512</v>
      </c>
      <c r="I123" s="141" t="s">
        <v>612</v>
      </c>
      <c r="J123" s="143" t="s">
        <v>355</v>
      </c>
      <c r="K123" s="141" t="s">
        <v>329</v>
      </c>
      <c r="L123" s="141" t="s">
        <v>78</v>
      </c>
      <c r="M123" s="141" t="s">
        <v>613</v>
      </c>
      <c r="N123" s="145" t="s">
        <v>1720</v>
      </c>
      <c r="O123" s="147"/>
      <c r="P123" s="140" t="s">
        <v>1287</v>
      </c>
      <c r="Q123" s="142"/>
      <c r="R123" s="142"/>
      <c r="S123" s="140"/>
      <c r="T123" s="140"/>
      <c r="U123" s="140"/>
      <c r="V123" s="149" t="s">
        <v>2066</v>
      </c>
      <c r="W123" s="143" t="s">
        <v>605</v>
      </c>
      <c r="X123" s="143" t="s">
        <v>606</v>
      </c>
      <c r="Y123" s="172"/>
    </row>
    <row r="124" spans="1:25" ht="18" customHeight="1" x14ac:dyDescent="0.3">
      <c r="A124" s="163" t="s">
        <v>1867</v>
      </c>
      <c r="B124" s="137"/>
      <c r="C124" s="137"/>
      <c r="D124" s="137" t="s">
        <v>313</v>
      </c>
      <c r="E124" s="136"/>
      <c r="F124" s="136"/>
      <c r="G124" s="136">
        <v>4</v>
      </c>
      <c r="H124" s="136" t="s">
        <v>512</v>
      </c>
      <c r="I124" s="137" t="s">
        <v>612</v>
      </c>
      <c r="J124" s="139" t="s">
        <v>313</v>
      </c>
      <c r="K124" s="137" t="s">
        <v>329</v>
      </c>
      <c r="L124" s="137" t="s">
        <v>78</v>
      </c>
      <c r="M124" s="137" t="s">
        <v>613</v>
      </c>
      <c r="N124" s="144" t="s">
        <v>1721</v>
      </c>
      <c r="O124" s="146"/>
      <c r="P124" s="136" t="s">
        <v>1287</v>
      </c>
      <c r="Q124" s="138"/>
      <c r="R124" s="138"/>
      <c r="S124" s="136"/>
      <c r="T124" s="136"/>
      <c r="U124" s="136"/>
      <c r="V124" s="148" t="s">
        <v>1671</v>
      </c>
      <c r="W124" s="139" t="s">
        <v>614</v>
      </c>
      <c r="X124" s="139" t="s">
        <v>615</v>
      </c>
      <c r="Y124" s="171"/>
    </row>
    <row r="125" spans="1:25" ht="18" customHeight="1" x14ac:dyDescent="0.3">
      <c r="A125" s="164" t="s">
        <v>1868</v>
      </c>
      <c r="B125" s="141"/>
      <c r="C125" s="141"/>
      <c r="D125" s="141" t="s">
        <v>314</v>
      </c>
      <c r="E125" s="140"/>
      <c r="F125" s="140"/>
      <c r="G125" s="140">
        <v>4</v>
      </c>
      <c r="H125" s="140" t="s">
        <v>512</v>
      </c>
      <c r="I125" s="141" t="s">
        <v>612</v>
      </c>
      <c r="J125" s="143" t="s">
        <v>314</v>
      </c>
      <c r="K125" s="141" t="s">
        <v>329</v>
      </c>
      <c r="L125" s="141" t="s">
        <v>78</v>
      </c>
      <c r="M125" s="141" t="s">
        <v>613</v>
      </c>
      <c r="N125" s="145" t="s">
        <v>1722</v>
      </c>
      <c r="O125" s="147"/>
      <c r="P125" s="140" t="s">
        <v>1287</v>
      </c>
      <c r="Q125" s="142"/>
      <c r="R125" s="142"/>
      <c r="S125" s="140"/>
      <c r="T125" s="140"/>
      <c r="U125" s="140"/>
      <c r="V125" s="149" t="s">
        <v>2067</v>
      </c>
      <c r="W125" s="143" t="s">
        <v>616</v>
      </c>
      <c r="X125" s="143" t="s">
        <v>617</v>
      </c>
      <c r="Y125" s="172"/>
    </row>
    <row r="126" spans="1:25" ht="18" customHeight="1" x14ac:dyDescent="0.3">
      <c r="A126" s="163" t="s">
        <v>1869</v>
      </c>
      <c r="B126" s="137"/>
      <c r="C126" s="137"/>
      <c r="D126" s="137" t="s">
        <v>315</v>
      </c>
      <c r="E126" s="136"/>
      <c r="F126" s="136"/>
      <c r="G126" s="136">
        <v>4</v>
      </c>
      <c r="H126" s="136" t="s">
        <v>512</v>
      </c>
      <c r="I126" s="137" t="s">
        <v>612</v>
      </c>
      <c r="J126" s="139" t="s">
        <v>315</v>
      </c>
      <c r="K126" s="137" t="s">
        <v>329</v>
      </c>
      <c r="L126" s="137" t="s">
        <v>78</v>
      </c>
      <c r="M126" s="137" t="s">
        <v>613</v>
      </c>
      <c r="N126" s="144" t="s">
        <v>1723</v>
      </c>
      <c r="O126" s="146"/>
      <c r="P126" s="136" t="s">
        <v>1287</v>
      </c>
      <c r="Q126" s="138"/>
      <c r="R126" s="138"/>
      <c r="S126" s="136"/>
      <c r="T126" s="136"/>
      <c r="U126" s="136"/>
      <c r="V126" s="148" t="s">
        <v>2068</v>
      </c>
      <c r="W126" s="139" t="s">
        <v>581</v>
      </c>
      <c r="X126" s="139" t="s">
        <v>618</v>
      </c>
      <c r="Y126" s="171"/>
    </row>
    <row r="127" spans="1:25" ht="18" customHeight="1" x14ac:dyDescent="0.3">
      <c r="A127" s="162">
        <v>3.05</v>
      </c>
      <c r="B127" s="116"/>
      <c r="C127" s="116" t="s">
        <v>619</v>
      </c>
      <c r="D127" s="116"/>
      <c r="E127" s="117"/>
      <c r="F127" s="117"/>
      <c r="G127" s="117">
        <v>3</v>
      </c>
      <c r="H127" s="117" t="s">
        <v>512</v>
      </c>
      <c r="I127" s="116" t="s">
        <v>619</v>
      </c>
      <c r="J127" s="124" t="s">
        <v>619</v>
      </c>
      <c r="K127" s="116"/>
      <c r="L127" s="116"/>
      <c r="M127" s="116"/>
      <c r="N127" s="120" t="s">
        <v>1961</v>
      </c>
      <c r="O127" s="122"/>
      <c r="P127" s="117" t="s">
        <v>1287</v>
      </c>
      <c r="Q127" s="118"/>
      <c r="R127" s="118"/>
      <c r="S127" s="117"/>
      <c r="T127" s="117"/>
      <c r="U127" s="117"/>
      <c r="V127" s="150"/>
      <c r="W127" s="124"/>
      <c r="X127" s="124"/>
      <c r="Y127" s="170"/>
    </row>
    <row r="128" spans="1:25" ht="18" customHeight="1" x14ac:dyDescent="0.3">
      <c r="A128" s="164" t="s">
        <v>1870</v>
      </c>
      <c r="B128" s="141"/>
      <c r="C128" s="141"/>
      <c r="D128" s="141" t="s">
        <v>620</v>
      </c>
      <c r="E128" s="140"/>
      <c r="F128" s="140"/>
      <c r="G128" s="140">
        <v>4</v>
      </c>
      <c r="H128" s="140" t="s">
        <v>512</v>
      </c>
      <c r="I128" s="141" t="s">
        <v>619</v>
      </c>
      <c r="J128" s="143" t="s">
        <v>620</v>
      </c>
      <c r="K128" s="141" t="s">
        <v>329</v>
      </c>
      <c r="L128" s="141" t="s">
        <v>78</v>
      </c>
      <c r="M128" s="141" t="s">
        <v>613</v>
      </c>
      <c r="N128" s="145" t="s">
        <v>1724</v>
      </c>
      <c r="O128" s="147"/>
      <c r="P128" s="140" t="s">
        <v>1287</v>
      </c>
      <c r="Q128" s="142"/>
      <c r="R128" s="142"/>
      <c r="S128" s="140"/>
      <c r="T128" s="140" t="s">
        <v>2062</v>
      </c>
      <c r="U128" s="140" t="s">
        <v>2069</v>
      </c>
      <c r="V128" s="149" t="s">
        <v>2070</v>
      </c>
      <c r="W128" s="143" t="s">
        <v>581</v>
      </c>
      <c r="X128" s="143" t="s">
        <v>621</v>
      </c>
      <c r="Y128" s="172"/>
    </row>
    <row r="129" spans="1:25" ht="18" customHeight="1" x14ac:dyDescent="0.3">
      <c r="A129" s="163" t="s">
        <v>1871</v>
      </c>
      <c r="B129" s="137"/>
      <c r="C129" s="137"/>
      <c r="D129" s="137" t="s">
        <v>622</v>
      </c>
      <c r="E129" s="136"/>
      <c r="F129" s="136"/>
      <c r="G129" s="136">
        <v>4</v>
      </c>
      <c r="H129" s="136" t="s">
        <v>512</v>
      </c>
      <c r="I129" s="137" t="s">
        <v>619</v>
      </c>
      <c r="J129" s="139" t="s">
        <v>622</v>
      </c>
      <c r="K129" s="137" t="s">
        <v>329</v>
      </c>
      <c r="L129" s="137" t="s">
        <v>78</v>
      </c>
      <c r="M129" s="137" t="s">
        <v>613</v>
      </c>
      <c r="N129" s="144" t="s">
        <v>1725</v>
      </c>
      <c r="O129" s="146"/>
      <c r="P129" s="136" t="s">
        <v>1287</v>
      </c>
      <c r="Q129" s="138"/>
      <c r="R129" s="138"/>
      <c r="S129" s="136"/>
      <c r="T129" s="136" t="s">
        <v>2062</v>
      </c>
      <c r="U129" s="136" t="s">
        <v>2069</v>
      </c>
      <c r="V129" s="148" t="s">
        <v>2071</v>
      </c>
      <c r="W129" s="139" t="s">
        <v>581</v>
      </c>
      <c r="X129" s="139" t="s">
        <v>623</v>
      </c>
      <c r="Y129" s="171"/>
    </row>
    <row r="130" spans="1:25" ht="18" customHeight="1" x14ac:dyDescent="0.3">
      <c r="A130" s="164" t="s">
        <v>1872</v>
      </c>
      <c r="B130" s="141"/>
      <c r="C130" s="141"/>
      <c r="D130" s="141" t="s">
        <v>316</v>
      </c>
      <c r="E130" s="140"/>
      <c r="F130" s="140"/>
      <c r="G130" s="140">
        <v>4</v>
      </c>
      <c r="H130" s="140" t="s">
        <v>512</v>
      </c>
      <c r="I130" s="141" t="s">
        <v>619</v>
      </c>
      <c r="J130" s="143" t="s">
        <v>316</v>
      </c>
      <c r="K130" s="141" t="s">
        <v>329</v>
      </c>
      <c r="L130" s="141" t="s">
        <v>78</v>
      </c>
      <c r="M130" s="141" t="s">
        <v>613</v>
      </c>
      <c r="N130" s="145" t="s">
        <v>1726</v>
      </c>
      <c r="O130" s="147"/>
      <c r="P130" s="140" t="s">
        <v>1287</v>
      </c>
      <c r="Q130" s="142"/>
      <c r="R130" s="142"/>
      <c r="S130" s="140"/>
      <c r="T130" s="140" t="s">
        <v>2062</v>
      </c>
      <c r="U130" s="140" t="s">
        <v>2069</v>
      </c>
      <c r="V130" s="149" t="s">
        <v>2072</v>
      </c>
      <c r="W130" s="143" t="s">
        <v>605</v>
      </c>
      <c r="X130" s="143" t="s">
        <v>624</v>
      </c>
      <c r="Y130" s="172"/>
    </row>
    <row r="131" spans="1:25" ht="18" customHeight="1" x14ac:dyDescent="0.3">
      <c r="A131" s="163" t="s">
        <v>1873</v>
      </c>
      <c r="B131" s="137"/>
      <c r="C131" s="137"/>
      <c r="D131" s="137" t="s">
        <v>625</v>
      </c>
      <c r="E131" s="136"/>
      <c r="F131" s="136"/>
      <c r="G131" s="136">
        <v>4</v>
      </c>
      <c r="H131" s="136" t="s">
        <v>512</v>
      </c>
      <c r="I131" s="137" t="s">
        <v>619</v>
      </c>
      <c r="J131" s="139" t="s">
        <v>625</v>
      </c>
      <c r="K131" s="137" t="s">
        <v>329</v>
      </c>
      <c r="L131" s="137" t="s">
        <v>78</v>
      </c>
      <c r="M131" s="137" t="s">
        <v>613</v>
      </c>
      <c r="N131" s="144" t="s">
        <v>1727</v>
      </c>
      <c r="O131" s="146"/>
      <c r="P131" s="136" t="s">
        <v>1287</v>
      </c>
      <c r="Q131" s="138"/>
      <c r="R131" s="138"/>
      <c r="S131" s="136"/>
      <c r="T131" s="136" t="s">
        <v>2062</v>
      </c>
      <c r="U131" s="136" t="s">
        <v>2069</v>
      </c>
      <c r="V131" s="148" t="s">
        <v>2067</v>
      </c>
      <c r="W131" s="139" t="s">
        <v>626</v>
      </c>
      <c r="X131" s="139" t="s">
        <v>627</v>
      </c>
      <c r="Y131" s="171"/>
    </row>
    <row r="132" spans="1:25" ht="18" customHeight="1" x14ac:dyDescent="0.3">
      <c r="A132" s="164" t="s">
        <v>1874</v>
      </c>
      <c r="B132" s="141"/>
      <c r="C132" s="141"/>
      <c r="D132" s="141" t="s">
        <v>317</v>
      </c>
      <c r="E132" s="140"/>
      <c r="F132" s="140"/>
      <c r="G132" s="140">
        <v>4</v>
      </c>
      <c r="H132" s="140" t="s">
        <v>512</v>
      </c>
      <c r="I132" s="141" t="s">
        <v>619</v>
      </c>
      <c r="J132" s="143" t="s">
        <v>317</v>
      </c>
      <c r="K132" s="141" t="s">
        <v>329</v>
      </c>
      <c r="L132" s="141" t="s">
        <v>78</v>
      </c>
      <c r="M132" s="141" t="s">
        <v>613</v>
      </c>
      <c r="N132" s="145" t="s">
        <v>1728</v>
      </c>
      <c r="O132" s="147"/>
      <c r="P132" s="140" t="s">
        <v>1287</v>
      </c>
      <c r="Q132" s="142"/>
      <c r="R132" s="142"/>
      <c r="S132" s="140"/>
      <c r="T132" s="140" t="s">
        <v>2062</v>
      </c>
      <c r="U132" s="140" t="s">
        <v>2069</v>
      </c>
      <c r="V132" s="149" t="s">
        <v>2072</v>
      </c>
      <c r="W132" s="143" t="s">
        <v>605</v>
      </c>
      <c r="X132" s="143" t="s">
        <v>595</v>
      </c>
      <c r="Y132" s="172"/>
    </row>
    <row r="133" spans="1:25" ht="18" customHeight="1" x14ac:dyDescent="0.3">
      <c r="A133" s="163" t="s">
        <v>1875</v>
      </c>
      <c r="B133" s="137"/>
      <c r="C133" s="137"/>
      <c r="D133" s="137" t="s">
        <v>318</v>
      </c>
      <c r="E133" s="136"/>
      <c r="F133" s="136"/>
      <c r="G133" s="136">
        <v>4</v>
      </c>
      <c r="H133" s="136" t="s">
        <v>512</v>
      </c>
      <c r="I133" s="137" t="s">
        <v>619</v>
      </c>
      <c r="J133" s="139" t="s">
        <v>318</v>
      </c>
      <c r="K133" s="137" t="s">
        <v>329</v>
      </c>
      <c r="L133" s="137" t="s">
        <v>78</v>
      </c>
      <c r="M133" s="137" t="s">
        <v>613</v>
      </c>
      <c r="N133" s="144" t="s">
        <v>1729</v>
      </c>
      <c r="O133" s="146"/>
      <c r="P133" s="136" t="s">
        <v>1287</v>
      </c>
      <c r="Q133" s="138"/>
      <c r="R133" s="138"/>
      <c r="S133" s="136"/>
      <c r="T133" s="136" t="s">
        <v>2062</v>
      </c>
      <c r="U133" s="136" t="s">
        <v>2069</v>
      </c>
      <c r="V133" s="148" t="s">
        <v>2072</v>
      </c>
      <c r="W133" s="139" t="s">
        <v>581</v>
      </c>
      <c r="X133" s="139" t="s">
        <v>621</v>
      </c>
      <c r="Y133" s="171"/>
    </row>
    <row r="134" spans="1:25" ht="18" customHeight="1" x14ac:dyDescent="0.3">
      <c r="A134" s="162">
        <v>3.06</v>
      </c>
      <c r="B134" s="116"/>
      <c r="C134" s="116" t="s">
        <v>628</v>
      </c>
      <c r="D134" s="116"/>
      <c r="E134" s="117"/>
      <c r="F134" s="117"/>
      <c r="G134" s="117">
        <v>3</v>
      </c>
      <c r="H134" s="117" t="s">
        <v>512</v>
      </c>
      <c r="I134" s="116" t="s">
        <v>628</v>
      </c>
      <c r="J134" s="124" t="s">
        <v>628</v>
      </c>
      <c r="K134" s="116"/>
      <c r="L134" s="116"/>
      <c r="M134" s="116"/>
      <c r="N134" s="120" t="s">
        <v>1962</v>
      </c>
      <c r="O134" s="122"/>
      <c r="P134" s="117" t="s">
        <v>2022</v>
      </c>
      <c r="Q134" s="118"/>
      <c r="R134" s="118"/>
      <c r="S134" s="117"/>
      <c r="T134" s="117"/>
      <c r="U134" s="117"/>
      <c r="V134" s="150"/>
      <c r="W134" s="124"/>
      <c r="X134" s="124"/>
      <c r="Y134" s="170"/>
    </row>
    <row r="135" spans="1:25" ht="18" customHeight="1" x14ac:dyDescent="0.3">
      <c r="A135" s="164" t="s">
        <v>1876</v>
      </c>
      <c r="B135" s="141"/>
      <c r="C135" s="141"/>
      <c r="D135" s="141" t="s">
        <v>630</v>
      </c>
      <c r="E135" s="140"/>
      <c r="F135" s="140"/>
      <c r="G135" s="140">
        <v>4</v>
      </c>
      <c r="H135" s="140" t="s">
        <v>512</v>
      </c>
      <c r="I135" s="141" t="s">
        <v>628</v>
      </c>
      <c r="J135" s="143" t="s">
        <v>630</v>
      </c>
      <c r="K135" s="141" t="s">
        <v>349</v>
      </c>
      <c r="L135" s="141" t="s">
        <v>78</v>
      </c>
      <c r="M135" s="141" t="s">
        <v>629</v>
      </c>
      <c r="N135" s="145" t="s">
        <v>1730</v>
      </c>
      <c r="O135" s="147"/>
      <c r="P135" s="140" t="s">
        <v>1287</v>
      </c>
      <c r="Q135" s="142"/>
      <c r="R135" s="142"/>
      <c r="S135" s="140"/>
      <c r="T135" s="140"/>
      <c r="U135" s="140"/>
      <c r="V135" s="149" t="s">
        <v>2073</v>
      </c>
      <c r="W135" s="143" t="s">
        <v>631</v>
      </c>
      <c r="X135" s="143" t="s">
        <v>632</v>
      </c>
      <c r="Y135" s="172"/>
    </row>
    <row r="136" spans="1:25" ht="18" customHeight="1" x14ac:dyDescent="0.3">
      <c r="A136" s="163" t="s">
        <v>1877</v>
      </c>
      <c r="B136" s="137"/>
      <c r="C136" s="137"/>
      <c r="D136" s="137" t="s">
        <v>633</v>
      </c>
      <c r="E136" s="136"/>
      <c r="F136" s="136"/>
      <c r="G136" s="136">
        <v>4</v>
      </c>
      <c r="H136" s="136" t="s">
        <v>512</v>
      </c>
      <c r="I136" s="137" t="s">
        <v>628</v>
      </c>
      <c r="J136" s="139" t="s">
        <v>633</v>
      </c>
      <c r="K136" s="137" t="s">
        <v>349</v>
      </c>
      <c r="L136" s="137" t="s">
        <v>78</v>
      </c>
      <c r="M136" s="137" t="s">
        <v>629</v>
      </c>
      <c r="N136" s="144" t="s">
        <v>1731</v>
      </c>
      <c r="O136" s="146"/>
      <c r="P136" s="136" t="s">
        <v>1287</v>
      </c>
      <c r="Q136" s="138"/>
      <c r="R136" s="138"/>
      <c r="S136" s="136"/>
      <c r="T136" s="136"/>
      <c r="U136" s="136"/>
      <c r="V136" s="148" t="s">
        <v>2073</v>
      </c>
      <c r="W136" s="139" t="s">
        <v>631</v>
      </c>
      <c r="X136" s="139" t="s">
        <v>634</v>
      </c>
      <c r="Y136" s="171"/>
    </row>
    <row r="137" spans="1:25" ht="18" customHeight="1" x14ac:dyDescent="0.3">
      <c r="A137" s="164" t="s">
        <v>1878</v>
      </c>
      <c r="B137" s="141"/>
      <c r="C137" s="141"/>
      <c r="D137" s="141" t="s">
        <v>319</v>
      </c>
      <c r="E137" s="140"/>
      <c r="F137" s="140"/>
      <c r="G137" s="140">
        <v>4</v>
      </c>
      <c r="H137" s="140" t="s">
        <v>512</v>
      </c>
      <c r="I137" s="141" t="s">
        <v>628</v>
      </c>
      <c r="J137" s="143" t="s">
        <v>319</v>
      </c>
      <c r="K137" s="141" t="s">
        <v>349</v>
      </c>
      <c r="L137" s="141" t="s">
        <v>78</v>
      </c>
      <c r="M137" s="141" t="s">
        <v>529</v>
      </c>
      <c r="N137" s="145" t="s">
        <v>1732</v>
      </c>
      <c r="O137" s="147"/>
      <c r="P137" s="140" t="s">
        <v>1287</v>
      </c>
      <c r="Q137" s="142"/>
      <c r="R137" s="142"/>
      <c r="S137" s="140"/>
      <c r="T137" s="140"/>
      <c r="U137" s="140"/>
      <c r="V137" s="149" t="s">
        <v>2073</v>
      </c>
      <c r="W137" s="143" t="s">
        <v>635</v>
      </c>
      <c r="X137" s="143" t="s">
        <v>636</v>
      </c>
      <c r="Y137" s="172"/>
    </row>
    <row r="138" spans="1:25" ht="18" customHeight="1" x14ac:dyDescent="0.3">
      <c r="A138" s="163" t="s">
        <v>1879</v>
      </c>
      <c r="B138" s="137"/>
      <c r="C138" s="137"/>
      <c r="D138" s="137" t="s">
        <v>320</v>
      </c>
      <c r="E138" s="136"/>
      <c r="F138" s="136"/>
      <c r="G138" s="136">
        <v>4</v>
      </c>
      <c r="H138" s="136" t="s">
        <v>512</v>
      </c>
      <c r="I138" s="137" t="s">
        <v>628</v>
      </c>
      <c r="J138" s="139" t="s">
        <v>320</v>
      </c>
      <c r="K138" s="137" t="s">
        <v>349</v>
      </c>
      <c r="L138" s="137" t="s">
        <v>78</v>
      </c>
      <c r="M138" s="137" t="s">
        <v>529</v>
      </c>
      <c r="N138" s="144" t="s">
        <v>1733</v>
      </c>
      <c r="O138" s="146"/>
      <c r="P138" s="136" t="s">
        <v>1287</v>
      </c>
      <c r="Q138" s="138"/>
      <c r="R138" s="138"/>
      <c r="S138" s="136"/>
      <c r="T138" s="136"/>
      <c r="U138" s="136"/>
      <c r="V138" s="148" t="s">
        <v>2073</v>
      </c>
      <c r="W138" s="139" t="s">
        <v>637</v>
      </c>
      <c r="X138" s="139" t="s">
        <v>638</v>
      </c>
      <c r="Y138" s="171"/>
    </row>
    <row r="139" spans="1:25" ht="18" customHeight="1" x14ac:dyDescent="0.3">
      <c r="A139" s="164" t="s">
        <v>1880</v>
      </c>
      <c r="B139" s="141"/>
      <c r="C139" s="141"/>
      <c r="D139" s="141" t="s">
        <v>321</v>
      </c>
      <c r="E139" s="140"/>
      <c r="F139" s="140"/>
      <c r="G139" s="140">
        <v>4</v>
      </c>
      <c r="H139" s="140" t="s">
        <v>512</v>
      </c>
      <c r="I139" s="141" t="s">
        <v>628</v>
      </c>
      <c r="J139" s="143" t="s">
        <v>321</v>
      </c>
      <c r="K139" s="141" t="s">
        <v>349</v>
      </c>
      <c r="L139" s="141" t="s">
        <v>78</v>
      </c>
      <c r="M139" s="141" t="s">
        <v>529</v>
      </c>
      <c r="N139" s="145" t="s">
        <v>1734</v>
      </c>
      <c r="O139" s="147"/>
      <c r="P139" s="140" t="s">
        <v>1287</v>
      </c>
      <c r="Q139" s="142"/>
      <c r="R139" s="142"/>
      <c r="S139" s="140"/>
      <c r="T139" s="140"/>
      <c r="U139" s="140"/>
      <c r="V139" s="149" t="s">
        <v>2036</v>
      </c>
      <c r="W139" s="143" t="s">
        <v>79</v>
      </c>
      <c r="X139" s="143" t="s">
        <v>639</v>
      </c>
      <c r="Y139" s="172"/>
    </row>
    <row r="140" spans="1:25" ht="18" customHeight="1" x14ac:dyDescent="0.3">
      <c r="A140" s="163" t="s">
        <v>1881</v>
      </c>
      <c r="B140" s="137"/>
      <c r="C140" s="137"/>
      <c r="D140" s="137" t="s">
        <v>640</v>
      </c>
      <c r="E140" s="136"/>
      <c r="F140" s="136"/>
      <c r="G140" s="136">
        <v>4</v>
      </c>
      <c r="H140" s="136" t="s">
        <v>512</v>
      </c>
      <c r="I140" s="137" t="s">
        <v>628</v>
      </c>
      <c r="J140" s="139" t="s">
        <v>640</v>
      </c>
      <c r="K140" s="137" t="s">
        <v>349</v>
      </c>
      <c r="L140" s="137" t="s">
        <v>78</v>
      </c>
      <c r="M140" s="137" t="s">
        <v>529</v>
      </c>
      <c r="N140" s="144" t="s">
        <v>1735</v>
      </c>
      <c r="O140" s="146"/>
      <c r="P140" s="136" t="s">
        <v>1287</v>
      </c>
      <c r="Q140" s="138"/>
      <c r="R140" s="138"/>
      <c r="S140" s="136"/>
      <c r="T140" s="136"/>
      <c r="U140" s="136"/>
      <c r="V140" s="148" t="s">
        <v>2073</v>
      </c>
      <c r="W140" s="139" t="s">
        <v>579</v>
      </c>
      <c r="X140" s="139" t="s">
        <v>641</v>
      </c>
      <c r="Y140" s="171"/>
    </row>
    <row r="141" spans="1:25" ht="18" customHeight="1" x14ac:dyDescent="0.3">
      <c r="A141" s="162">
        <v>3.07</v>
      </c>
      <c r="B141" s="116"/>
      <c r="C141" s="116" t="s">
        <v>642</v>
      </c>
      <c r="D141" s="116"/>
      <c r="E141" s="117"/>
      <c r="F141" s="117"/>
      <c r="G141" s="117">
        <v>3</v>
      </c>
      <c r="H141" s="117" t="s">
        <v>512</v>
      </c>
      <c r="I141" s="116" t="s">
        <v>642</v>
      </c>
      <c r="J141" s="124" t="s">
        <v>642</v>
      </c>
      <c r="K141" s="116"/>
      <c r="L141" s="116"/>
      <c r="M141" s="116"/>
      <c r="N141" s="120" t="s">
        <v>1963</v>
      </c>
      <c r="O141" s="122"/>
      <c r="P141" s="117" t="s">
        <v>2031</v>
      </c>
      <c r="Q141" s="118"/>
      <c r="R141" s="118"/>
      <c r="S141" s="117"/>
      <c r="T141" s="117"/>
      <c r="U141" s="117"/>
      <c r="V141" s="150"/>
      <c r="W141" s="124"/>
      <c r="X141" s="124"/>
      <c r="Y141" s="170"/>
    </row>
    <row r="142" spans="1:25" ht="18" customHeight="1" x14ac:dyDescent="0.3">
      <c r="A142" s="164" t="s">
        <v>1882</v>
      </c>
      <c r="B142" s="141"/>
      <c r="C142" s="141"/>
      <c r="D142" s="141" t="s">
        <v>643</v>
      </c>
      <c r="E142" s="140"/>
      <c r="F142" s="140"/>
      <c r="G142" s="140">
        <v>4</v>
      </c>
      <c r="H142" s="140" t="s">
        <v>512</v>
      </c>
      <c r="I142" s="141" t="s">
        <v>642</v>
      </c>
      <c r="J142" s="143" t="s">
        <v>643</v>
      </c>
      <c r="K142" s="141" t="s">
        <v>350</v>
      </c>
      <c r="L142" s="141" t="s">
        <v>78</v>
      </c>
      <c r="M142" s="141" t="s">
        <v>532</v>
      </c>
      <c r="N142" s="145" t="s">
        <v>1736</v>
      </c>
      <c r="O142" s="147"/>
      <c r="P142" s="140" t="s">
        <v>1287</v>
      </c>
      <c r="Q142" s="142"/>
      <c r="R142" s="142"/>
      <c r="S142" s="140"/>
      <c r="T142" s="140"/>
      <c r="U142" s="140"/>
      <c r="V142" s="149" t="s">
        <v>2074</v>
      </c>
      <c r="W142" s="143" t="s">
        <v>644</v>
      </c>
      <c r="X142" s="143" t="s">
        <v>645</v>
      </c>
      <c r="Y142" s="172"/>
    </row>
    <row r="143" spans="1:25" ht="18" customHeight="1" x14ac:dyDescent="0.3">
      <c r="A143" s="163" t="s">
        <v>1883</v>
      </c>
      <c r="B143" s="137"/>
      <c r="C143" s="137"/>
      <c r="D143" s="137" t="s">
        <v>322</v>
      </c>
      <c r="E143" s="136"/>
      <c r="F143" s="136"/>
      <c r="G143" s="136">
        <v>4</v>
      </c>
      <c r="H143" s="136" t="s">
        <v>512</v>
      </c>
      <c r="I143" s="137" t="s">
        <v>642</v>
      </c>
      <c r="J143" s="139" t="s">
        <v>322</v>
      </c>
      <c r="K143" s="137" t="s">
        <v>350</v>
      </c>
      <c r="L143" s="137" t="s">
        <v>78</v>
      </c>
      <c r="M143" s="137" t="s">
        <v>532</v>
      </c>
      <c r="N143" s="144" t="s">
        <v>1737</v>
      </c>
      <c r="O143" s="146"/>
      <c r="P143" s="136" t="s">
        <v>1287</v>
      </c>
      <c r="Q143" s="138"/>
      <c r="R143" s="138"/>
      <c r="S143" s="136"/>
      <c r="T143" s="136"/>
      <c r="U143" s="136"/>
      <c r="V143" s="148" t="s">
        <v>2047</v>
      </c>
      <c r="W143" s="139" t="s">
        <v>644</v>
      </c>
      <c r="X143" s="139" t="s">
        <v>645</v>
      </c>
      <c r="Y143" s="171"/>
    </row>
    <row r="144" spans="1:25" ht="18" customHeight="1" x14ac:dyDescent="0.3">
      <c r="A144" s="164" t="s">
        <v>1884</v>
      </c>
      <c r="B144" s="141"/>
      <c r="C144" s="141"/>
      <c r="D144" s="141" t="s">
        <v>646</v>
      </c>
      <c r="E144" s="140"/>
      <c r="F144" s="140"/>
      <c r="G144" s="140">
        <v>4</v>
      </c>
      <c r="H144" s="140" t="s">
        <v>512</v>
      </c>
      <c r="I144" s="141" t="s">
        <v>642</v>
      </c>
      <c r="J144" s="143" t="s">
        <v>646</v>
      </c>
      <c r="K144" s="141" t="s">
        <v>350</v>
      </c>
      <c r="L144" s="141" t="s">
        <v>78</v>
      </c>
      <c r="M144" s="141" t="s">
        <v>532</v>
      </c>
      <c r="N144" s="145" t="s">
        <v>1738</v>
      </c>
      <c r="O144" s="147"/>
      <c r="P144" s="140" t="s">
        <v>1287</v>
      </c>
      <c r="Q144" s="142"/>
      <c r="R144" s="142"/>
      <c r="S144" s="140"/>
      <c r="T144" s="140"/>
      <c r="U144" s="140"/>
      <c r="V144" s="149" t="s">
        <v>2047</v>
      </c>
      <c r="W144" s="143" t="s">
        <v>579</v>
      </c>
      <c r="X144" s="143" t="s">
        <v>647</v>
      </c>
      <c r="Y144" s="172"/>
    </row>
    <row r="145" spans="1:25" ht="18" customHeight="1" x14ac:dyDescent="0.3">
      <c r="A145" s="163" t="s">
        <v>1885</v>
      </c>
      <c r="B145" s="137"/>
      <c r="C145" s="137"/>
      <c r="D145" s="137" t="s">
        <v>648</v>
      </c>
      <c r="E145" s="136"/>
      <c r="F145" s="136"/>
      <c r="G145" s="136">
        <v>4</v>
      </c>
      <c r="H145" s="136" t="s">
        <v>512</v>
      </c>
      <c r="I145" s="137" t="s">
        <v>642</v>
      </c>
      <c r="J145" s="139" t="s">
        <v>648</v>
      </c>
      <c r="K145" s="137" t="s">
        <v>350</v>
      </c>
      <c r="L145" s="137" t="s">
        <v>78</v>
      </c>
      <c r="M145" s="137" t="s">
        <v>532</v>
      </c>
      <c r="N145" s="144" t="s">
        <v>1739</v>
      </c>
      <c r="O145" s="146"/>
      <c r="P145" s="136" t="s">
        <v>1287</v>
      </c>
      <c r="Q145" s="138"/>
      <c r="R145" s="138"/>
      <c r="S145" s="136"/>
      <c r="T145" s="136"/>
      <c r="U145" s="136"/>
      <c r="V145" s="148" t="s">
        <v>2047</v>
      </c>
      <c r="W145" s="139" t="s">
        <v>649</v>
      </c>
      <c r="X145" s="139" t="s">
        <v>650</v>
      </c>
      <c r="Y145" s="171"/>
    </row>
    <row r="146" spans="1:25" ht="18" customHeight="1" x14ac:dyDescent="0.3">
      <c r="A146" s="164" t="s">
        <v>1886</v>
      </c>
      <c r="B146" s="141"/>
      <c r="C146" s="141"/>
      <c r="D146" s="141" t="s">
        <v>651</v>
      </c>
      <c r="E146" s="140"/>
      <c r="F146" s="140"/>
      <c r="G146" s="140">
        <v>4</v>
      </c>
      <c r="H146" s="140" t="s">
        <v>512</v>
      </c>
      <c r="I146" s="141" t="s">
        <v>642</v>
      </c>
      <c r="J146" s="143" t="s">
        <v>651</v>
      </c>
      <c r="K146" s="141" t="s">
        <v>350</v>
      </c>
      <c r="L146" s="141" t="s">
        <v>78</v>
      </c>
      <c r="M146" s="141" t="s">
        <v>532</v>
      </c>
      <c r="N146" s="145" t="s">
        <v>1740</v>
      </c>
      <c r="O146" s="147"/>
      <c r="P146" s="140" t="s">
        <v>1287</v>
      </c>
      <c r="Q146" s="142"/>
      <c r="R146" s="142"/>
      <c r="S146" s="140"/>
      <c r="T146" s="140"/>
      <c r="U146" s="140"/>
      <c r="V146" s="149" t="s">
        <v>2047</v>
      </c>
      <c r="W146" s="143" t="s">
        <v>652</v>
      </c>
      <c r="X146" s="143" t="s">
        <v>653</v>
      </c>
      <c r="Y146" s="172"/>
    </row>
    <row r="147" spans="1:25" ht="18" customHeight="1" x14ac:dyDescent="0.3">
      <c r="A147" s="163" t="s">
        <v>1887</v>
      </c>
      <c r="B147" s="137"/>
      <c r="C147" s="137"/>
      <c r="D147" s="137" t="s">
        <v>353</v>
      </c>
      <c r="E147" s="136"/>
      <c r="F147" s="136"/>
      <c r="G147" s="136">
        <v>4</v>
      </c>
      <c r="H147" s="136" t="s">
        <v>512</v>
      </c>
      <c r="I147" s="137" t="s">
        <v>642</v>
      </c>
      <c r="J147" s="139" t="s">
        <v>353</v>
      </c>
      <c r="K147" s="137" t="s">
        <v>350</v>
      </c>
      <c r="L147" s="137" t="s">
        <v>78</v>
      </c>
      <c r="M147" s="137" t="s">
        <v>532</v>
      </c>
      <c r="N147" s="144" t="s">
        <v>1741</v>
      </c>
      <c r="O147" s="146"/>
      <c r="P147" s="136" t="s">
        <v>1287</v>
      </c>
      <c r="Q147" s="138"/>
      <c r="R147" s="138"/>
      <c r="S147" s="136"/>
      <c r="T147" s="136"/>
      <c r="U147" s="136"/>
      <c r="V147" s="148" t="s">
        <v>2047</v>
      </c>
      <c r="W147" s="139" t="s">
        <v>652</v>
      </c>
      <c r="X147" s="139" t="s">
        <v>654</v>
      </c>
      <c r="Y147" s="171"/>
    </row>
    <row r="148" spans="1:25" ht="18" customHeight="1" x14ac:dyDescent="0.3">
      <c r="A148" s="164" t="s">
        <v>1888</v>
      </c>
      <c r="B148" s="141"/>
      <c r="C148" s="141"/>
      <c r="D148" s="141" t="s">
        <v>655</v>
      </c>
      <c r="E148" s="140"/>
      <c r="F148" s="140"/>
      <c r="G148" s="140">
        <v>4</v>
      </c>
      <c r="H148" s="140" t="s">
        <v>512</v>
      </c>
      <c r="I148" s="141" t="s">
        <v>642</v>
      </c>
      <c r="J148" s="143" t="s">
        <v>655</v>
      </c>
      <c r="K148" s="141" t="s">
        <v>350</v>
      </c>
      <c r="L148" s="141" t="s">
        <v>78</v>
      </c>
      <c r="M148" s="141" t="s">
        <v>532</v>
      </c>
      <c r="N148" s="145" t="s">
        <v>1742</v>
      </c>
      <c r="O148" s="147"/>
      <c r="P148" s="140" t="s">
        <v>1287</v>
      </c>
      <c r="Q148" s="142"/>
      <c r="R148" s="142"/>
      <c r="S148" s="140"/>
      <c r="T148" s="140"/>
      <c r="U148" s="140"/>
      <c r="V148" s="149" t="s">
        <v>2048</v>
      </c>
      <c r="W148" s="143" t="s">
        <v>649</v>
      </c>
      <c r="X148" s="143" t="s">
        <v>656</v>
      </c>
      <c r="Y148" s="172"/>
    </row>
    <row r="149" spans="1:25" ht="18" customHeight="1" x14ac:dyDescent="0.3">
      <c r="A149" s="163" t="s">
        <v>1889</v>
      </c>
      <c r="B149" s="137"/>
      <c r="C149" s="137"/>
      <c r="D149" s="137" t="s">
        <v>657</v>
      </c>
      <c r="E149" s="136"/>
      <c r="F149" s="136"/>
      <c r="G149" s="136">
        <v>4</v>
      </c>
      <c r="H149" s="136" t="s">
        <v>512</v>
      </c>
      <c r="I149" s="137" t="s">
        <v>642</v>
      </c>
      <c r="J149" s="139" t="s">
        <v>657</v>
      </c>
      <c r="K149" s="137" t="s">
        <v>350</v>
      </c>
      <c r="L149" s="137" t="s">
        <v>78</v>
      </c>
      <c r="M149" s="137" t="s">
        <v>532</v>
      </c>
      <c r="N149" s="144" t="s">
        <v>1743</v>
      </c>
      <c r="O149" s="146"/>
      <c r="P149" s="136" t="s">
        <v>1287</v>
      </c>
      <c r="Q149" s="138"/>
      <c r="R149" s="138"/>
      <c r="S149" s="136"/>
      <c r="T149" s="136"/>
      <c r="U149" s="136"/>
      <c r="V149" s="148" t="s">
        <v>2047</v>
      </c>
      <c r="W149" s="139" t="s">
        <v>79</v>
      </c>
      <c r="X149" s="139" t="s">
        <v>658</v>
      </c>
      <c r="Y149" s="171"/>
    </row>
    <row r="150" spans="1:25" ht="18" customHeight="1" x14ac:dyDescent="0.3">
      <c r="A150" s="162">
        <v>3.08</v>
      </c>
      <c r="B150" s="116"/>
      <c r="C150" s="116" t="s">
        <v>659</v>
      </c>
      <c r="D150" s="116"/>
      <c r="E150" s="117"/>
      <c r="F150" s="117"/>
      <c r="G150" s="117">
        <v>3</v>
      </c>
      <c r="H150" s="117" t="s">
        <v>512</v>
      </c>
      <c r="I150" s="116" t="s">
        <v>659</v>
      </c>
      <c r="J150" s="124" t="s">
        <v>659</v>
      </c>
      <c r="K150" s="116"/>
      <c r="L150" s="116"/>
      <c r="M150" s="116"/>
      <c r="N150" s="120" t="s">
        <v>1964</v>
      </c>
      <c r="O150" s="122"/>
      <c r="P150" s="117" t="s">
        <v>2034</v>
      </c>
      <c r="Q150" s="118"/>
      <c r="R150" s="118"/>
      <c r="S150" s="117"/>
      <c r="T150" s="117"/>
      <c r="U150" s="117"/>
      <c r="V150" s="150"/>
      <c r="W150" s="124"/>
      <c r="X150" s="124"/>
      <c r="Y150" s="170"/>
    </row>
    <row r="151" spans="1:25" ht="18" customHeight="1" x14ac:dyDescent="0.3">
      <c r="A151" s="164" t="s">
        <v>1890</v>
      </c>
      <c r="B151" s="141"/>
      <c r="C151" s="141"/>
      <c r="D151" s="141" t="s">
        <v>661</v>
      </c>
      <c r="E151" s="140"/>
      <c r="F151" s="140"/>
      <c r="G151" s="140">
        <v>4</v>
      </c>
      <c r="H151" s="140" t="s">
        <v>512</v>
      </c>
      <c r="I151" s="141" t="s">
        <v>659</v>
      </c>
      <c r="J151" s="143" t="s">
        <v>661</v>
      </c>
      <c r="K151" s="141" t="s">
        <v>351</v>
      </c>
      <c r="L151" s="141" t="s">
        <v>78</v>
      </c>
      <c r="M151" s="141" t="s">
        <v>660</v>
      </c>
      <c r="N151" s="145" t="s">
        <v>1744</v>
      </c>
      <c r="O151" s="147"/>
      <c r="P151" s="140" t="s">
        <v>1287</v>
      </c>
      <c r="Q151" s="142"/>
      <c r="R151" s="142"/>
      <c r="S151" s="140"/>
      <c r="T151" s="140"/>
      <c r="U151" s="140"/>
      <c r="V151" s="149" t="s">
        <v>2049</v>
      </c>
      <c r="W151" s="143" t="s">
        <v>579</v>
      </c>
      <c r="X151" s="143" t="s">
        <v>641</v>
      </c>
      <c r="Y151" s="172"/>
    </row>
    <row r="152" spans="1:25" ht="18" customHeight="1" x14ac:dyDescent="0.3">
      <c r="A152" s="163" t="s">
        <v>1891</v>
      </c>
      <c r="B152" s="137"/>
      <c r="C152" s="137"/>
      <c r="D152" s="137" t="s">
        <v>662</v>
      </c>
      <c r="E152" s="136"/>
      <c r="F152" s="136"/>
      <c r="G152" s="136">
        <v>4</v>
      </c>
      <c r="H152" s="136" t="s">
        <v>512</v>
      </c>
      <c r="I152" s="137" t="s">
        <v>659</v>
      </c>
      <c r="J152" s="139" t="s">
        <v>662</v>
      </c>
      <c r="K152" s="137" t="s">
        <v>351</v>
      </c>
      <c r="L152" s="137" t="s">
        <v>78</v>
      </c>
      <c r="M152" s="137" t="s">
        <v>660</v>
      </c>
      <c r="N152" s="144" t="s">
        <v>1745</v>
      </c>
      <c r="O152" s="146"/>
      <c r="P152" s="136" t="s">
        <v>1287</v>
      </c>
      <c r="Q152" s="138"/>
      <c r="R152" s="138"/>
      <c r="S152" s="136"/>
      <c r="T152" s="136"/>
      <c r="U152" s="136"/>
      <c r="V152" s="148" t="s">
        <v>2049</v>
      </c>
      <c r="W152" s="139" t="s">
        <v>663</v>
      </c>
      <c r="X152" s="139" t="s">
        <v>664</v>
      </c>
      <c r="Y152" s="171"/>
    </row>
    <row r="153" spans="1:25" ht="18" customHeight="1" x14ac:dyDescent="0.3">
      <c r="A153" s="164" t="s">
        <v>1892</v>
      </c>
      <c r="B153" s="141"/>
      <c r="C153" s="141"/>
      <c r="D153" s="141" t="s">
        <v>665</v>
      </c>
      <c r="E153" s="140"/>
      <c r="F153" s="140"/>
      <c r="G153" s="140">
        <v>4</v>
      </c>
      <c r="H153" s="140" t="s">
        <v>512</v>
      </c>
      <c r="I153" s="141" t="s">
        <v>659</v>
      </c>
      <c r="J153" s="143" t="s">
        <v>665</v>
      </c>
      <c r="K153" s="141" t="s">
        <v>351</v>
      </c>
      <c r="L153" s="141" t="s">
        <v>78</v>
      </c>
      <c r="M153" s="141" t="s">
        <v>660</v>
      </c>
      <c r="N153" s="145" t="s">
        <v>1746</v>
      </c>
      <c r="O153" s="147"/>
      <c r="P153" s="140" t="s">
        <v>2034</v>
      </c>
      <c r="Q153" s="142"/>
      <c r="R153" s="142"/>
      <c r="S153" s="140"/>
      <c r="T153" s="140"/>
      <c r="U153" s="140"/>
      <c r="V153" s="149" t="s">
        <v>2049</v>
      </c>
      <c r="W153" s="143" t="s">
        <v>666</v>
      </c>
      <c r="X153" s="143" t="s">
        <v>667</v>
      </c>
      <c r="Y153" s="172"/>
    </row>
    <row r="154" spans="1:25" ht="18" customHeight="1" x14ac:dyDescent="0.3">
      <c r="A154" s="163" t="s">
        <v>1893</v>
      </c>
      <c r="B154" s="137"/>
      <c r="C154" s="137"/>
      <c r="D154" s="137" t="s">
        <v>668</v>
      </c>
      <c r="E154" s="136"/>
      <c r="F154" s="136"/>
      <c r="G154" s="136">
        <v>4</v>
      </c>
      <c r="H154" s="136" t="s">
        <v>512</v>
      </c>
      <c r="I154" s="137" t="s">
        <v>659</v>
      </c>
      <c r="J154" s="139" t="s">
        <v>668</v>
      </c>
      <c r="K154" s="137" t="s">
        <v>351</v>
      </c>
      <c r="L154" s="137" t="s">
        <v>78</v>
      </c>
      <c r="M154" s="137" t="s">
        <v>660</v>
      </c>
      <c r="N154" s="144" t="s">
        <v>1747</v>
      </c>
      <c r="O154" s="146"/>
      <c r="P154" s="136" t="s">
        <v>1287</v>
      </c>
      <c r="Q154" s="138"/>
      <c r="R154" s="138"/>
      <c r="S154" s="136"/>
      <c r="T154" s="136"/>
      <c r="U154" s="136"/>
      <c r="V154" s="148" t="s">
        <v>2075</v>
      </c>
      <c r="W154" s="139" t="s">
        <v>579</v>
      </c>
      <c r="X154" s="139" t="s">
        <v>669</v>
      </c>
      <c r="Y154" s="171"/>
    </row>
    <row r="155" spans="1:25" ht="18" customHeight="1" x14ac:dyDescent="0.3">
      <c r="A155" s="164" t="s">
        <v>1842</v>
      </c>
      <c r="B155" s="141"/>
      <c r="C155" s="141"/>
      <c r="D155" s="141" t="s">
        <v>670</v>
      </c>
      <c r="E155" s="140"/>
      <c r="F155" s="140"/>
      <c r="G155" s="140">
        <v>4</v>
      </c>
      <c r="H155" s="140" t="s">
        <v>512</v>
      </c>
      <c r="I155" s="141" t="s">
        <v>659</v>
      </c>
      <c r="J155" s="143" t="s">
        <v>670</v>
      </c>
      <c r="K155" s="141" t="s">
        <v>351</v>
      </c>
      <c r="L155" s="141" t="s">
        <v>78</v>
      </c>
      <c r="M155" s="141" t="s">
        <v>660</v>
      </c>
      <c r="N155" s="145" t="s">
        <v>1701</v>
      </c>
      <c r="O155" s="147"/>
      <c r="P155" s="140" t="s">
        <v>1287</v>
      </c>
      <c r="Q155" s="142"/>
      <c r="R155" s="142"/>
      <c r="S155" s="140"/>
      <c r="T155" s="140"/>
      <c r="U155" s="140"/>
      <c r="V155" s="149" t="s">
        <v>2046</v>
      </c>
      <c r="W155" s="143" t="s">
        <v>579</v>
      </c>
      <c r="X155" s="143" t="s">
        <v>650</v>
      </c>
      <c r="Y155" s="172"/>
    </row>
    <row r="156" spans="1:25" ht="18" customHeight="1" x14ac:dyDescent="0.3">
      <c r="A156" s="162">
        <v>3.09</v>
      </c>
      <c r="B156" s="116"/>
      <c r="C156" s="116" t="s">
        <v>671</v>
      </c>
      <c r="D156" s="116"/>
      <c r="E156" s="117"/>
      <c r="F156" s="117"/>
      <c r="G156" s="117">
        <v>3</v>
      </c>
      <c r="H156" s="117" t="s">
        <v>512</v>
      </c>
      <c r="I156" s="116" t="s">
        <v>671</v>
      </c>
      <c r="J156" s="124" t="s">
        <v>671</v>
      </c>
      <c r="K156" s="116"/>
      <c r="L156" s="116"/>
      <c r="M156" s="116"/>
      <c r="N156" s="120" t="s">
        <v>1965</v>
      </c>
      <c r="O156" s="122"/>
      <c r="P156" s="117" t="s">
        <v>2008</v>
      </c>
      <c r="Q156" s="118"/>
      <c r="R156" s="118"/>
      <c r="S156" s="117"/>
      <c r="T156" s="117"/>
      <c r="U156" s="117"/>
      <c r="V156" s="150"/>
      <c r="W156" s="124"/>
      <c r="X156" s="124"/>
      <c r="Y156" s="170"/>
    </row>
    <row r="157" spans="1:25" ht="18" customHeight="1" x14ac:dyDescent="0.3">
      <c r="A157" s="163" t="s">
        <v>1894</v>
      </c>
      <c r="B157" s="137"/>
      <c r="C157" s="137"/>
      <c r="D157" s="137" t="s">
        <v>672</v>
      </c>
      <c r="E157" s="136"/>
      <c r="F157" s="136"/>
      <c r="G157" s="136">
        <v>4</v>
      </c>
      <c r="H157" s="136" t="s">
        <v>512</v>
      </c>
      <c r="I157" s="137" t="s">
        <v>671</v>
      </c>
      <c r="J157" s="139" t="s">
        <v>672</v>
      </c>
      <c r="K157" s="137" t="s">
        <v>351</v>
      </c>
      <c r="L157" s="137" t="s">
        <v>78</v>
      </c>
      <c r="M157" s="137" t="s">
        <v>660</v>
      </c>
      <c r="N157" s="144" t="s">
        <v>1748</v>
      </c>
      <c r="O157" s="146"/>
      <c r="P157" s="136" t="s">
        <v>2008</v>
      </c>
      <c r="Q157" s="138"/>
      <c r="R157" s="138"/>
      <c r="S157" s="136"/>
      <c r="T157" s="136"/>
      <c r="U157" s="136"/>
      <c r="V157" s="148" t="s">
        <v>2076</v>
      </c>
      <c r="W157" s="139" t="s">
        <v>673</v>
      </c>
      <c r="X157" s="139" t="s">
        <v>664</v>
      </c>
      <c r="Y157" s="171"/>
    </row>
    <row r="158" spans="1:25" ht="18" customHeight="1" x14ac:dyDescent="0.3">
      <c r="A158" s="164" t="s">
        <v>1895</v>
      </c>
      <c r="B158" s="141"/>
      <c r="C158" s="141"/>
      <c r="D158" s="141" t="s">
        <v>674</v>
      </c>
      <c r="E158" s="140"/>
      <c r="F158" s="140"/>
      <c r="G158" s="140">
        <v>4</v>
      </c>
      <c r="H158" s="140" t="s">
        <v>512</v>
      </c>
      <c r="I158" s="141" t="s">
        <v>671</v>
      </c>
      <c r="J158" s="143" t="s">
        <v>674</v>
      </c>
      <c r="K158" s="141" t="s">
        <v>351</v>
      </c>
      <c r="L158" s="141" t="s">
        <v>78</v>
      </c>
      <c r="M158" s="141" t="s">
        <v>660</v>
      </c>
      <c r="N158" s="145" t="s">
        <v>1749</v>
      </c>
      <c r="O158" s="147"/>
      <c r="P158" s="140" t="s">
        <v>2008</v>
      </c>
      <c r="Q158" s="142"/>
      <c r="R158" s="142"/>
      <c r="S158" s="140"/>
      <c r="T158" s="140"/>
      <c r="U158" s="140"/>
      <c r="V158" s="149" t="s">
        <v>2076</v>
      </c>
      <c r="W158" s="143" t="s">
        <v>675</v>
      </c>
      <c r="X158" s="143" t="s">
        <v>664</v>
      </c>
      <c r="Y158" s="172"/>
    </row>
    <row r="159" spans="1:25" ht="18" customHeight="1" x14ac:dyDescent="0.3">
      <c r="A159" s="163" t="s">
        <v>1896</v>
      </c>
      <c r="B159" s="137"/>
      <c r="C159" s="137"/>
      <c r="D159" s="137" t="s">
        <v>676</v>
      </c>
      <c r="E159" s="136"/>
      <c r="F159" s="136"/>
      <c r="G159" s="136">
        <v>4</v>
      </c>
      <c r="H159" s="136" t="s">
        <v>512</v>
      </c>
      <c r="I159" s="137" t="s">
        <v>671</v>
      </c>
      <c r="J159" s="139" t="s">
        <v>676</v>
      </c>
      <c r="K159" s="137" t="s">
        <v>351</v>
      </c>
      <c r="L159" s="137" t="s">
        <v>78</v>
      </c>
      <c r="M159" s="137" t="s">
        <v>660</v>
      </c>
      <c r="N159" s="144" t="s">
        <v>1750</v>
      </c>
      <c r="O159" s="146"/>
      <c r="P159" s="136" t="s">
        <v>2008</v>
      </c>
      <c r="Q159" s="138"/>
      <c r="R159" s="138"/>
      <c r="S159" s="136"/>
      <c r="T159" s="136"/>
      <c r="U159" s="136"/>
      <c r="V159" s="148" t="s">
        <v>2076</v>
      </c>
      <c r="W159" s="139" t="s">
        <v>677</v>
      </c>
      <c r="X159" s="139" t="s">
        <v>632</v>
      </c>
      <c r="Y159" s="171"/>
    </row>
    <row r="160" spans="1:25" ht="18" customHeight="1" x14ac:dyDescent="0.3">
      <c r="A160" s="164" t="s">
        <v>1897</v>
      </c>
      <c r="B160" s="141"/>
      <c r="C160" s="141"/>
      <c r="D160" s="141" t="s">
        <v>678</v>
      </c>
      <c r="E160" s="140"/>
      <c r="F160" s="140"/>
      <c r="G160" s="140">
        <v>4</v>
      </c>
      <c r="H160" s="140" t="s">
        <v>512</v>
      </c>
      <c r="I160" s="141" t="s">
        <v>671</v>
      </c>
      <c r="J160" s="143" t="s">
        <v>678</v>
      </c>
      <c r="K160" s="141" t="s">
        <v>351</v>
      </c>
      <c r="L160" s="141" t="s">
        <v>78</v>
      </c>
      <c r="M160" s="141" t="s">
        <v>660</v>
      </c>
      <c r="N160" s="145" t="s">
        <v>1751</v>
      </c>
      <c r="O160" s="147"/>
      <c r="P160" s="140" t="s">
        <v>1287</v>
      </c>
      <c r="Q160" s="142"/>
      <c r="R160" s="142"/>
      <c r="S160" s="140"/>
      <c r="T160" s="140"/>
      <c r="U160" s="140"/>
      <c r="V160" s="149" t="s">
        <v>2076</v>
      </c>
      <c r="W160" s="143" t="s">
        <v>679</v>
      </c>
      <c r="X160" s="143" t="s">
        <v>653</v>
      </c>
      <c r="Y160" s="172"/>
    </row>
    <row r="161" spans="1:25" ht="18" customHeight="1" x14ac:dyDescent="0.3">
      <c r="A161" s="163" t="s">
        <v>1898</v>
      </c>
      <c r="B161" s="137"/>
      <c r="C161" s="137"/>
      <c r="D161" s="137" t="s">
        <v>680</v>
      </c>
      <c r="E161" s="136"/>
      <c r="F161" s="136"/>
      <c r="G161" s="136">
        <v>4</v>
      </c>
      <c r="H161" s="136" t="s">
        <v>512</v>
      </c>
      <c r="I161" s="137" t="s">
        <v>671</v>
      </c>
      <c r="J161" s="139" t="s">
        <v>680</v>
      </c>
      <c r="K161" s="137" t="s">
        <v>351</v>
      </c>
      <c r="L161" s="137" t="s">
        <v>78</v>
      </c>
      <c r="M161" s="137" t="s">
        <v>660</v>
      </c>
      <c r="N161" s="144" t="s">
        <v>1752</v>
      </c>
      <c r="O161" s="146"/>
      <c r="P161" s="136" t="s">
        <v>2008</v>
      </c>
      <c r="Q161" s="138"/>
      <c r="R161" s="138"/>
      <c r="S161" s="136"/>
      <c r="T161" s="136"/>
      <c r="U161" s="136"/>
      <c r="V161" s="148" t="s">
        <v>2076</v>
      </c>
      <c r="W161" s="139" t="s">
        <v>681</v>
      </c>
      <c r="X161" s="139" t="s">
        <v>682</v>
      </c>
      <c r="Y161" s="171"/>
    </row>
    <row r="162" spans="1:25" ht="18" customHeight="1" x14ac:dyDescent="0.3">
      <c r="A162" s="162">
        <v>3.1</v>
      </c>
      <c r="B162" s="116"/>
      <c r="C162" s="116" t="s">
        <v>323</v>
      </c>
      <c r="D162" s="116"/>
      <c r="E162" s="117"/>
      <c r="F162" s="117"/>
      <c r="G162" s="117">
        <v>3</v>
      </c>
      <c r="H162" s="117" t="s">
        <v>512</v>
      </c>
      <c r="I162" s="116" t="s">
        <v>323</v>
      </c>
      <c r="J162" s="124" t="s">
        <v>323</v>
      </c>
      <c r="K162" s="116"/>
      <c r="L162" s="116"/>
      <c r="M162" s="116"/>
      <c r="N162" s="120" t="s">
        <v>1753</v>
      </c>
      <c r="O162" s="122"/>
      <c r="P162" s="117" t="s">
        <v>1287</v>
      </c>
      <c r="Q162" s="118"/>
      <c r="R162" s="118"/>
      <c r="S162" s="117"/>
      <c r="T162" s="117"/>
      <c r="U162" s="117"/>
      <c r="V162" s="150"/>
      <c r="W162" s="124"/>
      <c r="X162" s="124"/>
      <c r="Y162" s="170"/>
    </row>
    <row r="163" spans="1:25" ht="18" customHeight="1" x14ac:dyDescent="0.3">
      <c r="A163" s="165" t="s">
        <v>1899</v>
      </c>
      <c r="B163" s="141"/>
      <c r="C163" s="141"/>
      <c r="D163" s="141" t="s">
        <v>683</v>
      </c>
      <c r="E163" s="140"/>
      <c r="F163" s="140"/>
      <c r="G163" s="140">
        <v>4</v>
      </c>
      <c r="H163" s="140" t="s">
        <v>512</v>
      </c>
      <c r="I163" s="141" t="s">
        <v>323</v>
      </c>
      <c r="J163" s="143" t="s">
        <v>683</v>
      </c>
      <c r="K163" s="141" t="s">
        <v>329</v>
      </c>
      <c r="L163" s="141" t="s">
        <v>78</v>
      </c>
      <c r="M163" s="141" t="s">
        <v>613</v>
      </c>
      <c r="N163" s="145" t="s">
        <v>1754</v>
      </c>
      <c r="O163" s="147"/>
      <c r="P163" s="140" t="s">
        <v>1287</v>
      </c>
      <c r="Q163" s="142"/>
      <c r="R163" s="142"/>
      <c r="S163" s="140"/>
      <c r="T163" s="140" t="s">
        <v>2062</v>
      </c>
      <c r="U163" s="140" t="s">
        <v>2069</v>
      </c>
      <c r="V163" s="149" t="s">
        <v>2077</v>
      </c>
      <c r="W163" s="143" t="s">
        <v>581</v>
      </c>
      <c r="X163" s="143" t="s">
        <v>684</v>
      </c>
      <c r="Y163" s="172"/>
    </row>
    <row r="164" spans="1:25" ht="18" customHeight="1" x14ac:dyDescent="0.3">
      <c r="A164" s="163" t="s">
        <v>1900</v>
      </c>
      <c r="B164" s="137"/>
      <c r="C164" s="137"/>
      <c r="D164" s="137" t="s">
        <v>685</v>
      </c>
      <c r="E164" s="136"/>
      <c r="F164" s="136"/>
      <c r="G164" s="136">
        <v>4</v>
      </c>
      <c r="H164" s="136" t="s">
        <v>512</v>
      </c>
      <c r="I164" s="137" t="s">
        <v>323</v>
      </c>
      <c r="J164" s="139" t="s">
        <v>685</v>
      </c>
      <c r="K164" s="137" t="s">
        <v>329</v>
      </c>
      <c r="L164" s="137" t="s">
        <v>78</v>
      </c>
      <c r="M164" s="137" t="s">
        <v>613</v>
      </c>
      <c r="N164" s="144" t="s">
        <v>1755</v>
      </c>
      <c r="O164" s="146"/>
      <c r="P164" s="136" t="s">
        <v>1287</v>
      </c>
      <c r="Q164" s="138"/>
      <c r="R164" s="138"/>
      <c r="S164" s="136"/>
      <c r="T164" s="136" t="s">
        <v>2062</v>
      </c>
      <c r="U164" s="136" t="s">
        <v>2069</v>
      </c>
      <c r="V164" s="148" t="s">
        <v>2077</v>
      </c>
      <c r="W164" s="139" t="s">
        <v>581</v>
      </c>
      <c r="X164" s="139" t="s">
        <v>624</v>
      </c>
      <c r="Y164" s="171"/>
    </row>
    <row r="165" spans="1:25" ht="18" customHeight="1" x14ac:dyDescent="0.3">
      <c r="A165" s="164" t="s">
        <v>1901</v>
      </c>
      <c r="B165" s="141"/>
      <c r="C165" s="141"/>
      <c r="D165" s="141" t="s">
        <v>686</v>
      </c>
      <c r="E165" s="140"/>
      <c r="F165" s="140"/>
      <c r="G165" s="140">
        <v>4</v>
      </c>
      <c r="H165" s="140" t="s">
        <v>512</v>
      </c>
      <c r="I165" s="141" t="s">
        <v>323</v>
      </c>
      <c r="J165" s="143" t="s">
        <v>686</v>
      </c>
      <c r="K165" s="141" t="s">
        <v>329</v>
      </c>
      <c r="L165" s="141" t="s">
        <v>78</v>
      </c>
      <c r="M165" s="141" t="s">
        <v>613</v>
      </c>
      <c r="N165" s="145" t="s">
        <v>1756</v>
      </c>
      <c r="O165" s="147"/>
      <c r="P165" s="140" t="s">
        <v>1287</v>
      </c>
      <c r="Q165" s="142"/>
      <c r="R165" s="142"/>
      <c r="S165" s="140"/>
      <c r="T165" s="140" t="s">
        <v>2062</v>
      </c>
      <c r="U165" s="140" t="s">
        <v>2069</v>
      </c>
      <c r="V165" s="149" t="s">
        <v>2077</v>
      </c>
      <c r="W165" s="143" t="s">
        <v>581</v>
      </c>
      <c r="X165" s="143" t="s">
        <v>624</v>
      </c>
      <c r="Y165" s="172"/>
    </row>
    <row r="166" spans="1:25" ht="18" customHeight="1" x14ac:dyDescent="0.3">
      <c r="A166" s="163" t="s">
        <v>1902</v>
      </c>
      <c r="B166" s="137"/>
      <c r="C166" s="137"/>
      <c r="D166" s="137" t="s">
        <v>687</v>
      </c>
      <c r="E166" s="136"/>
      <c r="F166" s="136"/>
      <c r="G166" s="136">
        <v>4</v>
      </c>
      <c r="H166" s="136" t="s">
        <v>512</v>
      </c>
      <c r="I166" s="137" t="s">
        <v>323</v>
      </c>
      <c r="J166" s="139" t="s">
        <v>687</v>
      </c>
      <c r="K166" s="137" t="s">
        <v>329</v>
      </c>
      <c r="L166" s="137" t="s">
        <v>78</v>
      </c>
      <c r="M166" s="137" t="s">
        <v>613</v>
      </c>
      <c r="N166" s="144" t="s">
        <v>1757</v>
      </c>
      <c r="O166" s="146"/>
      <c r="P166" s="136" t="s">
        <v>1287</v>
      </c>
      <c r="Q166" s="138"/>
      <c r="R166" s="138"/>
      <c r="S166" s="136"/>
      <c r="T166" s="136" t="s">
        <v>2062</v>
      </c>
      <c r="U166" s="136" t="s">
        <v>2069</v>
      </c>
      <c r="V166" s="148" t="s">
        <v>2077</v>
      </c>
      <c r="W166" s="139" t="s">
        <v>581</v>
      </c>
      <c r="X166" s="139" t="s">
        <v>684</v>
      </c>
      <c r="Y166" s="171"/>
    </row>
    <row r="167" spans="1:25" ht="18" customHeight="1" x14ac:dyDescent="0.3">
      <c r="A167" s="164" t="s">
        <v>1903</v>
      </c>
      <c r="B167" s="141"/>
      <c r="C167" s="141"/>
      <c r="D167" s="141" t="s">
        <v>354</v>
      </c>
      <c r="E167" s="140"/>
      <c r="F167" s="140"/>
      <c r="G167" s="140">
        <v>4</v>
      </c>
      <c r="H167" s="140" t="s">
        <v>512</v>
      </c>
      <c r="I167" s="141" t="s">
        <v>323</v>
      </c>
      <c r="J167" s="143" t="s">
        <v>354</v>
      </c>
      <c r="K167" s="141" t="s">
        <v>329</v>
      </c>
      <c r="L167" s="141" t="s">
        <v>78</v>
      </c>
      <c r="M167" s="141" t="s">
        <v>613</v>
      </c>
      <c r="N167" s="145" t="s">
        <v>1758</v>
      </c>
      <c r="O167" s="147"/>
      <c r="P167" s="140" t="s">
        <v>1287</v>
      </c>
      <c r="Q167" s="142"/>
      <c r="R167" s="142"/>
      <c r="S167" s="140"/>
      <c r="T167" s="140" t="s">
        <v>2062</v>
      </c>
      <c r="U167" s="140" t="s">
        <v>2069</v>
      </c>
      <c r="V167" s="149" t="s">
        <v>2068</v>
      </c>
      <c r="W167" s="143" t="s">
        <v>581</v>
      </c>
      <c r="X167" s="143" t="s">
        <v>618</v>
      </c>
      <c r="Y167" s="172"/>
    </row>
    <row r="168" spans="1:25" ht="18" customHeight="1" x14ac:dyDescent="0.3">
      <c r="A168" s="163" t="s">
        <v>1904</v>
      </c>
      <c r="B168" s="137"/>
      <c r="C168" s="137"/>
      <c r="D168" s="137" t="s">
        <v>688</v>
      </c>
      <c r="E168" s="136"/>
      <c r="F168" s="136"/>
      <c r="G168" s="136">
        <v>4</v>
      </c>
      <c r="H168" s="136" t="s">
        <v>512</v>
      </c>
      <c r="I168" s="137" t="s">
        <v>323</v>
      </c>
      <c r="J168" s="139" t="s">
        <v>688</v>
      </c>
      <c r="K168" s="137" t="s">
        <v>329</v>
      </c>
      <c r="L168" s="137" t="s">
        <v>78</v>
      </c>
      <c r="M168" s="137" t="s">
        <v>613</v>
      </c>
      <c r="N168" s="144" t="s">
        <v>1759</v>
      </c>
      <c r="O168" s="146"/>
      <c r="P168" s="136" t="s">
        <v>1287</v>
      </c>
      <c r="Q168" s="138"/>
      <c r="R168" s="138"/>
      <c r="S168" s="136"/>
      <c r="T168" s="136" t="s">
        <v>2062</v>
      </c>
      <c r="U168" s="136" t="s">
        <v>2069</v>
      </c>
      <c r="V168" s="148" t="s">
        <v>2077</v>
      </c>
      <c r="W168" s="139" t="s">
        <v>579</v>
      </c>
      <c r="X168" s="139" t="s">
        <v>689</v>
      </c>
      <c r="Y168" s="171"/>
    </row>
    <row r="169" spans="1:25" ht="18" customHeight="1" x14ac:dyDescent="0.3">
      <c r="A169" s="162">
        <v>3.11</v>
      </c>
      <c r="B169" s="116"/>
      <c r="C169" s="116" t="s">
        <v>324</v>
      </c>
      <c r="D169" s="116"/>
      <c r="E169" s="117"/>
      <c r="F169" s="117"/>
      <c r="G169" s="117">
        <v>3</v>
      </c>
      <c r="H169" s="117" t="s">
        <v>512</v>
      </c>
      <c r="I169" s="116" t="s">
        <v>324</v>
      </c>
      <c r="J169" s="124" t="s">
        <v>324</v>
      </c>
      <c r="K169" s="116"/>
      <c r="L169" s="116"/>
      <c r="M169" s="116"/>
      <c r="N169" s="120" t="s">
        <v>558</v>
      </c>
      <c r="O169" s="122"/>
      <c r="P169" s="117" t="s">
        <v>1287</v>
      </c>
      <c r="Q169" s="118"/>
      <c r="R169" s="118"/>
      <c r="S169" s="117"/>
      <c r="T169" s="117"/>
      <c r="U169" s="117"/>
      <c r="V169" s="150"/>
      <c r="W169" s="124"/>
      <c r="X169" s="124"/>
      <c r="Y169" s="170"/>
    </row>
    <row r="170" spans="1:25" ht="18" customHeight="1" x14ac:dyDescent="0.3">
      <c r="A170" s="164" t="s">
        <v>1603</v>
      </c>
      <c r="B170" s="141"/>
      <c r="C170" s="141"/>
      <c r="D170" s="141" t="s">
        <v>690</v>
      </c>
      <c r="E170" s="140"/>
      <c r="F170" s="140"/>
      <c r="G170" s="140">
        <v>4</v>
      </c>
      <c r="H170" s="140" t="s">
        <v>512</v>
      </c>
      <c r="I170" s="141" t="s">
        <v>324</v>
      </c>
      <c r="J170" s="143" t="s">
        <v>690</v>
      </c>
      <c r="K170" s="141" t="s">
        <v>329</v>
      </c>
      <c r="L170" s="141" t="s">
        <v>78</v>
      </c>
      <c r="M170" s="141" t="s">
        <v>613</v>
      </c>
      <c r="N170" s="145" t="s">
        <v>413</v>
      </c>
      <c r="O170" s="147"/>
      <c r="P170" s="140" t="s">
        <v>1287</v>
      </c>
      <c r="Q170" s="142"/>
      <c r="R170" s="142"/>
      <c r="S170" s="140"/>
      <c r="T170" s="140"/>
      <c r="U170" s="140"/>
      <c r="V170" s="149" t="s">
        <v>2078</v>
      </c>
      <c r="W170" s="143" t="s">
        <v>691</v>
      </c>
      <c r="X170" s="143" t="s">
        <v>692</v>
      </c>
      <c r="Y170" s="172"/>
    </row>
    <row r="171" spans="1:25" ht="18" customHeight="1" x14ac:dyDescent="0.3">
      <c r="A171" s="163" t="s">
        <v>1604</v>
      </c>
      <c r="B171" s="137"/>
      <c r="C171" s="137"/>
      <c r="D171" s="137" t="s">
        <v>693</v>
      </c>
      <c r="E171" s="136"/>
      <c r="F171" s="136"/>
      <c r="G171" s="136">
        <v>4</v>
      </c>
      <c r="H171" s="136" t="s">
        <v>512</v>
      </c>
      <c r="I171" s="137" t="s">
        <v>324</v>
      </c>
      <c r="J171" s="139" t="s">
        <v>693</v>
      </c>
      <c r="K171" s="137" t="s">
        <v>329</v>
      </c>
      <c r="L171" s="137" t="s">
        <v>78</v>
      </c>
      <c r="M171" s="137" t="s">
        <v>613</v>
      </c>
      <c r="N171" s="144" t="s">
        <v>414</v>
      </c>
      <c r="O171" s="146"/>
      <c r="P171" s="136" t="s">
        <v>1287</v>
      </c>
      <c r="Q171" s="138"/>
      <c r="R171" s="138"/>
      <c r="S171" s="136"/>
      <c r="T171" s="136"/>
      <c r="U171" s="136"/>
      <c r="V171" s="148" t="s">
        <v>2107</v>
      </c>
      <c r="W171" s="139" t="s">
        <v>694</v>
      </c>
      <c r="X171" s="139" t="s">
        <v>695</v>
      </c>
      <c r="Y171" s="171"/>
    </row>
    <row r="172" spans="1:25" ht="18" customHeight="1" x14ac:dyDescent="0.3">
      <c r="A172" s="164" t="s">
        <v>1605</v>
      </c>
      <c r="B172" s="141"/>
      <c r="C172" s="141"/>
      <c r="D172" s="141" t="s">
        <v>696</v>
      </c>
      <c r="E172" s="140"/>
      <c r="F172" s="140"/>
      <c r="G172" s="140">
        <v>4</v>
      </c>
      <c r="H172" s="140" t="s">
        <v>512</v>
      </c>
      <c r="I172" s="141" t="s">
        <v>324</v>
      </c>
      <c r="J172" s="143" t="s">
        <v>696</v>
      </c>
      <c r="K172" s="141" t="s">
        <v>329</v>
      </c>
      <c r="L172" s="141" t="s">
        <v>78</v>
      </c>
      <c r="M172" s="141" t="s">
        <v>613</v>
      </c>
      <c r="N172" s="145" t="s">
        <v>415</v>
      </c>
      <c r="O172" s="147"/>
      <c r="P172" s="140" t="s">
        <v>1287</v>
      </c>
      <c r="Q172" s="142"/>
      <c r="R172" s="142"/>
      <c r="S172" s="140"/>
      <c r="T172" s="140"/>
      <c r="U172" s="140"/>
      <c r="V172" s="149" t="s">
        <v>2107</v>
      </c>
      <c r="W172" s="143" t="s">
        <v>697</v>
      </c>
      <c r="X172" s="143" t="s">
        <v>695</v>
      </c>
      <c r="Y172" s="172"/>
    </row>
    <row r="173" spans="1:25" ht="18" customHeight="1" x14ac:dyDescent="0.3">
      <c r="A173" s="163" t="s">
        <v>1606</v>
      </c>
      <c r="B173" s="137"/>
      <c r="C173" s="137"/>
      <c r="D173" s="137" t="s">
        <v>698</v>
      </c>
      <c r="E173" s="136"/>
      <c r="F173" s="136"/>
      <c r="G173" s="136">
        <v>4</v>
      </c>
      <c r="H173" s="136" t="s">
        <v>512</v>
      </c>
      <c r="I173" s="137" t="s">
        <v>324</v>
      </c>
      <c r="J173" s="139" t="s">
        <v>698</v>
      </c>
      <c r="K173" s="137" t="s">
        <v>329</v>
      </c>
      <c r="L173" s="137" t="s">
        <v>78</v>
      </c>
      <c r="M173" s="137" t="s">
        <v>613</v>
      </c>
      <c r="N173" s="144" t="s">
        <v>416</v>
      </c>
      <c r="O173" s="146"/>
      <c r="P173" s="136" t="s">
        <v>1287</v>
      </c>
      <c r="Q173" s="138"/>
      <c r="R173" s="138"/>
      <c r="S173" s="136"/>
      <c r="T173" s="136"/>
      <c r="U173" s="136"/>
      <c r="V173" s="148" t="s">
        <v>2107</v>
      </c>
      <c r="W173" s="139" t="s">
        <v>699</v>
      </c>
      <c r="X173" s="139" t="s">
        <v>692</v>
      </c>
      <c r="Y173" s="171"/>
    </row>
    <row r="174" spans="1:25" ht="18" customHeight="1" x14ac:dyDescent="0.3">
      <c r="A174" s="162">
        <v>3.12</v>
      </c>
      <c r="B174" s="116"/>
      <c r="C174" s="116" t="s">
        <v>362</v>
      </c>
      <c r="D174" s="116"/>
      <c r="E174" s="117"/>
      <c r="F174" s="117"/>
      <c r="G174" s="117">
        <v>3</v>
      </c>
      <c r="H174" s="117" t="s">
        <v>512</v>
      </c>
      <c r="I174" s="116" t="s">
        <v>362</v>
      </c>
      <c r="J174" s="124" t="s">
        <v>362</v>
      </c>
      <c r="K174" s="116"/>
      <c r="L174" s="116"/>
      <c r="M174" s="116"/>
      <c r="N174" s="120" t="s">
        <v>569</v>
      </c>
      <c r="O174" s="122"/>
      <c r="P174" s="117" t="s">
        <v>1287</v>
      </c>
      <c r="Q174" s="118"/>
      <c r="R174" s="118"/>
      <c r="S174" s="117"/>
      <c r="T174" s="117"/>
      <c r="U174" s="117"/>
      <c r="V174" s="150"/>
      <c r="W174" s="124"/>
      <c r="X174" s="124"/>
      <c r="Y174" s="170"/>
    </row>
    <row r="175" spans="1:25" ht="18" customHeight="1" x14ac:dyDescent="0.3">
      <c r="A175" s="164" t="s">
        <v>1607</v>
      </c>
      <c r="B175" s="141"/>
      <c r="C175" s="141"/>
      <c r="D175" s="141" t="s">
        <v>700</v>
      </c>
      <c r="E175" s="140"/>
      <c r="F175" s="140"/>
      <c r="G175" s="140">
        <v>4</v>
      </c>
      <c r="H175" s="140" t="s">
        <v>512</v>
      </c>
      <c r="I175" s="141" t="s">
        <v>362</v>
      </c>
      <c r="J175" s="143" t="s">
        <v>700</v>
      </c>
      <c r="K175" s="141" t="s">
        <v>352</v>
      </c>
      <c r="L175" s="141" t="s">
        <v>78</v>
      </c>
      <c r="M175" s="141" t="s">
        <v>701</v>
      </c>
      <c r="N175" s="145" t="s">
        <v>417</v>
      </c>
      <c r="O175" s="147"/>
      <c r="P175" s="140" t="s">
        <v>1287</v>
      </c>
      <c r="Q175" s="142"/>
      <c r="R175" s="142"/>
      <c r="S175" s="140"/>
      <c r="T175" s="140"/>
      <c r="U175" s="140"/>
      <c r="V175" s="149" t="s">
        <v>2092</v>
      </c>
      <c r="W175" s="143" t="s">
        <v>702</v>
      </c>
      <c r="X175" s="143" t="s">
        <v>703</v>
      </c>
      <c r="Y175" s="172"/>
    </row>
    <row r="176" spans="1:25" ht="18" customHeight="1" x14ac:dyDescent="0.3">
      <c r="A176" s="163" t="s">
        <v>1608</v>
      </c>
      <c r="B176" s="137"/>
      <c r="C176" s="137"/>
      <c r="D176" s="137" t="s">
        <v>704</v>
      </c>
      <c r="E176" s="136"/>
      <c r="F176" s="136"/>
      <c r="G176" s="136">
        <v>4</v>
      </c>
      <c r="H176" s="136" t="s">
        <v>512</v>
      </c>
      <c r="I176" s="137" t="s">
        <v>362</v>
      </c>
      <c r="J176" s="139" t="s">
        <v>704</v>
      </c>
      <c r="K176" s="137" t="s">
        <v>352</v>
      </c>
      <c r="L176" s="137" t="s">
        <v>78</v>
      </c>
      <c r="M176" s="137" t="s">
        <v>701</v>
      </c>
      <c r="N176" s="144" t="s">
        <v>418</v>
      </c>
      <c r="O176" s="146"/>
      <c r="P176" s="136" t="s">
        <v>1287</v>
      </c>
      <c r="Q176" s="138"/>
      <c r="R176" s="138"/>
      <c r="S176" s="136"/>
      <c r="T176" s="136"/>
      <c r="U176" s="136"/>
      <c r="V176" s="148" t="s">
        <v>2092</v>
      </c>
      <c r="W176" s="139" t="s">
        <v>705</v>
      </c>
      <c r="X176" s="139" t="s">
        <v>706</v>
      </c>
      <c r="Y176" s="171"/>
    </row>
    <row r="177" spans="1:25" ht="18" customHeight="1" x14ac:dyDescent="0.3">
      <c r="A177" s="164" t="s">
        <v>1609</v>
      </c>
      <c r="B177" s="141"/>
      <c r="C177" s="141"/>
      <c r="D177" s="141" t="s">
        <v>707</v>
      </c>
      <c r="E177" s="140"/>
      <c r="F177" s="140"/>
      <c r="G177" s="140">
        <v>4</v>
      </c>
      <c r="H177" s="140" t="s">
        <v>512</v>
      </c>
      <c r="I177" s="141" t="s">
        <v>362</v>
      </c>
      <c r="J177" s="143" t="s">
        <v>707</v>
      </c>
      <c r="K177" s="141" t="s">
        <v>352</v>
      </c>
      <c r="L177" s="141" t="s">
        <v>78</v>
      </c>
      <c r="M177" s="141" t="s">
        <v>701</v>
      </c>
      <c r="N177" s="145" t="s">
        <v>419</v>
      </c>
      <c r="O177" s="147"/>
      <c r="P177" s="140" t="s">
        <v>1287</v>
      </c>
      <c r="Q177" s="142"/>
      <c r="R177" s="142"/>
      <c r="S177" s="140"/>
      <c r="T177" s="140"/>
      <c r="U177" s="140"/>
      <c r="V177" s="149" t="s">
        <v>2092</v>
      </c>
      <c r="W177" s="143" t="s">
        <v>708</v>
      </c>
      <c r="X177" s="143" t="s">
        <v>703</v>
      </c>
      <c r="Y177" s="172"/>
    </row>
    <row r="178" spans="1:25" ht="18" customHeight="1" x14ac:dyDescent="0.3">
      <c r="A178" s="163" t="s">
        <v>1610</v>
      </c>
      <c r="B178" s="137"/>
      <c r="C178" s="137"/>
      <c r="D178" s="137" t="s">
        <v>709</v>
      </c>
      <c r="E178" s="136"/>
      <c r="F178" s="136"/>
      <c r="G178" s="136">
        <v>4</v>
      </c>
      <c r="H178" s="136" t="s">
        <v>512</v>
      </c>
      <c r="I178" s="137" t="s">
        <v>362</v>
      </c>
      <c r="J178" s="139" t="s">
        <v>709</v>
      </c>
      <c r="K178" s="137" t="s">
        <v>352</v>
      </c>
      <c r="L178" s="137" t="s">
        <v>78</v>
      </c>
      <c r="M178" s="137" t="s">
        <v>701</v>
      </c>
      <c r="N178" s="144" t="s">
        <v>420</v>
      </c>
      <c r="O178" s="146"/>
      <c r="P178" s="136" t="s">
        <v>1287</v>
      </c>
      <c r="Q178" s="138"/>
      <c r="R178" s="138"/>
      <c r="S178" s="136"/>
      <c r="T178" s="136"/>
      <c r="U178" s="136"/>
      <c r="V178" s="148" t="s">
        <v>2092</v>
      </c>
      <c r="W178" s="139" t="s">
        <v>710</v>
      </c>
      <c r="X178" s="139" t="s">
        <v>711</v>
      </c>
      <c r="Y178" s="171"/>
    </row>
    <row r="179" spans="1:25" ht="18" customHeight="1" x14ac:dyDescent="0.3">
      <c r="A179" s="164" t="s">
        <v>1611</v>
      </c>
      <c r="B179" s="141"/>
      <c r="C179" s="141"/>
      <c r="D179" s="141" t="s">
        <v>712</v>
      </c>
      <c r="E179" s="140"/>
      <c r="F179" s="140"/>
      <c r="G179" s="140">
        <v>4</v>
      </c>
      <c r="H179" s="140" t="s">
        <v>512</v>
      </c>
      <c r="I179" s="141" t="s">
        <v>362</v>
      </c>
      <c r="J179" s="143" t="s">
        <v>712</v>
      </c>
      <c r="K179" s="141" t="s">
        <v>352</v>
      </c>
      <c r="L179" s="141" t="s">
        <v>78</v>
      </c>
      <c r="M179" s="141" t="s">
        <v>701</v>
      </c>
      <c r="N179" s="145" t="s">
        <v>583</v>
      </c>
      <c r="O179" s="147"/>
      <c r="P179" s="140" t="s">
        <v>1287</v>
      </c>
      <c r="Q179" s="142"/>
      <c r="R179" s="142"/>
      <c r="S179" s="140"/>
      <c r="T179" s="140"/>
      <c r="U179" s="140"/>
      <c r="V179" s="149" t="s">
        <v>2092</v>
      </c>
      <c r="W179" s="143" t="s">
        <v>713</v>
      </c>
      <c r="X179" s="143" t="s">
        <v>714</v>
      </c>
      <c r="Y179" s="172"/>
    </row>
    <row r="180" spans="1:25" ht="18" customHeight="1" x14ac:dyDescent="0.3">
      <c r="A180" s="163" t="s">
        <v>1612</v>
      </c>
      <c r="B180" s="137"/>
      <c r="C180" s="137"/>
      <c r="D180" s="137" t="s">
        <v>715</v>
      </c>
      <c r="E180" s="136"/>
      <c r="F180" s="136"/>
      <c r="G180" s="136">
        <v>4</v>
      </c>
      <c r="H180" s="136" t="s">
        <v>512</v>
      </c>
      <c r="I180" s="137" t="s">
        <v>362</v>
      </c>
      <c r="J180" s="139" t="s">
        <v>715</v>
      </c>
      <c r="K180" s="137" t="s">
        <v>352</v>
      </c>
      <c r="L180" s="137" t="s">
        <v>78</v>
      </c>
      <c r="M180" s="137" t="s">
        <v>701</v>
      </c>
      <c r="N180" s="144" t="s">
        <v>588</v>
      </c>
      <c r="O180" s="146"/>
      <c r="P180" s="136" t="s">
        <v>1287</v>
      </c>
      <c r="Q180" s="138"/>
      <c r="R180" s="138"/>
      <c r="S180" s="136"/>
      <c r="T180" s="136"/>
      <c r="U180" s="136"/>
      <c r="V180" s="148" t="s">
        <v>2092</v>
      </c>
      <c r="W180" s="139" t="s">
        <v>716</v>
      </c>
      <c r="X180" s="139" t="s">
        <v>717</v>
      </c>
      <c r="Y180" s="171"/>
    </row>
    <row r="181" spans="1:25" ht="18" customHeight="1" x14ac:dyDescent="0.3">
      <c r="A181" s="162">
        <v>3.13</v>
      </c>
      <c r="B181" s="116"/>
      <c r="C181" s="116" t="s">
        <v>312</v>
      </c>
      <c r="D181" s="116"/>
      <c r="E181" s="117"/>
      <c r="F181" s="117"/>
      <c r="G181" s="117">
        <v>3</v>
      </c>
      <c r="H181" s="117" t="s">
        <v>512</v>
      </c>
      <c r="I181" s="116" t="s">
        <v>312</v>
      </c>
      <c r="J181" s="124" t="s">
        <v>312</v>
      </c>
      <c r="K181" s="116"/>
      <c r="L181" s="116"/>
      <c r="M181" s="116"/>
      <c r="N181" s="120" t="s">
        <v>597</v>
      </c>
      <c r="O181" s="122"/>
      <c r="P181" s="117" t="s">
        <v>1287</v>
      </c>
      <c r="Q181" s="118"/>
      <c r="R181" s="118"/>
      <c r="S181" s="117"/>
      <c r="T181" s="117"/>
      <c r="U181" s="117"/>
      <c r="V181" s="150"/>
      <c r="W181" s="124"/>
      <c r="X181" s="124"/>
      <c r="Y181" s="170"/>
    </row>
    <row r="182" spans="1:25" ht="18" customHeight="1" x14ac:dyDescent="0.3">
      <c r="A182" s="164" t="s">
        <v>1613</v>
      </c>
      <c r="B182" s="141"/>
      <c r="C182" s="141"/>
      <c r="D182" s="141" t="s">
        <v>1413</v>
      </c>
      <c r="E182" s="140"/>
      <c r="F182" s="140"/>
      <c r="G182" s="140">
        <v>4</v>
      </c>
      <c r="H182" s="140" t="s">
        <v>512</v>
      </c>
      <c r="I182" s="141" t="s">
        <v>312</v>
      </c>
      <c r="J182" s="143" t="s">
        <v>1413</v>
      </c>
      <c r="K182" s="141" t="s">
        <v>480</v>
      </c>
      <c r="L182" s="141" t="s">
        <v>78</v>
      </c>
      <c r="M182" s="141" t="s">
        <v>1353</v>
      </c>
      <c r="N182" s="145" t="s">
        <v>421</v>
      </c>
      <c r="O182" s="147"/>
      <c r="P182" s="140" t="s">
        <v>1287</v>
      </c>
      <c r="Q182" s="142"/>
      <c r="R182" s="142"/>
      <c r="S182" s="140"/>
      <c r="T182" s="140"/>
      <c r="U182" s="140"/>
      <c r="V182" s="149" t="s">
        <v>2079</v>
      </c>
      <c r="W182" s="143" t="s">
        <v>581</v>
      </c>
      <c r="X182" s="143" t="s">
        <v>1414</v>
      </c>
      <c r="Y182" s="172"/>
    </row>
    <row r="183" spans="1:25" ht="18" customHeight="1" x14ac:dyDescent="0.3">
      <c r="A183" s="163" t="s">
        <v>1614</v>
      </c>
      <c r="B183" s="137"/>
      <c r="C183" s="137"/>
      <c r="D183" s="137" t="s">
        <v>1415</v>
      </c>
      <c r="E183" s="136"/>
      <c r="F183" s="136"/>
      <c r="G183" s="136">
        <v>4</v>
      </c>
      <c r="H183" s="136" t="s">
        <v>512</v>
      </c>
      <c r="I183" s="137" t="s">
        <v>312</v>
      </c>
      <c r="J183" s="139" t="s">
        <v>1415</v>
      </c>
      <c r="K183" s="137" t="s">
        <v>480</v>
      </c>
      <c r="L183" s="137" t="s">
        <v>78</v>
      </c>
      <c r="M183" s="137" t="s">
        <v>1353</v>
      </c>
      <c r="N183" s="144" t="s">
        <v>422</v>
      </c>
      <c r="O183" s="146"/>
      <c r="P183" s="136" t="s">
        <v>1287</v>
      </c>
      <c r="Q183" s="138"/>
      <c r="R183" s="138"/>
      <c r="S183" s="136"/>
      <c r="T183" s="136"/>
      <c r="U183" s="136"/>
      <c r="V183" s="148" t="s">
        <v>2080</v>
      </c>
      <c r="W183" s="139" t="s">
        <v>581</v>
      </c>
      <c r="X183" s="139" t="s">
        <v>1416</v>
      </c>
      <c r="Y183" s="171"/>
    </row>
    <row r="184" spans="1:25" ht="18" customHeight="1" x14ac:dyDescent="0.3">
      <c r="A184" s="164" t="s">
        <v>1615</v>
      </c>
      <c r="B184" s="141"/>
      <c r="C184" s="141"/>
      <c r="D184" s="141" t="s">
        <v>1417</v>
      </c>
      <c r="E184" s="140"/>
      <c r="F184" s="140"/>
      <c r="G184" s="140">
        <v>4</v>
      </c>
      <c r="H184" s="140" t="s">
        <v>512</v>
      </c>
      <c r="I184" s="141" t="s">
        <v>312</v>
      </c>
      <c r="J184" s="143" t="s">
        <v>1417</v>
      </c>
      <c r="K184" s="141" t="s">
        <v>480</v>
      </c>
      <c r="L184" s="141" t="s">
        <v>78</v>
      </c>
      <c r="M184" s="141" t="s">
        <v>1300</v>
      </c>
      <c r="N184" s="145" t="s">
        <v>423</v>
      </c>
      <c r="O184" s="147"/>
      <c r="P184" s="140" t="s">
        <v>1287</v>
      </c>
      <c r="Q184" s="142"/>
      <c r="R184" s="142"/>
      <c r="S184" s="140"/>
      <c r="T184" s="140"/>
      <c r="U184" s="140"/>
      <c r="V184" s="149" t="s">
        <v>2016</v>
      </c>
      <c r="W184" s="143" t="s">
        <v>1374</v>
      </c>
      <c r="X184" s="143" t="s">
        <v>1350</v>
      </c>
      <c r="Y184" s="172"/>
    </row>
    <row r="185" spans="1:25" ht="18" customHeight="1" x14ac:dyDescent="0.3">
      <c r="A185" s="163" t="s">
        <v>1616</v>
      </c>
      <c r="B185" s="137"/>
      <c r="C185" s="137"/>
      <c r="D185" s="137" t="s">
        <v>1351</v>
      </c>
      <c r="E185" s="136"/>
      <c r="F185" s="136"/>
      <c r="G185" s="136">
        <v>4</v>
      </c>
      <c r="H185" s="136" t="s">
        <v>512</v>
      </c>
      <c r="I185" s="137" t="s">
        <v>312</v>
      </c>
      <c r="J185" s="139" t="s">
        <v>1351</v>
      </c>
      <c r="K185" s="137" t="s">
        <v>480</v>
      </c>
      <c r="L185" s="137" t="s">
        <v>78</v>
      </c>
      <c r="M185" s="137" t="s">
        <v>1300</v>
      </c>
      <c r="N185" s="144" t="s">
        <v>424</v>
      </c>
      <c r="O185" s="146"/>
      <c r="P185" s="136" t="s">
        <v>1287</v>
      </c>
      <c r="Q185" s="138"/>
      <c r="R185" s="138"/>
      <c r="S185" s="136"/>
      <c r="T185" s="136"/>
      <c r="U185" s="136"/>
      <c r="V185" s="148" t="s">
        <v>2079</v>
      </c>
      <c r="W185" s="139" t="s">
        <v>1295</v>
      </c>
      <c r="X185" s="139" t="s">
        <v>1418</v>
      </c>
      <c r="Y185" s="171"/>
    </row>
    <row r="186" spans="1:25" ht="18" customHeight="1" x14ac:dyDescent="0.3">
      <c r="A186" s="164" t="s">
        <v>1617</v>
      </c>
      <c r="B186" s="141"/>
      <c r="C186" s="141"/>
      <c r="D186" s="141" t="s">
        <v>1354</v>
      </c>
      <c r="E186" s="140"/>
      <c r="F186" s="140"/>
      <c r="G186" s="140">
        <v>4</v>
      </c>
      <c r="H186" s="140" t="s">
        <v>512</v>
      </c>
      <c r="I186" s="141" t="s">
        <v>312</v>
      </c>
      <c r="J186" s="143" t="s">
        <v>1354</v>
      </c>
      <c r="K186" s="141" t="s">
        <v>1352</v>
      </c>
      <c r="L186" s="141" t="s">
        <v>78</v>
      </c>
      <c r="M186" s="141" t="s">
        <v>1353</v>
      </c>
      <c r="N186" s="145" t="s">
        <v>425</v>
      </c>
      <c r="O186" s="147"/>
      <c r="P186" s="140" t="s">
        <v>2025</v>
      </c>
      <c r="Q186" s="142"/>
      <c r="R186" s="142"/>
      <c r="S186" s="140"/>
      <c r="T186" s="140"/>
      <c r="U186" s="140"/>
      <c r="V186" s="149" t="s">
        <v>2081</v>
      </c>
      <c r="W186" s="143" t="s">
        <v>581</v>
      </c>
      <c r="X186" s="143" t="s">
        <v>1419</v>
      </c>
      <c r="Y186" s="172"/>
    </row>
    <row r="187" spans="1:25" ht="18" customHeight="1" x14ac:dyDescent="0.3">
      <c r="A187" s="163" t="s">
        <v>1618</v>
      </c>
      <c r="B187" s="137"/>
      <c r="C187" s="137"/>
      <c r="D187" s="137" t="s">
        <v>1420</v>
      </c>
      <c r="E187" s="136"/>
      <c r="F187" s="136"/>
      <c r="G187" s="136">
        <v>4</v>
      </c>
      <c r="H187" s="136" t="s">
        <v>512</v>
      </c>
      <c r="I187" s="137" t="s">
        <v>312</v>
      </c>
      <c r="J187" s="139" t="s">
        <v>1420</v>
      </c>
      <c r="K187" s="137" t="s">
        <v>1355</v>
      </c>
      <c r="L187" s="137" t="s">
        <v>78</v>
      </c>
      <c r="M187" s="137" t="s">
        <v>1353</v>
      </c>
      <c r="N187" s="144" t="s">
        <v>609</v>
      </c>
      <c r="O187" s="146"/>
      <c r="P187" s="136" t="s">
        <v>1287</v>
      </c>
      <c r="Q187" s="138"/>
      <c r="R187" s="138"/>
      <c r="S187" s="136"/>
      <c r="T187" s="136"/>
      <c r="U187" s="136"/>
      <c r="V187" s="148" t="s">
        <v>2079</v>
      </c>
      <c r="W187" s="139" t="s">
        <v>581</v>
      </c>
      <c r="X187" s="139" t="s">
        <v>1421</v>
      </c>
      <c r="Y187" s="171"/>
    </row>
    <row r="188" spans="1:25" ht="18" customHeight="1" x14ac:dyDescent="0.3">
      <c r="A188" s="164" t="s">
        <v>1619</v>
      </c>
      <c r="B188" s="141"/>
      <c r="C188" s="141"/>
      <c r="D188" s="141" t="s">
        <v>1356</v>
      </c>
      <c r="E188" s="140"/>
      <c r="F188" s="140"/>
      <c r="G188" s="140">
        <v>4</v>
      </c>
      <c r="H188" s="140" t="s">
        <v>512</v>
      </c>
      <c r="I188" s="141" t="s">
        <v>312</v>
      </c>
      <c r="J188" s="143" t="s">
        <v>1356</v>
      </c>
      <c r="K188" s="141" t="s">
        <v>1352</v>
      </c>
      <c r="L188" s="141" t="s">
        <v>78</v>
      </c>
      <c r="M188" s="141" t="s">
        <v>1353</v>
      </c>
      <c r="N188" s="145" t="s">
        <v>611</v>
      </c>
      <c r="O188" s="147"/>
      <c r="P188" s="140" t="s">
        <v>1287</v>
      </c>
      <c r="Q188" s="142"/>
      <c r="R188" s="142"/>
      <c r="S188" s="140"/>
      <c r="T188" s="140"/>
      <c r="U188" s="140"/>
      <c r="V188" s="149" t="s">
        <v>2079</v>
      </c>
      <c r="W188" s="143" t="s">
        <v>1357</v>
      </c>
      <c r="X188" s="143" t="s">
        <v>1405</v>
      </c>
      <c r="Y188" s="172"/>
    </row>
    <row r="189" spans="1:25" ht="18" customHeight="1" x14ac:dyDescent="0.3">
      <c r="A189" s="163" t="s">
        <v>1905</v>
      </c>
      <c r="B189" s="137"/>
      <c r="C189" s="137"/>
      <c r="D189" s="137" t="s">
        <v>1422</v>
      </c>
      <c r="E189" s="136"/>
      <c r="F189" s="136"/>
      <c r="G189" s="136">
        <v>4</v>
      </c>
      <c r="H189" s="136" t="s">
        <v>512</v>
      </c>
      <c r="I189" s="137" t="s">
        <v>312</v>
      </c>
      <c r="J189" s="139" t="s">
        <v>1422</v>
      </c>
      <c r="K189" s="137" t="s">
        <v>1352</v>
      </c>
      <c r="L189" s="137" t="s">
        <v>78</v>
      </c>
      <c r="M189" s="137" t="s">
        <v>1353</v>
      </c>
      <c r="N189" s="144" t="s">
        <v>1760</v>
      </c>
      <c r="O189" s="146"/>
      <c r="P189" s="136" t="s">
        <v>1287</v>
      </c>
      <c r="Q189" s="138"/>
      <c r="R189" s="138"/>
      <c r="S189" s="136"/>
      <c r="T189" s="136"/>
      <c r="U189" s="136"/>
      <c r="V189" s="148" t="s">
        <v>2079</v>
      </c>
      <c r="W189" s="139" t="s">
        <v>1423</v>
      </c>
      <c r="X189" s="139" t="s">
        <v>1424</v>
      </c>
      <c r="Y189" s="171"/>
    </row>
    <row r="190" spans="1:25" ht="18" customHeight="1" x14ac:dyDescent="0.3">
      <c r="A190" s="164" t="s">
        <v>1906</v>
      </c>
      <c r="B190" s="141"/>
      <c r="C190" s="141"/>
      <c r="D190" s="141" t="s">
        <v>1372</v>
      </c>
      <c r="E190" s="140"/>
      <c r="F190" s="140"/>
      <c r="G190" s="140">
        <v>4</v>
      </c>
      <c r="H190" s="140" t="s">
        <v>512</v>
      </c>
      <c r="I190" s="141" t="s">
        <v>312</v>
      </c>
      <c r="J190" s="143" t="s">
        <v>1372</v>
      </c>
      <c r="K190" s="141" t="s">
        <v>1364</v>
      </c>
      <c r="L190" s="141" t="s">
        <v>78</v>
      </c>
      <c r="M190" s="141" t="s">
        <v>1365</v>
      </c>
      <c r="N190" s="145" t="s">
        <v>1761</v>
      </c>
      <c r="O190" s="147"/>
      <c r="P190" s="140" t="s">
        <v>1287</v>
      </c>
      <c r="Q190" s="142"/>
      <c r="R190" s="142"/>
      <c r="S190" s="140"/>
      <c r="T190" s="140"/>
      <c r="U190" s="140"/>
      <c r="V190" s="149" t="s">
        <v>2079</v>
      </c>
      <c r="W190" s="143" t="s">
        <v>1425</v>
      </c>
      <c r="X190" s="143" t="s">
        <v>1366</v>
      </c>
      <c r="Y190" s="172"/>
    </row>
    <row r="191" spans="1:25" ht="18" customHeight="1" x14ac:dyDescent="0.3">
      <c r="A191" s="163" t="s">
        <v>1907</v>
      </c>
      <c r="B191" s="137"/>
      <c r="C191" s="137"/>
      <c r="D191" s="137" t="s">
        <v>1359</v>
      </c>
      <c r="E191" s="136"/>
      <c r="F191" s="136"/>
      <c r="G191" s="136">
        <v>4</v>
      </c>
      <c r="H191" s="136" t="s">
        <v>512</v>
      </c>
      <c r="I191" s="137" t="s">
        <v>312</v>
      </c>
      <c r="J191" s="139" t="s">
        <v>1359</v>
      </c>
      <c r="K191" s="137" t="s">
        <v>1358</v>
      </c>
      <c r="L191" s="137" t="s">
        <v>78</v>
      </c>
      <c r="M191" s="137" t="s">
        <v>1300</v>
      </c>
      <c r="N191" s="144" t="s">
        <v>1762</v>
      </c>
      <c r="O191" s="146"/>
      <c r="P191" s="136" t="s">
        <v>1287</v>
      </c>
      <c r="Q191" s="138"/>
      <c r="R191" s="138"/>
      <c r="S191" s="136"/>
      <c r="T191" s="136"/>
      <c r="U191" s="136"/>
      <c r="V191" s="148" t="s">
        <v>2015</v>
      </c>
      <c r="W191" s="139" t="s">
        <v>1375</v>
      </c>
      <c r="X191" s="139" t="s">
        <v>1385</v>
      </c>
      <c r="Y191" s="171"/>
    </row>
    <row r="192" spans="1:25" ht="18" customHeight="1" x14ac:dyDescent="0.3">
      <c r="A192" s="164" t="s">
        <v>1908</v>
      </c>
      <c r="B192" s="141"/>
      <c r="C192" s="141"/>
      <c r="D192" s="141" t="s">
        <v>1426</v>
      </c>
      <c r="E192" s="140"/>
      <c r="F192" s="140"/>
      <c r="G192" s="140">
        <v>4</v>
      </c>
      <c r="H192" s="140" t="s">
        <v>512</v>
      </c>
      <c r="I192" s="141" t="s">
        <v>312</v>
      </c>
      <c r="J192" s="143" t="s">
        <v>1426</v>
      </c>
      <c r="K192" s="141" t="s">
        <v>1358</v>
      </c>
      <c r="L192" s="141" t="s">
        <v>78</v>
      </c>
      <c r="M192" s="141" t="s">
        <v>1300</v>
      </c>
      <c r="N192" s="145" t="s">
        <v>1763</v>
      </c>
      <c r="O192" s="147"/>
      <c r="P192" s="140" t="s">
        <v>1287</v>
      </c>
      <c r="Q192" s="142"/>
      <c r="R192" s="142"/>
      <c r="S192" s="140"/>
      <c r="T192" s="140"/>
      <c r="U192" s="140"/>
      <c r="V192" s="149" t="s">
        <v>2079</v>
      </c>
      <c r="W192" s="143" t="s">
        <v>1360</v>
      </c>
      <c r="X192" s="143" t="s">
        <v>1361</v>
      </c>
      <c r="Y192" s="172"/>
    </row>
    <row r="193" spans="1:25" ht="18" customHeight="1" x14ac:dyDescent="0.3">
      <c r="A193" s="163" t="s">
        <v>1909</v>
      </c>
      <c r="B193" s="137"/>
      <c r="C193" s="137"/>
      <c r="D193" s="137" t="s">
        <v>1362</v>
      </c>
      <c r="E193" s="136"/>
      <c r="F193" s="136"/>
      <c r="G193" s="136">
        <v>4</v>
      </c>
      <c r="H193" s="136" t="s">
        <v>512</v>
      </c>
      <c r="I193" s="137" t="s">
        <v>312</v>
      </c>
      <c r="J193" s="139" t="s">
        <v>1362</v>
      </c>
      <c r="K193" s="137" t="s">
        <v>1358</v>
      </c>
      <c r="L193" s="137" t="s">
        <v>78</v>
      </c>
      <c r="M193" s="137" t="s">
        <v>1353</v>
      </c>
      <c r="N193" s="144" t="s">
        <v>1764</v>
      </c>
      <c r="O193" s="146"/>
      <c r="P193" s="136" t="s">
        <v>1287</v>
      </c>
      <c r="Q193" s="138"/>
      <c r="R193" s="138"/>
      <c r="S193" s="136"/>
      <c r="T193" s="136"/>
      <c r="U193" s="136"/>
      <c r="V193" s="148" t="s">
        <v>2079</v>
      </c>
      <c r="W193" s="139" t="s">
        <v>1375</v>
      </c>
      <c r="X193" s="139" t="s">
        <v>1363</v>
      </c>
      <c r="Y193" s="171"/>
    </row>
    <row r="194" spans="1:25" ht="18" customHeight="1" x14ac:dyDescent="0.3">
      <c r="A194" s="164" t="s">
        <v>1910</v>
      </c>
      <c r="B194" s="141"/>
      <c r="C194" s="141"/>
      <c r="D194" s="141" t="s">
        <v>1427</v>
      </c>
      <c r="E194" s="140"/>
      <c r="F194" s="140"/>
      <c r="G194" s="140">
        <v>4</v>
      </c>
      <c r="H194" s="140" t="s">
        <v>512</v>
      </c>
      <c r="I194" s="141" t="s">
        <v>312</v>
      </c>
      <c r="J194" s="143" t="s">
        <v>1427</v>
      </c>
      <c r="K194" s="141" t="s">
        <v>1367</v>
      </c>
      <c r="L194" s="141" t="s">
        <v>78</v>
      </c>
      <c r="M194" s="141" t="s">
        <v>1353</v>
      </c>
      <c r="N194" s="145" t="s">
        <v>1765</v>
      </c>
      <c r="O194" s="147"/>
      <c r="P194" s="140" t="s">
        <v>1287</v>
      </c>
      <c r="Q194" s="142"/>
      <c r="R194" s="142"/>
      <c r="S194" s="140"/>
      <c r="T194" s="140"/>
      <c r="U194" s="140"/>
      <c r="V194" s="149" t="s">
        <v>2080</v>
      </c>
      <c r="W194" s="143" t="s">
        <v>581</v>
      </c>
      <c r="X194" s="143" t="s">
        <v>1428</v>
      </c>
      <c r="Y194" s="172"/>
    </row>
    <row r="195" spans="1:25" ht="18" customHeight="1" x14ac:dyDescent="0.3">
      <c r="A195" s="163" t="s">
        <v>1911</v>
      </c>
      <c r="B195" s="137"/>
      <c r="C195" s="137"/>
      <c r="D195" s="137" t="s">
        <v>1429</v>
      </c>
      <c r="E195" s="136"/>
      <c r="F195" s="136"/>
      <c r="G195" s="136">
        <v>4</v>
      </c>
      <c r="H195" s="136" t="s">
        <v>512</v>
      </c>
      <c r="I195" s="137" t="s">
        <v>312</v>
      </c>
      <c r="J195" s="139" t="s">
        <v>1429</v>
      </c>
      <c r="K195" s="137" t="s">
        <v>1368</v>
      </c>
      <c r="L195" s="137" t="s">
        <v>78</v>
      </c>
      <c r="M195" s="137" t="s">
        <v>1300</v>
      </c>
      <c r="N195" s="144" t="s">
        <v>1766</v>
      </c>
      <c r="O195" s="146"/>
      <c r="P195" s="136" t="s">
        <v>1287</v>
      </c>
      <c r="Q195" s="138"/>
      <c r="R195" s="138"/>
      <c r="S195" s="136"/>
      <c r="T195" s="136"/>
      <c r="U195" s="136"/>
      <c r="V195" s="148" t="s">
        <v>2079</v>
      </c>
      <c r="W195" s="139" t="s">
        <v>591</v>
      </c>
      <c r="X195" s="139" t="s">
        <v>1430</v>
      </c>
      <c r="Y195" s="171"/>
    </row>
    <row r="196" spans="1:25" ht="18" customHeight="1" x14ac:dyDescent="0.3">
      <c r="A196" s="164" t="s">
        <v>1912</v>
      </c>
      <c r="B196" s="141"/>
      <c r="C196" s="141"/>
      <c r="D196" s="141" t="s">
        <v>1431</v>
      </c>
      <c r="E196" s="140"/>
      <c r="F196" s="140"/>
      <c r="G196" s="140">
        <v>4</v>
      </c>
      <c r="H196" s="140" t="s">
        <v>512</v>
      </c>
      <c r="I196" s="141" t="s">
        <v>312</v>
      </c>
      <c r="J196" s="143" t="s">
        <v>1431</v>
      </c>
      <c r="K196" s="141" t="s">
        <v>1368</v>
      </c>
      <c r="L196" s="141" t="s">
        <v>78</v>
      </c>
      <c r="M196" s="141" t="s">
        <v>1300</v>
      </c>
      <c r="N196" s="145" t="s">
        <v>1767</v>
      </c>
      <c r="O196" s="147"/>
      <c r="P196" s="140" t="s">
        <v>1287</v>
      </c>
      <c r="Q196" s="142"/>
      <c r="R196" s="142"/>
      <c r="S196" s="140"/>
      <c r="T196" s="140"/>
      <c r="U196" s="140"/>
      <c r="V196" s="149" t="s">
        <v>2079</v>
      </c>
      <c r="W196" s="143" t="s">
        <v>581</v>
      </c>
      <c r="X196" s="143" t="s">
        <v>1432</v>
      </c>
      <c r="Y196" s="172"/>
    </row>
    <row r="197" spans="1:25" ht="18" customHeight="1" x14ac:dyDescent="0.3">
      <c r="A197" s="163" t="s">
        <v>1913</v>
      </c>
      <c r="B197" s="137"/>
      <c r="C197" s="137"/>
      <c r="D197" s="137" t="s">
        <v>1433</v>
      </c>
      <c r="E197" s="136"/>
      <c r="F197" s="136"/>
      <c r="G197" s="136">
        <v>4</v>
      </c>
      <c r="H197" s="136" t="s">
        <v>512</v>
      </c>
      <c r="I197" s="137" t="s">
        <v>312</v>
      </c>
      <c r="J197" s="139" t="s">
        <v>1433</v>
      </c>
      <c r="K197" s="137" t="s">
        <v>1368</v>
      </c>
      <c r="L197" s="137" t="s">
        <v>78</v>
      </c>
      <c r="M197" s="137" t="s">
        <v>1300</v>
      </c>
      <c r="N197" s="144" t="s">
        <v>1768</v>
      </c>
      <c r="O197" s="146"/>
      <c r="P197" s="136" t="s">
        <v>1287</v>
      </c>
      <c r="Q197" s="138"/>
      <c r="R197" s="138"/>
      <c r="S197" s="136"/>
      <c r="T197" s="136"/>
      <c r="U197" s="136"/>
      <c r="V197" s="148" t="s">
        <v>2079</v>
      </c>
      <c r="W197" s="139" t="s">
        <v>1369</v>
      </c>
      <c r="X197" s="139" t="s">
        <v>1434</v>
      </c>
      <c r="Y197" s="171"/>
    </row>
    <row r="198" spans="1:25" ht="18" customHeight="1" x14ac:dyDescent="0.3">
      <c r="A198" s="164" t="s">
        <v>1914</v>
      </c>
      <c r="B198" s="141"/>
      <c r="C198" s="141"/>
      <c r="D198" s="141" t="s">
        <v>1373</v>
      </c>
      <c r="E198" s="140"/>
      <c r="F198" s="140"/>
      <c r="G198" s="140">
        <v>4</v>
      </c>
      <c r="H198" s="140" t="s">
        <v>512</v>
      </c>
      <c r="I198" s="141" t="s">
        <v>312</v>
      </c>
      <c r="J198" s="143" t="s">
        <v>1373</v>
      </c>
      <c r="K198" s="141" t="s">
        <v>1368</v>
      </c>
      <c r="L198" s="141" t="s">
        <v>78</v>
      </c>
      <c r="M198" s="141" t="s">
        <v>534</v>
      </c>
      <c r="N198" s="145" t="s">
        <v>1769</v>
      </c>
      <c r="O198" s="147"/>
      <c r="P198" s="140" t="s">
        <v>1287</v>
      </c>
      <c r="Q198" s="142"/>
      <c r="R198" s="142"/>
      <c r="S198" s="140"/>
      <c r="T198" s="140"/>
      <c r="U198" s="140"/>
      <c r="V198" s="149" t="s">
        <v>2079</v>
      </c>
      <c r="W198" s="143" t="s">
        <v>1374</v>
      </c>
      <c r="X198" s="143" t="s">
        <v>1435</v>
      </c>
      <c r="Y198" s="172"/>
    </row>
    <row r="199" spans="1:25" ht="18" customHeight="1" x14ac:dyDescent="0.3">
      <c r="A199" s="163" t="s">
        <v>1915</v>
      </c>
      <c r="B199" s="137"/>
      <c r="C199" s="137"/>
      <c r="D199" s="137" t="s">
        <v>1436</v>
      </c>
      <c r="E199" s="136"/>
      <c r="F199" s="136"/>
      <c r="G199" s="136">
        <v>4</v>
      </c>
      <c r="H199" s="136" t="s">
        <v>512</v>
      </c>
      <c r="I199" s="137" t="s">
        <v>312</v>
      </c>
      <c r="J199" s="139" t="s">
        <v>1436</v>
      </c>
      <c r="K199" s="137" t="s">
        <v>350</v>
      </c>
      <c r="L199" s="137" t="s">
        <v>78</v>
      </c>
      <c r="M199" s="137" t="s">
        <v>532</v>
      </c>
      <c r="N199" s="144" t="s">
        <v>1770</v>
      </c>
      <c r="O199" s="146"/>
      <c r="P199" s="136" t="s">
        <v>1287</v>
      </c>
      <c r="Q199" s="138"/>
      <c r="R199" s="138"/>
      <c r="S199" s="136"/>
      <c r="T199" s="136"/>
      <c r="U199" s="136"/>
      <c r="V199" s="148" t="s">
        <v>2079</v>
      </c>
      <c r="W199" s="139" t="s">
        <v>1395</v>
      </c>
      <c r="X199" s="139" t="s">
        <v>1396</v>
      </c>
      <c r="Y199" s="171"/>
    </row>
    <row r="200" spans="1:25" ht="18" customHeight="1" x14ac:dyDescent="0.3">
      <c r="A200" s="164" t="s">
        <v>1916</v>
      </c>
      <c r="B200" s="141"/>
      <c r="C200" s="141"/>
      <c r="D200" s="141" t="s">
        <v>1437</v>
      </c>
      <c r="E200" s="140"/>
      <c r="F200" s="140"/>
      <c r="G200" s="140">
        <v>4</v>
      </c>
      <c r="H200" s="140" t="s">
        <v>512</v>
      </c>
      <c r="I200" s="141" t="s">
        <v>312</v>
      </c>
      <c r="J200" s="143" t="s">
        <v>1437</v>
      </c>
      <c r="K200" s="141" t="s">
        <v>1370</v>
      </c>
      <c r="L200" s="141" t="s">
        <v>78</v>
      </c>
      <c r="M200" s="141" t="s">
        <v>1353</v>
      </c>
      <c r="N200" s="145" t="s">
        <v>1771</v>
      </c>
      <c r="O200" s="147"/>
      <c r="P200" s="140" t="s">
        <v>1287</v>
      </c>
      <c r="Q200" s="142"/>
      <c r="R200" s="142"/>
      <c r="S200" s="140"/>
      <c r="T200" s="140"/>
      <c r="U200" s="140"/>
      <c r="V200" s="149" t="s">
        <v>2079</v>
      </c>
      <c r="W200" s="143" t="s">
        <v>1371</v>
      </c>
      <c r="X200" s="143" t="s">
        <v>1438</v>
      </c>
      <c r="Y200" s="172"/>
    </row>
    <row r="201" spans="1:25" ht="18" customHeight="1" x14ac:dyDescent="0.3">
      <c r="A201" s="161">
        <v>4</v>
      </c>
      <c r="B201" s="113" t="s">
        <v>718</v>
      </c>
      <c r="C201" s="113"/>
      <c r="D201" s="113"/>
      <c r="E201" s="114"/>
      <c r="F201" s="114"/>
      <c r="G201" s="114">
        <v>2</v>
      </c>
      <c r="H201" s="114" t="s">
        <v>512</v>
      </c>
      <c r="I201" s="113" t="s">
        <v>718</v>
      </c>
      <c r="J201" s="123" t="s">
        <v>718</v>
      </c>
      <c r="K201" s="113"/>
      <c r="L201" s="113"/>
      <c r="M201" s="113"/>
      <c r="N201" s="119" t="s">
        <v>440</v>
      </c>
      <c r="O201" s="121"/>
      <c r="P201" s="114" t="s">
        <v>1287</v>
      </c>
      <c r="Q201" s="115"/>
      <c r="R201" s="115"/>
      <c r="S201" s="114"/>
      <c r="T201" s="114"/>
      <c r="U201" s="114"/>
      <c r="V201" s="126"/>
      <c r="W201" s="123"/>
      <c r="X201" s="123"/>
      <c r="Y201" s="169"/>
    </row>
    <row r="202" spans="1:25" ht="18" customHeight="1" x14ac:dyDescent="0.3">
      <c r="A202" s="162">
        <v>4.01</v>
      </c>
      <c r="B202" s="116"/>
      <c r="C202" s="116" t="s">
        <v>557</v>
      </c>
      <c r="D202" s="116"/>
      <c r="E202" s="117"/>
      <c r="F202" s="117"/>
      <c r="G202" s="117">
        <v>3</v>
      </c>
      <c r="H202" s="117" t="s">
        <v>512</v>
      </c>
      <c r="I202" s="116" t="s">
        <v>557</v>
      </c>
      <c r="J202" s="124" t="s">
        <v>557</v>
      </c>
      <c r="K202" s="116"/>
      <c r="L202" s="116"/>
      <c r="M202" s="116"/>
      <c r="N202" s="120" t="s">
        <v>1966</v>
      </c>
      <c r="O202" s="122"/>
      <c r="P202" s="117" t="s">
        <v>1287</v>
      </c>
      <c r="Q202" s="118"/>
      <c r="R202" s="118"/>
      <c r="S202" s="117"/>
      <c r="T202" s="117"/>
      <c r="U202" s="117"/>
      <c r="V202" s="150"/>
      <c r="W202" s="124"/>
      <c r="X202" s="124"/>
      <c r="Y202" s="170"/>
    </row>
    <row r="203" spans="1:25" ht="18" customHeight="1" x14ac:dyDescent="0.3">
      <c r="A203" s="163" t="s">
        <v>1844</v>
      </c>
      <c r="B203" s="137"/>
      <c r="C203" s="137"/>
      <c r="D203" s="137" t="s">
        <v>298</v>
      </c>
      <c r="E203" s="136"/>
      <c r="F203" s="136"/>
      <c r="G203" s="136">
        <v>4</v>
      </c>
      <c r="H203" s="136" t="s">
        <v>512</v>
      </c>
      <c r="I203" s="137" t="s">
        <v>557</v>
      </c>
      <c r="J203" s="139" t="s">
        <v>298</v>
      </c>
      <c r="K203" s="137" t="s">
        <v>426</v>
      </c>
      <c r="L203" s="137" t="s">
        <v>345</v>
      </c>
      <c r="M203" s="137" t="s">
        <v>450</v>
      </c>
      <c r="N203" s="144" t="s">
        <v>1703</v>
      </c>
      <c r="O203" s="146"/>
      <c r="P203" s="136" t="s">
        <v>1287</v>
      </c>
      <c r="Q203" s="138"/>
      <c r="R203" s="138"/>
      <c r="S203" s="136"/>
      <c r="T203" s="136" t="s">
        <v>1288</v>
      </c>
      <c r="U203" s="136" t="s">
        <v>2053</v>
      </c>
      <c r="V203" s="148" t="s">
        <v>2054</v>
      </c>
      <c r="W203" s="139" t="s">
        <v>560</v>
      </c>
      <c r="X203" s="139" t="s">
        <v>561</v>
      </c>
      <c r="Y203" s="171"/>
    </row>
    <row r="204" spans="1:25" ht="18" customHeight="1" x14ac:dyDescent="0.3">
      <c r="A204" s="164" t="s">
        <v>1917</v>
      </c>
      <c r="B204" s="141"/>
      <c r="C204" s="141"/>
      <c r="D204" s="141" t="s">
        <v>719</v>
      </c>
      <c r="E204" s="140"/>
      <c r="F204" s="140"/>
      <c r="G204" s="140">
        <v>4</v>
      </c>
      <c r="H204" s="140" t="s">
        <v>512</v>
      </c>
      <c r="I204" s="141" t="s">
        <v>557</v>
      </c>
      <c r="J204" s="143" t="s">
        <v>719</v>
      </c>
      <c r="K204" s="141" t="s">
        <v>346</v>
      </c>
      <c r="L204" s="141" t="s">
        <v>86</v>
      </c>
      <c r="M204" s="141" t="s">
        <v>450</v>
      </c>
      <c r="N204" s="145" t="s">
        <v>1772</v>
      </c>
      <c r="O204" s="147"/>
      <c r="P204" s="140" t="s">
        <v>1287</v>
      </c>
      <c r="Q204" s="142"/>
      <c r="R204" s="142"/>
      <c r="S204" s="140"/>
      <c r="T204" s="140" t="s">
        <v>1288</v>
      </c>
      <c r="U204" s="140" t="s">
        <v>2053</v>
      </c>
      <c r="V204" s="149" t="s">
        <v>1670</v>
      </c>
      <c r="W204" s="143" t="s">
        <v>79</v>
      </c>
      <c r="X204" s="143" t="s">
        <v>720</v>
      </c>
      <c r="Y204" s="172"/>
    </row>
    <row r="205" spans="1:25" ht="18" customHeight="1" x14ac:dyDescent="0.3">
      <c r="A205" s="162">
        <v>4.0199999999999996</v>
      </c>
      <c r="B205" s="116"/>
      <c r="C205" s="116" t="s">
        <v>568</v>
      </c>
      <c r="D205" s="116"/>
      <c r="E205" s="117"/>
      <c r="F205" s="117"/>
      <c r="G205" s="117">
        <v>3</v>
      </c>
      <c r="H205" s="117" t="s">
        <v>512</v>
      </c>
      <c r="I205" s="116" t="s">
        <v>568</v>
      </c>
      <c r="J205" s="124" t="s">
        <v>568</v>
      </c>
      <c r="K205" s="116"/>
      <c r="L205" s="116"/>
      <c r="M205" s="116"/>
      <c r="N205" s="120" t="s">
        <v>1967</v>
      </c>
      <c r="O205" s="122"/>
      <c r="P205" s="117" t="s">
        <v>1287</v>
      </c>
      <c r="Q205" s="118"/>
      <c r="R205" s="118"/>
      <c r="S205" s="117"/>
      <c r="T205" s="117"/>
      <c r="U205" s="117"/>
      <c r="V205" s="150"/>
      <c r="W205" s="124"/>
      <c r="X205" s="124"/>
      <c r="Y205" s="170"/>
    </row>
    <row r="206" spans="1:25" ht="18" customHeight="1" x14ac:dyDescent="0.3">
      <c r="A206" s="163" t="s">
        <v>1918</v>
      </c>
      <c r="B206" s="137"/>
      <c r="C206" s="137"/>
      <c r="D206" s="137" t="s">
        <v>721</v>
      </c>
      <c r="E206" s="136"/>
      <c r="F206" s="136"/>
      <c r="G206" s="136">
        <v>4</v>
      </c>
      <c r="H206" s="136" t="s">
        <v>512</v>
      </c>
      <c r="I206" s="137" t="s">
        <v>568</v>
      </c>
      <c r="J206" s="139" t="s">
        <v>721</v>
      </c>
      <c r="K206" s="137" t="s">
        <v>330</v>
      </c>
      <c r="L206" s="137" t="s">
        <v>78</v>
      </c>
      <c r="M206" s="137" t="s">
        <v>430</v>
      </c>
      <c r="N206" s="144" t="s">
        <v>1773</v>
      </c>
      <c r="O206" s="146"/>
      <c r="P206" s="136" t="s">
        <v>2025</v>
      </c>
      <c r="Q206" s="138"/>
      <c r="R206" s="138"/>
      <c r="S206" s="136"/>
      <c r="T206" s="136" t="s">
        <v>2053</v>
      </c>
      <c r="U206" s="136" t="s">
        <v>2057</v>
      </c>
      <c r="V206" s="148" t="s">
        <v>2058</v>
      </c>
      <c r="W206" s="139" t="s">
        <v>79</v>
      </c>
      <c r="X206" s="139" t="s">
        <v>722</v>
      </c>
      <c r="Y206" s="171"/>
    </row>
    <row r="207" spans="1:25" ht="18" customHeight="1" x14ac:dyDescent="0.3">
      <c r="A207" s="164" t="s">
        <v>1919</v>
      </c>
      <c r="B207" s="141"/>
      <c r="C207" s="141"/>
      <c r="D207" s="141" t="s">
        <v>306</v>
      </c>
      <c r="E207" s="140"/>
      <c r="F207" s="140"/>
      <c r="G207" s="140">
        <v>4</v>
      </c>
      <c r="H207" s="140" t="s">
        <v>512</v>
      </c>
      <c r="I207" s="141" t="s">
        <v>568</v>
      </c>
      <c r="J207" s="143" t="s">
        <v>306</v>
      </c>
      <c r="K207" s="141" t="s">
        <v>330</v>
      </c>
      <c r="L207" s="141" t="s">
        <v>78</v>
      </c>
      <c r="M207" s="141" t="s">
        <v>430</v>
      </c>
      <c r="N207" s="145" t="s">
        <v>1774</v>
      </c>
      <c r="O207" s="147"/>
      <c r="P207" s="140" t="s">
        <v>2025</v>
      </c>
      <c r="Q207" s="142"/>
      <c r="R207" s="142"/>
      <c r="S207" s="140"/>
      <c r="T207" s="140" t="s">
        <v>2053</v>
      </c>
      <c r="U207" s="140" t="s">
        <v>2057</v>
      </c>
      <c r="V207" s="149" t="s">
        <v>2060</v>
      </c>
      <c r="W207" s="143" t="s">
        <v>723</v>
      </c>
      <c r="X207" s="143" t="s">
        <v>724</v>
      </c>
      <c r="Y207" s="172"/>
    </row>
    <row r="208" spans="1:25" ht="18" customHeight="1" x14ac:dyDescent="0.3">
      <c r="A208" s="162">
        <v>4.03</v>
      </c>
      <c r="B208" s="116"/>
      <c r="C208" s="116" t="s">
        <v>596</v>
      </c>
      <c r="D208" s="116"/>
      <c r="E208" s="117"/>
      <c r="F208" s="117"/>
      <c r="G208" s="117">
        <v>3</v>
      </c>
      <c r="H208" s="117" t="s">
        <v>512</v>
      </c>
      <c r="I208" s="116" t="s">
        <v>596</v>
      </c>
      <c r="J208" s="124" t="s">
        <v>596</v>
      </c>
      <c r="K208" s="116"/>
      <c r="L208" s="116"/>
      <c r="M208" s="116"/>
      <c r="N208" s="120" t="s">
        <v>1968</v>
      </c>
      <c r="O208" s="122"/>
      <c r="P208" s="117" t="s">
        <v>1287</v>
      </c>
      <c r="Q208" s="118"/>
      <c r="R208" s="118"/>
      <c r="S208" s="117"/>
      <c r="T208" s="117"/>
      <c r="U208" s="117"/>
      <c r="V208" s="150"/>
      <c r="W208" s="124"/>
      <c r="X208" s="124"/>
      <c r="Y208" s="170"/>
    </row>
    <row r="209" spans="1:25" ht="18" customHeight="1" x14ac:dyDescent="0.3">
      <c r="A209" s="163" t="s">
        <v>2082</v>
      </c>
      <c r="B209" s="137"/>
      <c r="C209" s="137"/>
      <c r="D209" s="137" t="s">
        <v>726</v>
      </c>
      <c r="E209" s="136"/>
      <c r="F209" s="136"/>
      <c r="G209" s="136">
        <v>4</v>
      </c>
      <c r="H209" s="136" t="s">
        <v>512</v>
      </c>
      <c r="I209" s="137" t="s">
        <v>596</v>
      </c>
      <c r="J209" s="139" t="s">
        <v>726</v>
      </c>
      <c r="K209" s="137" t="s">
        <v>348</v>
      </c>
      <c r="L209" s="137" t="s">
        <v>78</v>
      </c>
      <c r="M209" s="137" t="s">
        <v>725</v>
      </c>
      <c r="N209" s="144" t="s">
        <v>451</v>
      </c>
      <c r="O209" s="146"/>
      <c r="P209" s="136" t="s">
        <v>1287</v>
      </c>
      <c r="Q209" s="138"/>
      <c r="R209" s="138"/>
      <c r="S209" s="136"/>
      <c r="T209" s="136" t="s">
        <v>2057</v>
      </c>
      <c r="U209" s="136" t="s">
        <v>2062</v>
      </c>
      <c r="V209" s="148" t="s">
        <v>2045</v>
      </c>
      <c r="W209" s="139" t="s">
        <v>79</v>
      </c>
      <c r="X209" s="139" t="s">
        <v>727</v>
      </c>
      <c r="Y209" s="171"/>
    </row>
    <row r="210" spans="1:25" ht="18" customHeight="1" x14ac:dyDescent="0.3">
      <c r="A210" s="162">
        <v>4.04</v>
      </c>
      <c r="B210" s="116"/>
      <c r="C210" s="116" t="s">
        <v>728</v>
      </c>
      <c r="D210" s="116"/>
      <c r="E210" s="117"/>
      <c r="F210" s="117"/>
      <c r="G210" s="117">
        <v>3</v>
      </c>
      <c r="H210" s="117" t="s">
        <v>512</v>
      </c>
      <c r="I210" s="116" t="s">
        <v>728</v>
      </c>
      <c r="J210" s="124" t="s">
        <v>728</v>
      </c>
      <c r="K210" s="116"/>
      <c r="L210" s="116"/>
      <c r="M210" s="116"/>
      <c r="N210" s="120" t="s">
        <v>1969</v>
      </c>
      <c r="O210" s="122"/>
      <c r="P210" s="117" t="s">
        <v>1287</v>
      </c>
      <c r="Q210" s="118"/>
      <c r="R210" s="118"/>
      <c r="S210" s="117"/>
      <c r="T210" s="117"/>
      <c r="U210" s="117"/>
      <c r="V210" s="150"/>
      <c r="W210" s="124"/>
      <c r="X210" s="124"/>
      <c r="Y210" s="170"/>
    </row>
    <row r="211" spans="1:25" ht="18" customHeight="1" x14ac:dyDescent="0.3">
      <c r="A211" s="164" t="s">
        <v>2083</v>
      </c>
      <c r="B211" s="141"/>
      <c r="C211" s="141"/>
      <c r="D211" s="141" t="s">
        <v>730</v>
      </c>
      <c r="E211" s="140"/>
      <c r="F211" s="140"/>
      <c r="G211" s="140">
        <v>4</v>
      </c>
      <c r="H211" s="140" t="s">
        <v>512</v>
      </c>
      <c r="I211" s="141" t="s">
        <v>728</v>
      </c>
      <c r="J211" s="143" t="s">
        <v>730</v>
      </c>
      <c r="K211" s="141" t="s">
        <v>349</v>
      </c>
      <c r="L211" s="141" t="s">
        <v>78</v>
      </c>
      <c r="M211" s="141" t="s">
        <v>729</v>
      </c>
      <c r="N211" s="145" t="s">
        <v>2084</v>
      </c>
      <c r="O211" s="147"/>
      <c r="P211" s="140" t="s">
        <v>2022</v>
      </c>
      <c r="Q211" s="142"/>
      <c r="R211" s="142"/>
      <c r="S211" s="140"/>
      <c r="T211" s="140"/>
      <c r="U211" s="140"/>
      <c r="V211" s="149" t="s">
        <v>2073</v>
      </c>
      <c r="W211" s="143" t="s">
        <v>79</v>
      </c>
      <c r="X211" s="143" t="s">
        <v>664</v>
      </c>
      <c r="Y211" s="172"/>
    </row>
    <row r="212" spans="1:25" ht="18" customHeight="1" x14ac:dyDescent="0.3">
      <c r="A212" s="163" t="s">
        <v>2085</v>
      </c>
      <c r="B212" s="137"/>
      <c r="C212" s="137"/>
      <c r="D212" s="137" t="s">
        <v>732</v>
      </c>
      <c r="E212" s="136"/>
      <c r="F212" s="136"/>
      <c r="G212" s="136">
        <v>4</v>
      </c>
      <c r="H212" s="136" t="s">
        <v>512</v>
      </c>
      <c r="I212" s="137" t="s">
        <v>728</v>
      </c>
      <c r="J212" s="139" t="s">
        <v>732</v>
      </c>
      <c r="K212" s="137" t="s">
        <v>350</v>
      </c>
      <c r="L212" s="137" t="s">
        <v>78</v>
      </c>
      <c r="M212" s="137" t="s">
        <v>731</v>
      </c>
      <c r="N212" s="144" t="s">
        <v>2086</v>
      </c>
      <c r="O212" s="146"/>
      <c r="P212" s="136" t="s">
        <v>2031</v>
      </c>
      <c r="Q212" s="138"/>
      <c r="R212" s="138"/>
      <c r="S212" s="136"/>
      <c r="T212" s="136"/>
      <c r="U212" s="136"/>
      <c r="V212" s="148" t="s">
        <v>2047</v>
      </c>
      <c r="W212" s="139" t="s">
        <v>79</v>
      </c>
      <c r="X212" s="139" t="s">
        <v>654</v>
      </c>
      <c r="Y212" s="171"/>
    </row>
    <row r="213" spans="1:25" ht="18" customHeight="1" x14ac:dyDescent="0.3">
      <c r="A213" s="164" t="s">
        <v>1923</v>
      </c>
      <c r="B213" s="141"/>
      <c r="C213" s="141"/>
      <c r="D213" s="141" t="s">
        <v>734</v>
      </c>
      <c r="E213" s="140"/>
      <c r="F213" s="140"/>
      <c r="G213" s="140">
        <v>4</v>
      </c>
      <c r="H213" s="140" t="s">
        <v>512</v>
      </c>
      <c r="I213" s="141" t="s">
        <v>728</v>
      </c>
      <c r="J213" s="143" t="s">
        <v>734</v>
      </c>
      <c r="K213" s="141" t="s">
        <v>351</v>
      </c>
      <c r="L213" s="141" t="s">
        <v>78</v>
      </c>
      <c r="M213" s="141" t="s">
        <v>733</v>
      </c>
      <c r="N213" s="145" t="s">
        <v>1778</v>
      </c>
      <c r="O213" s="147"/>
      <c r="P213" s="140" t="s">
        <v>2034</v>
      </c>
      <c r="Q213" s="142"/>
      <c r="R213" s="142"/>
      <c r="S213" s="140"/>
      <c r="T213" s="140"/>
      <c r="U213" s="140"/>
      <c r="V213" s="149" t="s">
        <v>2049</v>
      </c>
      <c r="W213" s="143" t="s">
        <v>79</v>
      </c>
      <c r="X213" s="143" t="s">
        <v>650</v>
      </c>
      <c r="Y213" s="172"/>
    </row>
    <row r="214" spans="1:25" ht="18" customHeight="1" x14ac:dyDescent="0.3">
      <c r="A214" s="163" t="s">
        <v>1924</v>
      </c>
      <c r="B214" s="137"/>
      <c r="C214" s="137"/>
      <c r="D214" s="137" t="s">
        <v>735</v>
      </c>
      <c r="E214" s="136"/>
      <c r="F214" s="136"/>
      <c r="G214" s="136">
        <v>4</v>
      </c>
      <c r="H214" s="136" t="s">
        <v>512</v>
      </c>
      <c r="I214" s="137" t="s">
        <v>728</v>
      </c>
      <c r="J214" s="139" t="s">
        <v>735</v>
      </c>
      <c r="K214" s="137" t="s">
        <v>351</v>
      </c>
      <c r="L214" s="137" t="s">
        <v>78</v>
      </c>
      <c r="M214" s="137" t="s">
        <v>733</v>
      </c>
      <c r="N214" s="144" t="s">
        <v>1779</v>
      </c>
      <c r="O214" s="146"/>
      <c r="P214" s="136" t="s">
        <v>2008</v>
      </c>
      <c r="Q214" s="138"/>
      <c r="R214" s="138"/>
      <c r="S214" s="136"/>
      <c r="T214" s="136"/>
      <c r="U214" s="136"/>
      <c r="V214" s="148" t="s">
        <v>2033</v>
      </c>
      <c r="W214" s="139" t="s">
        <v>79</v>
      </c>
      <c r="X214" s="139" t="s">
        <v>664</v>
      </c>
      <c r="Y214" s="171"/>
    </row>
    <row r="215" spans="1:25" ht="18" customHeight="1" x14ac:dyDescent="0.3">
      <c r="A215" s="162">
        <v>4.05</v>
      </c>
      <c r="B215" s="116"/>
      <c r="C215" s="116" t="s">
        <v>619</v>
      </c>
      <c r="D215" s="116"/>
      <c r="E215" s="117"/>
      <c r="F215" s="117"/>
      <c r="G215" s="117">
        <v>3</v>
      </c>
      <c r="H215" s="117" t="s">
        <v>512</v>
      </c>
      <c r="I215" s="116" t="s">
        <v>619</v>
      </c>
      <c r="J215" s="124" t="s">
        <v>619</v>
      </c>
      <c r="K215" s="116"/>
      <c r="L215" s="116"/>
      <c r="M215" s="116"/>
      <c r="N215" s="120" t="s">
        <v>2087</v>
      </c>
      <c r="O215" s="122"/>
      <c r="P215" s="117" t="s">
        <v>1287</v>
      </c>
      <c r="Q215" s="118"/>
      <c r="R215" s="118"/>
      <c r="S215" s="117"/>
      <c r="T215" s="117"/>
      <c r="U215" s="117"/>
      <c r="V215" s="150"/>
      <c r="W215" s="124"/>
      <c r="X215" s="124"/>
      <c r="Y215" s="170"/>
    </row>
    <row r="216" spans="1:25" ht="18" customHeight="1" x14ac:dyDescent="0.3">
      <c r="A216" s="164" t="s">
        <v>1926</v>
      </c>
      <c r="B216" s="141"/>
      <c r="C216" s="141"/>
      <c r="D216" s="141" t="s">
        <v>737</v>
      </c>
      <c r="E216" s="140"/>
      <c r="F216" s="140"/>
      <c r="G216" s="140">
        <v>4</v>
      </c>
      <c r="H216" s="140" t="s">
        <v>512</v>
      </c>
      <c r="I216" s="141" t="s">
        <v>619</v>
      </c>
      <c r="J216" s="143" t="s">
        <v>737</v>
      </c>
      <c r="K216" s="141" t="s">
        <v>329</v>
      </c>
      <c r="L216" s="141" t="s">
        <v>78</v>
      </c>
      <c r="M216" s="141" t="s">
        <v>736</v>
      </c>
      <c r="N216" s="145" t="s">
        <v>1781</v>
      </c>
      <c r="O216" s="147"/>
      <c r="P216" s="140" t="s">
        <v>1287</v>
      </c>
      <c r="Q216" s="142"/>
      <c r="R216" s="142"/>
      <c r="S216" s="140"/>
      <c r="T216" s="140" t="s">
        <v>2062</v>
      </c>
      <c r="U216" s="140" t="s">
        <v>2069</v>
      </c>
      <c r="V216" s="149" t="s">
        <v>2088</v>
      </c>
      <c r="W216" s="143" t="s">
        <v>79</v>
      </c>
      <c r="X216" s="143" t="s">
        <v>621</v>
      </c>
      <c r="Y216" s="172"/>
    </row>
    <row r="217" spans="1:25" ht="18" customHeight="1" x14ac:dyDescent="0.3">
      <c r="A217" s="163" t="s">
        <v>1927</v>
      </c>
      <c r="B217" s="137"/>
      <c r="C217" s="137"/>
      <c r="D217" s="137" t="s">
        <v>738</v>
      </c>
      <c r="E217" s="136"/>
      <c r="F217" s="136"/>
      <c r="G217" s="136">
        <v>4</v>
      </c>
      <c r="H217" s="136" t="s">
        <v>512</v>
      </c>
      <c r="I217" s="137" t="s">
        <v>619</v>
      </c>
      <c r="J217" s="139" t="s">
        <v>738</v>
      </c>
      <c r="K217" s="137" t="s">
        <v>329</v>
      </c>
      <c r="L217" s="137" t="s">
        <v>78</v>
      </c>
      <c r="M217" s="137" t="s">
        <v>736</v>
      </c>
      <c r="N217" s="144" t="s">
        <v>1782</v>
      </c>
      <c r="O217" s="146"/>
      <c r="P217" s="136" t="s">
        <v>1287</v>
      </c>
      <c r="Q217" s="138"/>
      <c r="R217" s="138"/>
      <c r="S217" s="136"/>
      <c r="T217" s="136" t="s">
        <v>2062</v>
      </c>
      <c r="U217" s="136" t="s">
        <v>2069</v>
      </c>
      <c r="V217" s="148" t="s">
        <v>2089</v>
      </c>
      <c r="W217" s="139" t="s">
        <v>581</v>
      </c>
      <c r="X217" s="139" t="s">
        <v>624</v>
      </c>
      <c r="Y217" s="171"/>
    </row>
    <row r="218" spans="1:25" ht="18" customHeight="1" x14ac:dyDescent="0.3">
      <c r="A218" s="164" t="s">
        <v>1928</v>
      </c>
      <c r="B218" s="141"/>
      <c r="C218" s="141"/>
      <c r="D218" s="141" t="s">
        <v>739</v>
      </c>
      <c r="E218" s="140"/>
      <c r="F218" s="140"/>
      <c r="G218" s="140">
        <v>4</v>
      </c>
      <c r="H218" s="140" t="s">
        <v>512</v>
      </c>
      <c r="I218" s="141" t="s">
        <v>619</v>
      </c>
      <c r="J218" s="143" t="s">
        <v>739</v>
      </c>
      <c r="K218" s="141" t="s">
        <v>329</v>
      </c>
      <c r="L218" s="141" t="s">
        <v>78</v>
      </c>
      <c r="M218" s="141" t="s">
        <v>736</v>
      </c>
      <c r="N218" s="145" t="s">
        <v>1783</v>
      </c>
      <c r="O218" s="147"/>
      <c r="P218" s="140" t="s">
        <v>1287</v>
      </c>
      <c r="Q218" s="142"/>
      <c r="R218" s="142"/>
      <c r="S218" s="140"/>
      <c r="T218" s="140" t="s">
        <v>2062</v>
      </c>
      <c r="U218" s="140" t="s">
        <v>2069</v>
      </c>
      <c r="V218" s="149" t="s">
        <v>2078</v>
      </c>
      <c r="W218" s="143" t="s">
        <v>694</v>
      </c>
      <c r="X218" s="143" t="s">
        <v>695</v>
      </c>
      <c r="Y218" s="172"/>
    </row>
    <row r="219" spans="1:25" ht="18" customHeight="1" x14ac:dyDescent="0.3">
      <c r="A219" s="163" t="s">
        <v>2090</v>
      </c>
      <c r="B219" s="137"/>
      <c r="C219" s="137"/>
      <c r="D219" s="137" t="s">
        <v>741</v>
      </c>
      <c r="E219" s="136"/>
      <c r="F219" s="136"/>
      <c r="G219" s="136">
        <v>4</v>
      </c>
      <c r="H219" s="136" t="s">
        <v>512</v>
      </c>
      <c r="I219" s="137" t="s">
        <v>619</v>
      </c>
      <c r="J219" s="139" t="s">
        <v>741</v>
      </c>
      <c r="K219" s="137" t="s">
        <v>352</v>
      </c>
      <c r="L219" s="137" t="s">
        <v>78</v>
      </c>
      <c r="M219" s="137" t="s">
        <v>740</v>
      </c>
      <c r="N219" s="144" t="s">
        <v>2091</v>
      </c>
      <c r="O219" s="146"/>
      <c r="P219" s="136" t="s">
        <v>1287</v>
      </c>
      <c r="Q219" s="138"/>
      <c r="R219" s="138"/>
      <c r="S219" s="136"/>
      <c r="T219" s="136" t="s">
        <v>2062</v>
      </c>
      <c r="U219" s="136" t="s">
        <v>2069</v>
      </c>
      <c r="V219" s="148" t="s">
        <v>2092</v>
      </c>
      <c r="W219" s="139" t="s">
        <v>742</v>
      </c>
      <c r="X219" s="139" t="s">
        <v>703</v>
      </c>
      <c r="Y219" s="171"/>
    </row>
    <row r="220" spans="1:25" ht="18" customHeight="1" x14ac:dyDescent="0.3">
      <c r="A220" s="162">
        <v>0.13</v>
      </c>
      <c r="B220" s="116"/>
      <c r="C220" s="116" t="s">
        <v>312</v>
      </c>
      <c r="D220" s="116"/>
      <c r="E220" s="117"/>
      <c r="F220" s="117"/>
      <c r="G220" s="117">
        <v>3</v>
      </c>
      <c r="H220" s="117" t="s">
        <v>512</v>
      </c>
      <c r="I220" s="116" t="s">
        <v>312</v>
      </c>
      <c r="J220" s="124" t="s">
        <v>312</v>
      </c>
      <c r="K220" s="116"/>
      <c r="L220" s="116"/>
      <c r="M220" s="116"/>
      <c r="N220" s="120" t="s">
        <v>1719</v>
      </c>
      <c r="O220" s="122"/>
      <c r="P220" s="117" t="s">
        <v>1287</v>
      </c>
      <c r="Q220" s="118"/>
      <c r="R220" s="118"/>
      <c r="S220" s="117"/>
      <c r="T220" s="117"/>
      <c r="U220" s="117"/>
      <c r="V220" s="150"/>
      <c r="W220" s="124"/>
      <c r="X220" s="124"/>
      <c r="Y220" s="170"/>
    </row>
    <row r="221" spans="1:25" ht="18" customHeight="1" x14ac:dyDescent="0.3">
      <c r="A221" s="164" t="s">
        <v>1930</v>
      </c>
      <c r="B221" s="141"/>
      <c r="C221" s="141"/>
      <c r="D221" s="141" t="s">
        <v>1402</v>
      </c>
      <c r="E221" s="140"/>
      <c r="F221" s="140"/>
      <c r="G221" s="140">
        <v>4</v>
      </c>
      <c r="H221" s="140" t="s">
        <v>512</v>
      </c>
      <c r="I221" s="141" t="s">
        <v>312</v>
      </c>
      <c r="J221" s="143" t="s">
        <v>1402</v>
      </c>
      <c r="K221" s="141" t="s">
        <v>480</v>
      </c>
      <c r="L221" s="141" t="s">
        <v>78</v>
      </c>
      <c r="M221" s="141" t="s">
        <v>1401</v>
      </c>
      <c r="N221" s="145" t="s">
        <v>1785</v>
      </c>
      <c r="O221" s="147"/>
      <c r="P221" s="140" t="s">
        <v>1287</v>
      </c>
      <c r="Q221" s="142"/>
      <c r="R221" s="142"/>
      <c r="S221" s="140"/>
      <c r="T221" s="140"/>
      <c r="U221" s="140"/>
      <c r="V221" s="149" t="s">
        <v>2079</v>
      </c>
      <c r="W221" s="143" t="s">
        <v>581</v>
      </c>
      <c r="X221" s="143" t="s">
        <v>1379</v>
      </c>
      <c r="Y221" s="172"/>
    </row>
    <row r="222" spans="1:25" ht="18" customHeight="1" x14ac:dyDescent="0.3">
      <c r="A222" s="163" t="s">
        <v>1931</v>
      </c>
      <c r="B222" s="137"/>
      <c r="C222" s="137"/>
      <c r="D222" s="137" t="s">
        <v>1403</v>
      </c>
      <c r="E222" s="136"/>
      <c r="F222" s="136"/>
      <c r="G222" s="136">
        <v>4</v>
      </c>
      <c r="H222" s="136" t="s">
        <v>512</v>
      </c>
      <c r="I222" s="137" t="s">
        <v>312</v>
      </c>
      <c r="J222" s="139" t="s">
        <v>1403</v>
      </c>
      <c r="K222" s="137" t="s">
        <v>1352</v>
      </c>
      <c r="L222" s="137" t="s">
        <v>78</v>
      </c>
      <c r="M222" s="137" t="s">
        <v>1401</v>
      </c>
      <c r="N222" s="144" t="s">
        <v>1786</v>
      </c>
      <c r="O222" s="146"/>
      <c r="P222" s="136" t="s">
        <v>1287</v>
      </c>
      <c r="Q222" s="138"/>
      <c r="R222" s="138"/>
      <c r="S222" s="136"/>
      <c r="T222" s="136"/>
      <c r="U222" s="136"/>
      <c r="V222" s="148" t="s">
        <v>2079</v>
      </c>
      <c r="W222" s="139" t="s">
        <v>581</v>
      </c>
      <c r="X222" s="139" t="s">
        <v>1383</v>
      </c>
      <c r="Y222" s="171"/>
    </row>
    <row r="223" spans="1:25" ht="18" customHeight="1" x14ac:dyDescent="0.3">
      <c r="A223" s="164" t="s">
        <v>1932</v>
      </c>
      <c r="B223" s="141"/>
      <c r="C223" s="141"/>
      <c r="D223" s="141" t="s">
        <v>1404</v>
      </c>
      <c r="E223" s="140"/>
      <c r="F223" s="140"/>
      <c r="G223" s="140">
        <v>4</v>
      </c>
      <c r="H223" s="140" t="s">
        <v>512</v>
      </c>
      <c r="I223" s="141" t="s">
        <v>312</v>
      </c>
      <c r="J223" s="143" t="s">
        <v>1404</v>
      </c>
      <c r="K223" s="141" t="s">
        <v>1352</v>
      </c>
      <c r="L223" s="141" t="s">
        <v>78</v>
      </c>
      <c r="M223" s="141" t="s">
        <v>1401</v>
      </c>
      <c r="N223" s="145" t="s">
        <v>1787</v>
      </c>
      <c r="O223" s="147"/>
      <c r="P223" s="140" t="s">
        <v>1287</v>
      </c>
      <c r="Q223" s="142"/>
      <c r="R223" s="142"/>
      <c r="S223" s="140"/>
      <c r="T223" s="140"/>
      <c r="U223" s="140"/>
      <c r="V223" s="149" t="s">
        <v>2079</v>
      </c>
      <c r="W223" s="143" t="s">
        <v>1357</v>
      </c>
      <c r="X223" s="143" t="s">
        <v>1405</v>
      </c>
      <c r="Y223" s="172"/>
    </row>
    <row r="224" spans="1:25" ht="18" customHeight="1" x14ac:dyDescent="0.3">
      <c r="A224" s="163" t="s">
        <v>1933</v>
      </c>
      <c r="B224" s="137"/>
      <c r="C224" s="137"/>
      <c r="D224" s="137" t="s">
        <v>1406</v>
      </c>
      <c r="E224" s="136"/>
      <c r="F224" s="136"/>
      <c r="G224" s="136">
        <v>4</v>
      </c>
      <c r="H224" s="136" t="s">
        <v>512</v>
      </c>
      <c r="I224" s="137" t="s">
        <v>312</v>
      </c>
      <c r="J224" s="139" t="s">
        <v>1406</v>
      </c>
      <c r="K224" s="137" t="s">
        <v>1397</v>
      </c>
      <c r="L224" s="137" t="s">
        <v>78</v>
      </c>
      <c r="M224" s="137" t="s">
        <v>1300</v>
      </c>
      <c r="N224" s="144" t="s">
        <v>1788</v>
      </c>
      <c r="O224" s="146"/>
      <c r="P224" s="136" t="s">
        <v>1287</v>
      </c>
      <c r="Q224" s="138"/>
      <c r="R224" s="138"/>
      <c r="S224" s="136"/>
      <c r="T224" s="136"/>
      <c r="U224" s="136"/>
      <c r="V224" s="148" t="s">
        <v>2093</v>
      </c>
      <c r="W224" s="139" t="s">
        <v>581</v>
      </c>
      <c r="X224" s="139" t="s">
        <v>1407</v>
      </c>
      <c r="Y224" s="171"/>
    </row>
    <row r="225" spans="1:25" ht="18" customHeight="1" x14ac:dyDescent="0.3">
      <c r="A225" s="164" t="s">
        <v>1934</v>
      </c>
      <c r="B225" s="141"/>
      <c r="C225" s="141"/>
      <c r="D225" s="141" t="s">
        <v>1408</v>
      </c>
      <c r="E225" s="140"/>
      <c r="F225" s="140"/>
      <c r="G225" s="140">
        <v>4</v>
      </c>
      <c r="H225" s="140" t="s">
        <v>512</v>
      </c>
      <c r="I225" s="141" t="s">
        <v>312</v>
      </c>
      <c r="J225" s="143" t="s">
        <v>1408</v>
      </c>
      <c r="K225" s="141" t="s">
        <v>1368</v>
      </c>
      <c r="L225" s="141" t="s">
        <v>78</v>
      </c>
      <c r="M225" s="141" t="s">
        <v>1300</v>
      </c>
      <c r="N225" s="145" t="s">
        <v>1789</v>
      </c>
      <c r="O225" s="147"/>
      <c r="P225" s="140" t="s">
        <v>1287</v>
      </c>
      <c r="Q225" s="142"/>
      <c r="R225" s="142"/>
      <c r="S225" s="140"/>
      <c r="T225" s="140"/>
      <c r="U225" s="140"/>
      <c r="V225" s="149" t="s">
        <v>2093</v>
      </c>
      <c r="W225" s="143" t="s">
        <v>581</v>
      </c>
      <c r="X225" s="143" t="s">
        <v>1409</v>
      </c>
      <c r="Y225" s="172"/>
    </row>
    <row r="226" spans="1:25" ht="18" customHeight="1" x14ac:dyDescent="0.3">
      <c r="A226" s="163" t="s">
        <v>1935</v>
      </c>
      <c r="B226" s="137"/>
      <c r="C226" s="137"/>
      <c r="D226" s="137" t="s">
        <v>1410</v>
      </c>
      <c r="E226" s="136"/>
      <c r="F226" s="136"/>
      <c r="G226" s="136">
        <v>4</v>
      </c>
      <c r="H226" s="136" t="s">
        <v>512</v>
      </c>
      <c r="I226" s="137" t="s">
        <v>312</v>
      </c>
      <c r="J226" s="139" t="s">
        <v>1410</v>
      </c>
      <c r="K226" s="137" t="s">
        <v>350</v>
      </c>
      <c r="L226" s="137" t="s">
        <v>78</v>
      </c>
      <c r="M226" s="137" t="s">
        <v>532</v>
      </c>
      <c r="N226" s="144" t="s">
        <v>1790</v>
      </c>
      <c r="O226" s="146"/>
      <c r="P226" s="136" t="s">
        <v>1287</v>
      </c>
      <c r="Q226" s="138"/>
      <c r="R226" s="138"/>
      <c r="S226" s="136"/>
      <c r="T226" s="136"/>
      <c r="U226" s="136"/>
      <c r="V226" s="148" t="s">
        <v>2094</v>
      </c>
      <c r="W226" s="139" t="s">
        <v>1395</v>
      </c>
      <c r="X226" s="139" t="s">
        <v>1396</v>
      </c>
      <c r="Y226" s="171"/>
    </row>
    <row r="227" spans="1:25" ht="18" customHeight="1" x14ac:dyDescent="0.3">
      <c r="A227" s="164" t="s">
        <v>1936</v>
      </c>
      <c r="B227" s="141"/>
      <c r="C227" s="141"/>
      <c r="D227" s="141" t="s">
        <v>1411</v>
      </c>
      <c r="E227" s="140"/>
      <c r="F227" s="140"/>
      <c r="G227" s="140">
        <v>4</v>
      </c>
      <c r="H227" s="140" t="s">
        <v>512</v>
      </c>
      <c r="I227" s="141" t="s">
        <v>312</v>
      </c>
      <c r="J227" s="143" t="s">
        <v>1411</v>
      </c>
      <c r="K227" s="141" t="s">
        <v>1358</v>
      </c>
      <c r="L227" s="141" t="s">
        <v>78</v>
      </c>
      <c r="M227" s="141" t="s">
        <v>1300</v>
      </c>
      <c r="N227" s="145" t="s">
        <v>1791</v>
      </c>
      <c r="O227" s="147"/>
      <c r="P227" s="140" t="s">
        <v>1287</v>
      </c>
      <c r="Q227" s="142"/>
      <c r="R227" s="142"/>
      <c r="S227" s="140"/>
      <c r="T227" s="140"/>
      <c r="U227" s="140"/>
      <c r="V227" s="149" t="s">
        <v>2079</v>
      </c>
      <c r="W227" s="143" t="s">
        <v>356</v>
      </c>
      <c r="X227" s="143" t="s">
        <v>1412</v>
      </c>
      <c r="Y227" s="172"/>
    </row>
    <row r="228" spans="1:25" ht="18" customHeight="1" x14ac:dyDescent="0.3">
      <c r="A228" s="161">
        <v>5</v>
      </c>
      <c r="B228" s="113" t="s">
        <v>743</v>
      </c>
      <c r="C228" s="113"/>
      <c r="D228" s="113"/>
      <c r="E228" s="114"/>
      <c r="F228" s="114"/>
      <c r="G228" s="114">
        <v>2</v>
      </c>
      <c r="H228" s="114" t="s">
        <v>512</v>
      </c>
      <c r="I228" s="113" t="s">
        <v>743</v>
      </c>
      <c r="J228" s="123" t="s">
        <v>743</v>
      </c>
      <c r="K228" s="113"/>
      <c r="L228" s="113"/>
      <c r="M228" s="113"/>
      <c r="N228" s="119" t="s">
        <v>744</v>
      </c>
      <c r="O228" s="121"/>
      <c r="P228" s="114" t="s">
        <v>1287</v>
      </c>
      <c r="Q228" s="115"/>
      <c r="R228" s="115"/>
      <c r="S228" s="114"/>
      <c r="T228" s="114"/>
      <c r="U228" s="114"/>
      <c r="V228" s="126"/>
      <c r="W228" s="123"/>
      <c r="X228" s="123"/>
      <c r="Y228" s="169"/>
    </row>
    <row r="229" spans="1:25" ht="18" customHeight="1" x14ac:dyDescent="0.3">
      <c r="A229" s="162">
        <v>5.01</v>
      </c>
      <c r="B229" s="116"/>
      <c r="C229" s="116" t="s">
        <v>557</v>
      </c>
      <c r="D229" s="116"/>
      <c r="E229" s="117"/>
      <c r="F229" s="117"/>
      <c r="G229" s="117">
        <v>3</v>
      </c>
      <c r="H229" s="117" t="s">
        <v>512</v>
      </c>
      <c r="I229" s="116" t="s">
        <v>557</v>
      </c>
      <c r="J229" s="124" t="s">
        <v>557</v>
      </c>
      <c r="K229" s="116"/>
      <c r="L229" s="116"/>
      <c r="M229" s="116"/>
      <c r="N229" s="120" t="s">
        <v>1970</v>
      </c>
      <c r="O229" s="122"/>
      <c r="P229" s="117" t="s">
        <v>1287</v>
      </c>
      <c r="Q229" s="118"/>
      <c r="R229" s="118"/>
      <c r="S229" s="117"/>
      <c r="T229" s="117"/>
      <c r="U229" s="117"/>
      <c r="V229" s="150"/>
      <c r="W229" s="124"/>
      <c r="X229" s="124"/>
      <c r="Y229" s="170"/>
    </row>
    <row r="230" spans="1:25" ht="18" customHeight="1" x14ac:dyDescent="0.3">
      <c r="A230" s="163" t="s">
        <v>1937</v>
      </c>
      <c r="B230" s="137"/>
      <c r="C230" s="137"/>
      <c r="D230" s="137" t="s">
        <v>745</v>
      </c>
      <c r="E230" s="136"/>
      <c r="F230" s="136"/>
      <c r="G230" s="136">
        <v>4</v>
      </c>
      <c r="H230" s="136" t="s">
        <v>512</v>
      </c>
      <c r="I230" s="137" t="s">
        <v>557</v>
      </c>
      <c r="J230" s="139" t="s">
        <v>745</v>
      </c>
      <c r="K230" s="137" t="s">
        <v>426</v>
      </c>
      <c r="L230" s="137" t="s">
        <v>345</v>
      </c>
      <c r="M230" s="137" t="s">
        <v>438</v>
      </c>
      <c r="N230" s="144" t="s">
        <v>1792</v>
      </c>
      <c r="O230" s="146"/>
      <c r="P230" s="136" t="s">
        <v>1287</v>
      </c>
      <c r="Q230" s="138"/>
      <c r="R230" s="138"/>
      <c r="S230" s="136"/>
      <c r="T230" s="136" t="s">
        <v>1288</v>
      </c>
      <c r="U230" s="136" t="s">
        <v>2053</v>
      </c>
      <c r="V230" s="148" t="s">
        <v>2054</v>
      </c>
      <c r="W230" s="139" t="s">
        <v>79</v>
      </c>
      <c r="X230" s="139" t="s">
        <v>720</v>
      </c>
      <c r="Y230" s="171"/>
    </row>
    <row r="231" spans="1:25" ht="18" customHeight="1" x14ac:dyDescent="0.3">
      <c r="A231" s="162">
        <v>5.0199999999999996</v>
      </c>
      <c r="B231" s="116"/>
      <c r="C231" s="116" t="s">
        <v>568</v>
      </c>
      <c r="D231" s="116"/>
      <c r="E231" s="117"/>
      <c r="F231" s="117"/>
      <c r="G231" s="117">
        <v>3</v>
      </c>
      <c r="H231" s="117" t="s">
        <v>512</v>
      </c>
      <c r="I231" s="116" t="s">
        <v>568</v>
      </c>
      <c r="J231" s="124" t="s">
        <v>568</v>
      </c>
      <c r="K231" s="116"/>
      <c r="L231" s="116"/>
      <c r="M231" s="116"/>
      <c r="N231" s="120" t="s">
        <v>1971</v>
      </c>
      <c r="O231" s="122"/>
      <c r="P231" s="117" t="s">
        <v>1287</v>
      </c>
      <c r="Q231" s="118"/>
      <c r="R231" s="118"/>
      <c r="S231" s="117"/>
      <c r="T231" s="117"/>
      <c r="U231" s="117"/>
      <c r="V231" s="150"/>
      <c r="W231" s="124"/>
      <c r="X231" s="124"/>
      <c r="Y231" s="170"/>
    </row>
    <row r="232" spans="1:25" ht="18" customHeight="1" x14ac:dyDescent="0.3">
      <c r="A232" s="164" t="s">
        <v>1938</v>
      </c>
      <c r="B232" s="141"/>
      <c r="C232" s="141"/>
      <c r="D232" s="141" t="s">
        <v>746</v>
      </c>
      <c r="E232" s="140"/>
      <c r="F232" s="140"/>
      <c r="G232" s="140">
        <v>4</v>
      </c>
      <c r="H232" s="140" t="s">
        <v>512</v>
      </c>
      <c r="I232" s="141" t="s">
        <v>568</v>
      </c>
      <c r="J232" s="143" t="s">
        <v>746</v>
      </c>
      <c r="K232" s="141" t="s">
        <v>330</v>
      </c>
      <c r="L232" s="141" t="s">
        <v>78</v>
      </c>
      <c r="M232" s="141" t="s">
        <v>431</v>
      </c>
      <c r="N232" s="145" t="s">
        <v>1793</v>
      </c>
      <c r="O232" s="147"/>
      <c r="P232" s="140" t="s">
        <v>2025</v>
      </c>
      <c r="Q232" s="142"/>
      <c r="R232" s="142"/>
      <c r="S232" s="140"/>
      <c r="T232" s="140" t="s">
        <v>2053</v>
      </c>
      <c r="U232" s="140" t="s">
        <v>2057</v>
      </c>
      <c r="V232" s="149" t="s">
        <v>2058</v>
      </c>
      <c r="W232" s="143" t="s">
        <v>79</v>
      </c>
      <c r="X232" s="143" t="s">
        <v>747</v>
      </c>
      <c r="Y232" s="172"/>
    </row>
    <row r="233" spans="1:25" ht="18" customHeight="1" x14ac:dyDescent="0.3">
      <c r="A233" s="163" t="s">
        <v>1920</v>
      </c>
      <c r="B233" s="137"/>
      <c r="C233" s="137"/>
      <c r="D233" s="137" t="s">
        <v>726</v>
      </c>
      <c r="E233" s="136"/>
      <c r="F233" s="136"/>
      <c r="G233" s="136">
        <v>4</v>
      </c>
      <c r="H233" s="136" t="s">
        <v>512</v>
      </c>
      <c r="I233" s="137" t="s">
        <v>568</v>
      </c>
      <c r="J233" s="139" t="s">
        <v>726</v>
      </c>
      <c r="K233" s="137" t="s">
        <v>348</v>
      </c>
      <c r="L233" s="137" t="s">
        <v>78</v>
      </c>
      <c r="M233" s="137" t="s">
        <v>748</v>
      </c>
      <c r="N233" s="144" t="s">
        <v>1775</v>
      </c>
      <c r="O233" s="146"/>
      <c r="P233" s="136" t="s">
        <v>1287</v>
      </c>
      <c r="Q233" s="138"/>
      <c r="R233" s="138"/>
      <c r="S233" s="136"/>
      <c r="T233" s="136" t="s">
        <v>2053</v>
      </c>
      <c r="U233" s="136" t="s">
        <v>2057</v>
      </c>
      <c r="V233" s="148" t="s">
        <v>2045</v>
      </c>
      <c r="W233" s="139" t="s">
        <v>79</v>
      </c>
      <c r="X233" s="139" t="s">
        <v>749</v>
      </c>
      <c r="Y233" s="171"/>
    </row>
    <row r="234" spans="1:25" ht="18" customHeight="1" x14ac:dyDescent="0.3">
      <c r="A234" s="162">
        <v>5.04</v>
      </c>
      <c r="B234" s="116"/>
      <c r="C234" s="116" t="s">
        <v>728</v>
      </c>
      <c r="D234" s="116"/>
      <c r="E234" s="117"/>
      <c r="F234" s="117"/>
      <c r="G234" s="117">
        <v>3</v>
      </c>
      <c r="H234" s="117" t="s">
        <v>512</v>
      </c>
      <c r="I234" s="116" t="s">
        <v>728</v>
      </c>
      <c r="J234" s="124" t="s">
        <v>728</v>
      </c>
      <c r="K234" s="116"/>
      <c r="L234" s="116"/>
      <c r="M234" s="116"/>
      <c r="N234" s="120" t="s">
        <v>1972</v>
      </c>
      <c r="O234" s="122"/>
      <c r="P234" s="117" t="s">
        <v>1287</v>
      </c>
      <c r="Q234" s="118"/>
      <c r="R234" s="118"/>
      <c r="S234" s="117"/>
      <c r="T234" s="117"/>
      <c r="U234" s="117"/>
      <c r="V234" s="150"/>
      <c r="W234" s="124"/>
      <c r="X234" s="124"/>
      <c r="Y234" s="170"/>
    </row>
    <row r="235" spans="1:25" ht="18" customHeight="1" x14ac:dyDescent="0.3">
      <c r="A235" s="164" t="s">
        <v>1921</v>
      </c>
      <c r="B235" s="141"/>
      <c r="C235" s="141"/>
      <c r="D235" s="141" t="s">
        <v>730</v>
      </c>
      <c r="E235" s="140"/>
      <c r="F235" s="140"/>
      <c r="G235" s="140">
        <v>4</v>
      </c>
      <c r="H235" s="140" t="s">
        <v>512</v>
      </c>
      <c r="I235" s="141" t="s">
        <v>728</v>
      </c>
      <c r="J235" s="143" t="s">
        <v>730</v>
      </c>
      <c r="K235" s="141" t="s">
        <v>349</v>
      </c>
      <c r="L235" s="141" t="s">
        <v>78</v>
      </c>
      <c r="M235" s="141" t="s">
        <v>750</v>
      </c>
      <c r="N235" s="145" t="s">
        <v>1776</v>
      </c>
      <c r="O235" s="147"/>
      <c r="P235" s="140" t="s">
        <v>2022</v>
      </c>
      <c r="Q235" s="142"/>
      <c r="R235" s="142"/>
      <c r="S235" s="140"/>
      <c r="T235" s="140"/>
      <c r="U235" s="140"/>
      <c r="V235" s="149" t="s">
        <v>2073</v>
      </c>
      <c r="W235" s="143" t="s">
        <v>79</v>
      </c>
      <c r="X235" s="143" t="s">
        <v>664</v>
      </c>
      <c r="Y235" s="172"/>
    </row>
    <row r="236" spans="1:25" ht="18" customHeight="1" x14ac:dyDescent="0.3">
      <c r="A236" s="163" t="s">
        <v>1922</v>
      </c>
      <c r="B236" s="137"/>
      <c r="C236" s="137"/>
      <c r="D236" s="137" t="s">
        <v>732</v>
      </c>
      <c r="E236" s="136"/>
      <c r="F236" s="136"/>
      <c r="G236" s="136">
        <v>4</v>
      </c>
      <c r="H236" s="136" t="s">
        <v>512</v>
      </c>
      <c r="I236" s="137" t="s">
        <v>728</v>
      </c>
      <c r="J236" s="139" t="s">
        <v>732</v>
      </c>
      <c r="K236" s="137" t="s">
        <v>350</v>
      </c>
      <c r="L236" s="137" t="s">
        <v>78</v>
      </c>
      <c r="M236" s="137" t="s">
        <v>751</v>
      </c>
      <c r="N236" s="144" t="s">
        <v>1777</v>
      </c>
      <c r="O236" s="146"/>
      <c r="P236" s="136" t="s">
        <v>2031</v>
      </c>
      <c r="Q236" s="138"/>
      <c r="R236" s="138"/>
      <c r="S236" s="136"/>
      <c r="T236" s="136"/>
      <c r="U236" s="136"/>
      <c r="V236" s="148" t="s">
        <v>2047</v>
      </c>
      <c r="W236" s="139" t="s">
        <v>79</v>
      </c>
      <c r="X236" s="139" t="s">
        <v>654</v>
      </c>
      <c r="Y236" s="171"/>
    </row>
    <row r="237" spans="1:25" ht="18" customHeight="1" x14ac:dyDescent="0.3">
      <c r="A237" s="164" t="s">
        <v>1939</v>
      </c>
      <c r="B237" s="141"/>
      <c r="C237" s="141"/>
      <c r="D237" s="141" t="s">
        <v>753</v>
      </c>
      <c r="E237" s="140"/>
      <c r="F237" s="140"/>
      <c r="G237" s="140">
        <v>4</v>
      </c>
      <c r="H237" s="140" t="s">
        <v>512</v>
      </c>
      <c r="I237" s="141" t="s">
        <v>728</v>
      </c>
      <c r="J237" s="143" t="s">
        <v>753</v>
      </c>
      <c r="K237" s="141" t="s">
        <v>351</v>
      </c>
      <c r="L237" s="141" t="s">
        <v>78</v>
      </c>
      <c r="M237" s="141" t="s">
        <v>752</v>
      </c>
      <c r="N237" s="145" t="s">
        <v>1794</v>
      </c>
      <c r="O237" s="147"/>
      <c r="P237" s="140" t="s">
        <v>2034</v>
      </c>
      <c r="Q237" s="142"/>
      <c r="R237" s="142"/>
      <c r="S237" s="140"/>
      <c r="T237" s="140"/>
      <c r="U237" s="140"/>
      <c r="V237" s="149" t="s">
        <v>2033</v>
      </c>
      <c r="W237" s="143" t="s">
        <v>79</v>
      </c>
      <c r="X237" s="143" t="s">
        <v>654</v>
      </c>
      <c r="Y237" s="172"/>
    </row>
    <row r="238" spans="1:25" ht="18" customHeight="1" x14ac:dyDescent="0.3">
      <c r="A238" s="162">
        <v>5.05</v>
      </c>
      <c r="B238" s="116"/>
      <c r="C238" s="116" t="s">
        <v>619</v>
      </c>
      <c r="D238" s="116"/>
      <c r="E238" s="117"/>
      <c r="F238" s="117"/>
      <c r="G238" s="117">
        <v>3</v>
      </c>
      <c r="H238" s="117" t="s">
        <v>512</v>
      </c>
      <c r="I238" s="116" t="s">
        <v>619</v>
      </c>
      <c r="J238" s="124" t="s">
        <v>619</v>
      </c>
      <c r="K238" s="116"/>
      <c r="L238" s="116"/>
      <c r="M238" s="116"/>
      <c r="N238" s="120" t="s">
        <v>1973</v>
      </c>
      <c r="O238" s="122"/>
      <c r="P238" s="117" t="s">
        <v>1287</v>
      </c>
      <c r="Q238" s="118"/>
      <c r="R238" s="118"/>
      <c r="S238" s="117"/>
      <c r="T238" s="117"/>
      <c r="U238" s="117"/>
      <c r="V238" s="150"/>
      <c r="W238" s="124"/>
      <c r="X238" s="124"/>
      <c r="Y238" s="170"/>
    </row>
    <row r="239" spans="1:25" ht="18" customHeight="1" x14ac:dyDescent="0.3">
      <c r="A239" s="163" t="s">
        <v>1940</v>
      </c>
      <c r="B239" s="137"/>
      <c r="C239" s="137"/>
      <c r="D239" s="137" t="s">
        <v>755</v>
      </c>
      <c r="E239" s="136"/>
      <c r="F239" s="136"/>
      <c r="G239" s="136">
        <v>4</v>
      </c>
      <c r="H239" s="136" t="s">
        <v>512</v>
      </c>
      <c r="I239" s="137" t="s">
        <v>619</v>
      </c>
      <c r="J239" s="139" t="s">
        <v>755</v>
      </c>
      <c r="K239" s="137" t="s">
        <v>329</v>
      </c>
      <c r="L239" s="137" t="s">
        <v>78</v>
      </c>
      <c r="M239" s="137" t="s">
        <v>754</v>
      </c>
      <c r="N239" s="144" t="s">
        <v>1795</v>
      </c>
      <c r="O239" s="146"/>
      <c r="P239" s="136" t="s">
        <v>1287</v>
      </c>
      <c r="Q239" s="138"/>
      <c r="R239" s="138"/>
      <c r="S239" s="136"/>
      <c r="T239" s="136" t="s">
        <v>2062</v>
      </c>
      <c r="U239" s="136" t="s">
        <v>2069</v>
      </c>
      <c r="V239" s="148" t="s">
        <v>2072</v>
      </c>
      <c r="W239" s="139" t="s">
        <v>79</v>
      </c>
      <c r="X239" s="139" t="s">
        <v>624</v>
      </c>
      <c r="Y239" s="171"/>
    </row>
    <row r="240" spans="1:25" ht="18" customHeight="1" x14ac:dyDescent="0.3">
      <c r="A240" s="164" t="s">
        <v>1941</v>
      </c>
      <c r="B240" s="141"/>
      <c r="C240" s="141"/>
      <c r="D240" s="141" t="s">
        <v>756</v>
      </c>
      <c r="E240" s="140"/>
      <c r="F240" s="140"/>
      <c r="G240" s="140">
        <v>4</v>
      </c>
      <c r="H240" s="140" t="s">
        <v>512</v>
      </c>
      <c r="I240" s="141" t="s">
        <v>619</v>
      </c>
      <c r="J240" s="143" t="s">
        <v>756</v>
      </c>
      <c r="K240" s="141" t="s">
        <v>329</v>
      </c>
      <c r="L240" s="141" t="s">
        <v>78</v>
      </c>
      <c r="M240" s="141" t="s">
        <v>754</v>
      </c>
      <c r="N240" s="145" t="s">
        <v>1796</v>
      </c>
      <c r="O240" s="147"/>
      <c r="P240" s="140" t="s">
        <v>1287</v>
      </c>
      <c r="Q240" s="142"/>
      <c r="R240" s="142"/>
      <c r="S240" s="140"/>
      <c r="T240" s="140" t="s">
        <v>2062</v>
      </c>
      <c r="U240" s="140" t="s">
        <v>2069</v>
      </c>
      <c r="V240" s="149" t="s">
        <v>2078</v>
      </c>
      <c r="W240" s="143" t="s">
        <v>79</v>
      </c>
      <c r="X240" s="143" t="s">
        <v>595</v>
      </c>
      <c r="Y240" s="172"/>
    </row>
    <row r="241" spans="1:25" ht="18" customHeight="1" x14ac:dyDescent="0.3">
      <c r="A241" s="163" t="s">
        <v>2095</v>
      </c>
      <c r="B241" s="137"/>
      <c r="C241" s="137"/>
      <c r="D241" s="137" t="s">
        <v>741</v>
      </c>
      <c r="E241" s="136"/>
      <c r="F241" s="136"/>
      <c r="G241" s="136">
        <v>4</v>
      </c>
      <c r="H241" s="136" t="s">
        <v>512</v>
      </c>
      <c r="I241" s="137" t="s">
        <v>619</v>
      </c>
      <c r="J241" s="139" t="s">
        <v>741</v>
      </c>
      <c r="K241" s="137" t="s">
        <v>352</v>
      </c>
      <c r="L241" s="137" t="s">
        <v>78</v>
      </c>
      <c r="M241" s="137" t="s">
        <v>757</v>
      </c>
      <c r="N241" s="144" t="s">
        <v>2096</v>
      </c>
      <c r="O241" s="146"/>
      <c r="P241" s="136" t="s">
        <v>1287</v>
      </c>
      <c r="Q241" s="138"/>
      <c r="R241" s="138"/>
      <c r="S241" s="136"/>
      <c r="T241" s="136" t="s">
        <v>2062</v>
      </c>
      <c r="U241" s="136" t="s">
        <v>2069</v>
      </c>
      <c r="V241" s="148" t="s">
        <v>2092</v>
      </c>
      <c r="W241" s="139" t="s">
        <v>742</v>
      </c>
      <c r="X241" s="139" t="s">
        <v>703</v>
      </c>
      <c r="Y241" s="171"/>
    </row>
    <row r="242" spans="1:25" ht="18" customHeight="1" x14ac:dyDescent="0.3">
      <c r="A242" s="162">
        <v>0.13</v>
      </c>
      <c r="B242" s="116"/>
      <c r="C242" s="116" t="s">
        <v>312</v>
      </c>
      <c r="D242" s="116"/>
      <c r="E242" s="117"/>
      <c r="F242" s="117"/>
      <c r="G242" s="117">
        <v>3</v>
      </c>
      <c r="H242" s="117" t="s">
        <v>512</v>
      </c>
      <c r="I242" s="116" t="s">
        <v>312</v>
      </c>
      <c r="J242" s="124" t="s">
        <v>312</v>
      </c>
      <c r="K242" s="116"/>
      <c r="L242" s="116"/>
      <c r="M242" s="116"/>
      <c r="N242" s="120" t="s">
        <v>1719</v>
      </c>
      <c r="O242" s="122"/>
      <c r="P242" s="117" t="s">
        <v>1287</v>
      </c>
      <c r="Q242" s="118"/>
      <c r="R242" s="118"/>
      <c r="S242" s="117"/>
      <c r="T242" s="117"/>
      <c r="U242" s="117"/>
      <c r="V242" s="150"/>
      <c r="W242" s="124"/>
      <c r="X242" s="124"/>
      <c r="Y242" s="170"/>
    </row>
    <row r="243" spans="1:25" ht="18" customHeight="1" x14ac:dyDescent="0.3">
      <c r="A243" s="164" t="s">
        <v>1942</v>
      </c>
      <c r="B243" s="141"/>
      <c r="C243" s="141"/>
      <c r="D243" s="141" t="s">
        <v>1389</v>
      </c>
      <c r="E243" s="140"/>
      <c r="F243" s="140"/>
      <c r="G243" s="140">
        <v>4</v>
      </c>
      <c r="H243" s="140" t="s">
        <v>512</v>
      </c>
      <c r="I243" s="141" t="s">
        <v>312</v>
      </c>
      <c r="J243" s="143" t="s">
        <v>1389</v>
      </c>
      <c r="K243" s="141" t="s">
        <v>480</v>
      </c>
      <c r="L243" s="141" t="s">
        <v>78</v>
      </c>
      <c r="M243" s="141" t="s">
        <v>1388</v>
      </c>
      <c r="N243" s="145" t="s">
        <v>1797</v>
      </c>
      <c r="O243" s="147"/>
      <c r="P243" s="140" t="s">
        <v>1287</v>
      </c>
      <c r="Q243" s="142"/>
      <c r="R243" s="142"/>
      <c r="S243" s="140"/>
      <c r="T243" s="140"/>
      <c r="U243" s="140"/>
      <c r="V243" s="149" t="s">
        <v>2079</v>
      </c>
      <c r="W243" s="143" t="s">
        <v>581</v>
      </c>
      <c r="X243" s="143" t="s">
        <v>1379</v>
      </c>
      <c r="Y243" s="172"/>
    </row>
    <row r="244" spans="1:25" ht="18" customHeight="1" x14ac:dyDescent="0.3">
      <c r="A244" s="163" t="s">
        <v>1943</v>
      </c>
      <c r="B244" s="137"/>
      <c r="C244" s="137"/>
      <c r="D244" s="137" t="s">
        <v>1390</v>
      </c>
      <c r="E244" s="136"/>
      <c r="F244" s="136"/>
      <c r="G244" s="136">
        <v>4</v>
      </c>
      <c r="H244" s="136" t="s">
        <v>512</v>
      </c>
      <c r="I244" s="137" t="s">
        <v>312</v>
      </c>
      <c r="J244" s="139" t="s">
        <v>1390</v>
      </c>
      <c r="K244" s="137" t="s">
        <v>480</v>
      </c>
      <c r="L244" s="137" t="s">
        <v>78</v>
      </c>
      <c r="M244" s="137" t="s">
        <v>1388</v>
      </c>
      <c r="N244" s="144" t="s">
        <v>1798</v>
      </c>
      <c r="O244" s="146"/>
      <c r="P244" s="136" t="s">
        <v>1287</v>
      </c>
      <c r="Q244" s="138"/>
      <c r="R244" s="138"/>
      <c r="S244" s="136"/>
      <c r="T244" s="136"/>
      <c r="U244" s="136"/>
      <c r="V244" s="148" t="s">
        <v>2079</v>
      </c>
      <c r="W244" s="139" t="s">
        <v>581</v>
      </c>
      <c r="X244" s="139" t="s">
        <v>1381</v>
      </c>
      <c r="Y244" s="171"/>
    </row>
    <row r="245" spans="1:25" ht="18" customHeight="1" x14ac:dyDescent="0.3">
      <c r="A245" s="164" t="s">
        <v>1944</v>
      </c>
      <c r="B245" s="141"/>
      <c r="C245" s="141"/>
      <c r="D245" s="141" t="s">
        <v>1391</v>
      </c>
      <c r="E245" s="140"/>
      <c r="F245" s="140"/>
      <c r="G245" s="140">
        <v>4</v>
      </c>
      <c r="H245" s="140" t="s">
        <v>512</v>
      </c>
      <c r="I245" s="141" t="s">
        <v>312</v>
      </c>
      <c r="J245" s="143" t="s">
        <v>1391</v>
      </c>
      <c r="K245" s="141" t="s">
        <v>1352</v>
      </c>
      <c r="L245" s="141" t="s">
        <v>78</v>
      </c>
      <c r="M245" s="141" t="s">
        <v>1388</v>
      </c>
      <c r="N245" s="145" t="s">
        <v>1799</v>
      </c>
      <c r="O245" s="147"/>
      <c r="P245" s="140" t="s">
        <v>1287</v>
      </c>
      <c r="Q245" s="142"/>
      <c r="R245" s="142"/>
      <c r="S245" s="140"/>
      <c r="T245" s="140"/>
      <c r="U245" s="140"/>
      <c r="V245" s="149" t="s">
        <v>2079</v>
      </c>
      <c r="W245" s="143" t="s">
        <v>581</v>
      </c>
      <c r="X245" s="143" t="s">
        <v>1383</v>
      </c>
      <c r="Y245" s="172"/>
    </row>
    <row r="246" spans="1:25" ht="18" customHeight="1" x14ac:dyDescent="0.3">
      <c r="A246" s="163" t="s">
        <v>1945</v>
      </c>
      <c r="B246" s="137"/>
      <c r="C246" s="137"/>
      <c r="D246" s="137" t="s">
        <v>1392</v>
      </c>
      <c r="E246" s="136"/>
      <c r="F246" s="136"/>
      <c r="G246" s="136">
        <v>4</v>
      </c>
      <c r="H246" s="136" t="s">
        <v>512</v>
      </c>
      <c r="I246" s="137" t="s">
        <v>312</v>
      </c>
      <c r="J246" s="139" t="s">
        <v>1392</v>
      </c>
      <c r="K246" s="137" t="s">
        <v>1358</v>
      </c>
      <c r="L246" s="137" t="s">
        <v>78</v>
      </c>
      <c r="M246" s="137" t="s">
        <v>1300</v>
      </c>
      <c r="N246" s="144" t="s">
        <v>1800</v>
      </c>
      <c r="O246" s="146"/>
      <c r="P246" s="136" t="s">
        <v>1287</v>
      </c>
      <c r="Q246" s="138"/>
      <c r="R246" s="138"/>
      <c r="S246" s="136"/>
      <c r="T246" s="136"/>
      <c r="U246" s="136"/>
      <c r="V246" s="148" t="s">
        <v>2015</v>
      </c>
      <c r="W246" s="139" t="s">
        <v>1375</v>
      </c>
      <c r="X246" s="139" t="s">
        <v>1385</v>
      </c>
      <c r="Y246" s="171"/>
    </row>
    <row r="247" spans="1:25" ht="18" customHeight="1" x14ac:dyDescent="0.3">
      <c r="A247" s="164" t="s">
        <v>1946</v>
      </c>
      <c r="B247" s="141"/>
      <c r="C247" s="141"/>
      <c r="D247" s="141" t="s">
        <v>1393</v>
      </c>
      <c r="E247" s="140"/>
      <c r="F247" s="140"/>
      <c r="G247" s="140">
        <v>4</v>
      </c>
      <c r="H247" s="140" t="s">
        <v>512</v>
      </c>
      <c r="I247" s="141" t="s">
        <v>312</v>
      </c>
      <c r="J247" s="143" t="s">
        <v>1393</v>
      </c>
      <c r="K247" s="141" t="s">
        <v>1358</v>
      </c>
      <c r="L247" s="141" t="s">
        <v>78</v>
      </c>
      <c r="M247" s="141" t="s">
        <v>1300</v>
      </c>
      <c r="N247" s="145" t="s">
        <v>1801</v>
      </c>
      <c r="O247" s="147"/>
      <c r="P247" s="140" t="s">
        <v>1287</v>
      </c>
      <c r="Q247" s="142"/>
      <c r="R247" s="142"/>
      <c r="S247" s="140"/>
      <c r="T247" s="140"/>
      <c r="U247" s="140"/>
      <c r="V247" s="149" t="s">
        <v>2079</v>
      </c>
      <c r="W247" s="143" t="s">
        <v>1360</v>
      </c>
      <c r="X247" s="143" t="s">
        <v>1361</v>
      </c>
      <c r="Y247" s="172"/>
    </row>
    <row r="248" spans="1:25" ht="18" customHeight="1" x14ac:dyDescent="0.3">
      <c r="A248" s="163" t="s">
        <v>1947</v>
      </c>
      <c r="B248" s="137"/>
      <c r="C248" s="137"/>
      <c r="D248" s="137" t="s">
        <v>1394</v>
      </c>
      <c r="E248" s="136"/>
      <c r="F248" s="136"/>
      <c r="G248" s="136">
        <v>4</v>
      </c>
      <c r="H248" s="136" t="s">
        <v>512</v>
      </c>
      <c r="I248" s="137" t="s">
        <v>312</v>
      </c>
      <c r="J248" s="139" t="s">
        <v>1394</v>
      </c>
      <c r="K248" s="137" t="s">
        <v>350</v>
      </c>
      <c r="L248" s="137" t="s">
        <v>78</v>
      </c>
      <c r="M248" s="137" t="s">
        <v>532</v>
      </c>
      <c r="N248" s="144" t="s">
        <v>1802</v>
      </c>
      <c r="O248" s="146"/>
      <c r="P248" s="136" t="s">
        <v>1287</v>
      </c>
      <c r="Q248" s="138"/>
      <c r="R248" s="138"/>
      <c r="S248" s="136"/>
      <c r="T248" s="136"/>
      <c r="U248" s="136"/>
      <c r="V248" s="148" t="s">
        <v>2094</v>
      </c>
      <c r="W248" s="139" t="s">
        <v>1395</v>
      </c>
      <c r="X248" s="139" t="s">
        <v>1396</v>
      </c>
      <c r="Y248" s="171"/>
    </row>
    <row r="249" spans="1:25" ht="18" customHeight="1" x14ac:dyDescent="0.3">
      <c r="A249" s="164" t="s">
        <v>1948</v>
      </c>
      <c r="B249" s="141"/>
      <c r="C249" s="141"/>
      <c r="D249" s="141" t="s">
        <v>1398</v>
      </c>
      <c r="E249" s="140"/>
      <c r="F249" s="140"/>
      <c r="G249" s="140">
        <v>4</v>
      </c>
      <c r="H249" s="140" t="s">
        <v>512</v>
      </c>
      <c r="I249" s="141" t="s">
        <v>312</v>
      </c>
      <c r="J249" s="143" t="s">
        <v>1398</v>
      </c>
      <c r="K249" s="141" t="s">
        <v>1397</v>
      </c>
      <c r="L249" s="141" t="s">
        <v>78</v>
      </c>
      <c r="M249" s="141" t="s">
        <v>1300</v>
      </c>
      <c r="N249" s="145" t="s">
        <v>1803</v>
      </c>
      <c r="O249" s="147"/>
      <c r="P249" s="140" t="s">
        <v>1287</v>
      </c>
      <c r="Q249" s="142"/>
      <c r="R249" s="142"/>
      <c r="S249" s="140"/>
      <c r="T249" s="140"/>
      <c r="U249" s="140"/>
      <c r="V249" s="149" t="s">
        <v>2093</v>
      </c>
      <c r="W249" s="143" t="s">
        <v>356</v>
      </c>
      <c r="X249" s="143" t="s">
        <v>1399</v>
      </c>
      <c r="Y249" s="172"/>
    </row>
    <row r="250" spans="1:25" ht="18" customHeight="1" x14ac:dyDescent="0.3">
      <c r="A250" s="161">
        <v>6</v>
      </c>
      <c r="B250" s="113" t="s">
        <v>758</v>
      </c>
      <c r="C250" s="113"/>
      <c r="D250" s="113"/>
      <c r="E250" s="114"/>
      <c r="F250" s="114"/>
      <c r="G250" s="114">
        <v>2</v>
      </c>
      <c r="H250" s="114" t="s">
        <v>512</v>
      </c>
      <c r="I250" s="113" t="s">
        <v>758</v>
      </c>
      <c r="J250" s="123" t="s">
        <v>758</v>
      </c>
      <c r="K250" s="113"/>
      <c r="L250" s="113"/>
      <c r="M250" s="113"/>
      <c r="N250" s="119" t="s">
        <v>759</v>
      </c>
      <c r="O250" s="121"/>
      <c r="P250" s="114" t="s">
        <v>1287</v>
      </c>
      <c r="Q250" s="115"/>
      <c r="R250" s="115"/>
      <c r="S250" s="114"/>
      <c r="T250" s="114"/>
      <c r="U250" s="114"/>
      <c r="V250" s="126"/>
      <c r="W250" s="123"/>
      <c r="X250" s="123"/>
      <c r="Y250" s="169"/>
    </row>
    <row r="251" spans="1:25" ht="18" customHeight="1" x14ac:dyDescent="0.3">
      <c r="A251" s="162">
        <v>6.07</v>
      </c>
      <c r="B251" s="116"/>
      <c r="C251" s="116" t="s">
        <v>760</v>
      </c>
      <c r="D251" s="116"/>
      <c r="E251" s="117"/>
      <c r="F251" s="117"/>
      <c r="G251" s="117">
        <v>3</v>
      </c>
      <c r="H251" s="117" t="s">
        <v>512</v>
      </c>
      <c r="I251" s="116" t="s">
        <v>760</v>
      </c>
      <c r="J251" s="124" t="s">
        <v>760</v>
      </c>
      <c r="K251" s="116"/>
      <c r="L251" s="116"/>
      <c r="M251" s="116"/>
      <c r="N251" s="120" t="s">
        <v>1974</v>
      </c>
      <c r="O251" s="122"/>
      <c r="P251" s="117" t="s">
        <v>1287</v>
      </c>
      <c r="Q251" s="118"/>
      <c r="R251" s="118"/>
      <c r="S251" s="117"/>
      <c r="T251" s="117"/>
      <c r="U251" s="117"/>
      <c r="V251" s="150"/>
      <c r="W251" s="124"/>
      <c r="X251" s="124"/>
      <c r="Y251" s="170"/>
    </row>
    <row r="252" spans="1:25" ht="18" customHeight="1" x14ac:dyDescent="0.3">
      <c r="A252" s="163" t="s">
        <v>1949</v>
      </c>
      <c r="B252" s="137"/>
      <c r="C252" s="137"/>
      <c r="D252" s="137" t="s">
        <v>761</v>
      </c>
      <c r="E252" s="136"/>
      <c r="F252" s="136"/>
      <c r="G252" s="136">
        <v>4</v>
      </c>
      <c r="H252" s="136" t="s">
        <v>512</v>
      </c>
      <c r="I252" s="137" t="s">
        <v>760</v>
      </c>
      <c r="J252" s="139" t="s">
        <v>761</v>
      </c>
      <c r="K252" s="137" t="s">
        <v>426</v>
      </c>
      <c r="L252" s="137" t="s">
        <v>345</v>
      </c>
      <c r="M252" s="137" t="s">
        <v>432</v>
      </c>
      <c r="N252" s="144" t="s">
        <v>1804</v>
      </c>
      <c r="O252" s="146"/>
      <c r="P252" s="136" t="s">
        <v>1287</v>
      </c>
      <c r="Q252" s="138"/>
      <c r="R252" s="138"/>
      <c r="S252" s="136"/>
      <c r="T252" s="136"/>
      <c r="U252" s="136"/>
      <c r="V252" s="148" t="s">
        <v>1670</v>
      </c>
      <c r="W252" s="139" t="s">
        <v>79</v>
      </c>
      <c r="X252" s="139" t="s">
        <v>720</v>
      </c>
      <c r="Y252" s="171"/>
    </row>
    <row r="253" spans="1:25" ht="18" customHeight="1" x14ac:dyDescent="0.3">
      <c r="A253" s="164" t="s">
        <v>1950</v>
      </c>
      <c r="B253" s="141"/>
      <c r="C253" s="141"/>
      <c r="D253" s="141" t="s">
        <v>762</v>
      </c>
      <c r="E253" s="140"/>
      <c r="F253" s="140"/>
      <c r="G253" s="140">
        <v>4</v>
      </c>
      <c r="H253" s="140" t="s">
        <v>512</v>
      </c>
      <c r="I253" s="141" t="s">
        <v>760</v>
      </c>
      <c r="J253" s="143" t="s">
        <v>762</v>
      </c>
      <c r="K253" s="141" t="s">
        <v>330</v>
      </c>
      <c r="L253" s="141" t="s">
        <v>78</v>
      </c>
      <c r="M253" s="141" t="s">
        <v>432</v>
      </c>
      <c r="N253" s="145" t="s">
        <v>1805</v>
      </c>
      <c r="O253" s="147"/>
      <c r="P253" s="140" t="s">
        <v>2025</v>
      </c>
      <c r="Q253" s="142"/>
      <c r="R253" s="142"/>
      <c r="S253" s="140"/>
      <c r="T253" s="140"/>
      <c r="U253" s="140"/>
      <c r="V253" s="149" t="s">
        <v>2058</v>
      </c>
      <c r="W253" s="143" t="s">
        <v>79</v>
      </c>
      <c r="X253" s="143" t="s">
        <v>749</v>
      </c>
      <c r="Y253" s="172"/>
    </row>
    <row r="254" spans="1:25" ht="18" customHeight="1" x14ac:dyDescent="0.3">
      <c r="A254" s="163" t="s">
        <v>1951</v>
      </c>
      <c r="B254" s="137"/>
      <c r="C254" s="137"/>
      <c r="D254" s="137" t="s">
        <v>765</v>
      </c>
      <c r="E254" s="136"/>
      <c r="F254" s="136"/>
      <c r="G254" s="136">
        <v>4</v>
      </c>
      <c r="H254" s="136" t="s">
        <v>512</v>
      </c>
      <c r="I254" s="137" t="s">
        <v>760</v>
      </c>
      <c r="J254" s="139" t="s">
        <v>765</v>
      </c>
      <c r="K254" s="137" t="s">
        <v>763</v>
      </c>
      <c r="L254" s="137" t="s">
        <v>78</v>
      </c>
      <c r="M254" s="137" t="s">
        <v>764</v>
      </c>
      <c r="N254" s="144" t="s">
        <v>1806</v>
      </c>
      <c r="O254" s="146"/>
      <c r="P254" s="136" t="s">
        <v>1287</v>
      </c>
      <c r="Q254" s="138"/>
      <c r="R254" s="138"/>
      <c r="S254" s="136"/>
      <c r="T254" s="136"/>
      <c r="U254" s="136"/>
      <c r="V254" s="148" t="s">
        <v>2108</v>
      </c>
      <c r="W254" s="139" t="s">
        <v>79</v>
      </c>
      <c r="X254" s="139" t="s">
        <v>653</v>
      </c>
      <c r="Y254" s="171"/>
    </row>
    <row r="255" spans="1:25" ht="18" customHeight="1" x14ac:dyDescent="0.3">
      <c r="A255" s="164" t="s">
        <v>1925</v>
      </c>
      <c r="B255" s="141"/>
      <c r="C255" s="141"/>
      <c r="D255" s="141" t="s">
        <v>767</v>
      </c>
      <c r="E255" s="140"/>
      <c r="F255" s="140"/>
      <c r="G255" s="140">
        <v>4</v>
      </c>
      <c r="H255" s="140" t="s">
        <v>512</v>
      </c>
      <c r="I255" s="141" t="s">
        <v>760</v>
      </c>
      <c r="J255" s="143" t="s">
        <v>767</v>
      </c>
      <c r="K255" s="141" t="s">
        <v>329</v>
      </c>
      <c r="L255" s="141" t="s">
        <v>78</v>
      </c>
      <c r="M255" s="141" t="s">
        <v>766</v>
      </c>
      <c r="N255" s="145" t="s">
        <v>1780</v>
      </c>
      <c r="O255" s="147"/>
      <c r="P255" s="140" t="s">
        <v>1287</v>
      </c>
      <c r="Q255" s="142"/>
      <c r="R255" s="142"/>
      <c r="S255" s="140"/>
      <c r="T255" s="140"/>
      <c r="U255" s="140"/>
      <c r="V255" s="149" t="s">
        <v>2089</v>
      </c>
      <c r="W255" s="143" t="s">
        <v>79</v>
      </c>
      <c r="X255" s="143" t="s">
        <v>624</v>
      </c>
      <c r="Y255" s="172"/>
    </row>
    <row r="256" spans="1:25" ht="18" customHeight="1" x14ac:dyDescent="0.3">
      <c r="A256" s="163" t="s">
        <v>1929</v>
      </c>
      <c r="B256" s="137"/>
      <c r="C256" s="137"/>
      <c r="D256" s="137" t="s">
        <v>741</v>
      </c>
      <c r="E256" s="136"/>
      <c r="F256" s="136"/>
      <c r="G256" s="136">
        <v>4</v>
      </c>
      <c r="H256" s="136" t="s">
        <v>512</v>
      </c>
      <c r="I256" s="137" t="s">
        <v>760</v>
      </c>
      <c r="J256" s="139" t="s">
        <v>741</v>
      </c>
      <c r="K256" s="137" t="s">
        <v>352</v>
      </c>
      <c r="L256" s="137" t="s">
        <v>78</v>
      </c>
      <c r="M256" s="137" t="s">
        <v>768</v>
      </c>
      <c r="N256" s="144" t="s">
        <v>1784</v>
      </c>
      <c r="O256" s="146"/>
      <c r="P256" s="136" t="s">
        <v>1287</v>
      </c>
      <c r="Q256" s="138"/>
      <c r="R256" s="138"/>
      <c r="S256" s="136"/>
      <c r="T256" s="136"/>
      <c r="U256" s="136"/>
      <c r="V256" s="148" t="s">
        <v>2092</v>
      </c>
      <c r="W256" s="139" t="s">
        <v>742</v>
      </c>
      <c r="X256" s="139" t="s">
        <v>703</v>
      </c>
      <c r="Y256" s="171"/>
    </row>
    <row r="257" spans="1:25" ht="18" customHeight="1" x14ac:dyDescent="0.3">
      <c r="A257" s="162">
        <v>0.13</v>
      </c>
      <c r="B257" s="116"/>
      <c r="C257" s="116" t="s">
        <v>312</v>
      </c>
      <c r="D257" s="116"/>
      <c r="E257" s="117"/>
      <c r="F257" s="117"/>
      <c r="G257" s="117">
        <v>3</v>
      </c>
      <c r="H257" s="117" t="s">
        <v>512</v>
      </c>
      <c r="I257" s="116" t="s">
        <v>312</v>
      </c>
      <c r="J257" s="124" t="s">
        <v>312</v>
      </c>
      <c r="K257" s="116"/>
      <c r="L257" s="116"/>
      <c r="M257" s="116"/>
      <c r="N257" s="120" t="s">
        <v>1719</v>
      </c>
      <c r="O257" s="122"/>
      <c r="P257" s="117" t="s">
        <v>1287</v>
      </c>
      <c r="Q257" s="118"/>
      <c r="R257" s="118"/>
      <c r="S257" s="117"/>
      <c r="T257" s="117"/>
      <c r="U257" s="117"/>
      <c r="V257" s="150"/>
      <c r="W257" s="124"/>
      <c r="X257" s="124"/>
      <c r="Y257" s="170"/>
    </row>
    <row r="258" spans="1:25" ht="18" customHeight="1" x14ac:dyDescent="0.3">
      <c r="A258" s="164" t="s">
        <v>1952</v>
      </c>
      <c r="B258" s="141"/>
      <c r="C258" s="141"/>
      <c r="D258" s="141" t="s">
        <v>1378</v>
      </c>
      <c r="E258" s="140"/>
      <c r="F258" s="140"/>
      <c r="G258" s="140">
        <v>4</v>
      </c>
      <c r="H258" s="140" t="s">
        <v>512</v>
      </c>
      <c r="I258" s="141" t="s">
        <v>312</v>
      </c>
      <c r="J258" s="143" t="s">
        <v>1378</v>
      </c>
      <c r="K258" s="141" t="s">
        <v>480</v>
      </c>
      <c r="L258" s="141" t="s">
        <v>78</v>
      </c>
      <c r="M258" s="141" t="s">
        <v>1377</v>
      </c>
      <c r="N258" s="145" t="s">
        <v>1807</v>
      </c>
      <c r="O258" s="147"/>
      <c r="P258" s="140" t="s">
        <v>1287</v>
      </c>
      <c r="Q258" s="142"/>
      <c r="R258" s="142"/>
      <c r="S258" s="140"/>
      <c r="T258" s="140"/>
      <c r="U258" s="140"/>
      <c r="V258" s="149" t="s">
        <v>2079</v>
      </c>
      <c r="W258" s="143" t="s">
        <v>581</v>
      </c>
      <c r="X258" s="143" t="s">
        <v>1379</v>
      </c>
      <c r="Y258" s="172"/>
    </row>
    <row r="259" spans="1:25" ht="18" customHeight="1" x14ac:dyDescent="0.3">
      <c r="A259" s="163" t="s">
        <v>1953</v>
      </c>
      <c r="B259" s="137"/>
      <c r="C259" s="137"/>
      <c r="D259" s="137" t="s">
        <v>1380</v>
      </c>
      <c r="E259" s="136"/>
      <c r="F259" s="136"/>
      <c r="G259" s="136">
        <v>4</v>
      </c>
      <c r="H259" s="136" t="s">
        <v>512</v>
      </c>
      <c r="I259" s="137" t="s">
        <v>312</v>
      </c>
      <c r="J259" s="139" t="s">
        <v>1380</v>
      </c>
      <c r="K259" s="137" t="s">
        <v>480</v>
      </c>
      <c r="L259" s="137" t="s">
        <v>78</v>
      </c>
      <c r="M259" s="137" t="s">
        <v>1377</v>
      </c>
      <c r="N259" s="144" t="s">
        <v>1808</v>
      </c>
      <c r="O259" s="146"/>
      <c r="P259" s="136" t="s">
        <v>1287</v>
      </c>
      <c r="Q259" s="138"/>
      <c r="R259" s="138"/>
      <c r="S259" s="136"/>
      <c r="T259" s="136"/>
      <c r="U259" s="136"/>
      <c r="V259" s="148" t="s">
        <v>2079</v>
      </c>
      <c r="W259" s="139" t="s">
        <v>581</v>
      </c>
      <c r="X259" s="139" t="s">
        <v>1381</v>
      </c>
      <c r="Y259" s="171"/>
    </row>
    <row r="260" spans="1:25" ht="18" customHeight="1" x14ac:dyDescent="0.3">
      <c r="A260" s="164" t="s">
        <v>1954</v>
      </c>
      <c r="B260" s="141"/>
      <c r="C260" s="141"/>
      <c r="D260" s="141" t="s">
        <v>1382</v>
      </c>
      <c r="E260" s="140"/>
      <c r="F260" s="140"/>
      <c r="G260" s="140">
        <v>4</v>
      </c>
      <c r="H260" s="140" t="s">
        <v>512</v>
      </c>
      <c r="I260" s="141" t="s">
        <v>312</v>
      </c>
      <c r="J260" s="143" t="s">
        <v>1382</v>
      </c>
      <c r="K260" s="141" t="s">
        <v>1352</v>
      </c>
      <c r="L260" s="141" t="s">
        <v>78</v>
      </c>
      <c r="M260" s="141" t="s">
        <v>1377</v>
      </c>
      <c r="N260" s="145" t="s">
        <v>1809</v>
      </c>
      <c r="O260" s="147"/>
      <c r="P260" s="140" t="s">
        <v>1287</v>
      </c>
      <c r="Q260" s="142"/>
      <c r="R260" s="142"/>
      <c r="S260" s="140"/>
      <c r="T260" s="140"/>
      <c r="U260" s="140"/>
      <c r="V260" s="149" t="s">
        <v>2079</v>
      </c>
      <c r="W260" s="143" t="s">
        <v>581</v>
      </c>
      <c r="X260" s="143" t="s">
        <v>1383</v>
      </c>
      <c r="Y260" s="172"/>
    </row>
    <row r="261" spans="1:25" ht="18" customHeight="1" x14ac:dyDescent="0.3">
      <c r="A261" s="163" t="s">
        <v>1955</v>
      </c>
      <c r="B261" s="137"/>
      <c r="C261" s="137"/>
      <c r="D261" s="137" t="s">
        <v>1384</v>
      </c>
      <c r="E261" s="136"/>
      <c r="F261" s="136"/>
      <c r="G261" s="136">
        <v>4</v>
      </c>
      <c r="H261" s="136" t="s">
        <v>512</v>
      </c>
      <c r="I261" s="137" t="s">
        <v>312</v>
      </c>
      <c r="J261" s="139" t="s">
        <v>1384</v>
      </c>
      <c r="K261" s="137" t="s">
        <v>1358</v>
      </c>
      <c r="L261" s="137" t="s">
        <v>78</v>
      </c>
      <c r="M261" s="137" t="s">
        <v>1300</v>
      </c>
      <c r="N261" s="144" t="s">
        <v>1810</v>
      </c>
      <c r="O261" s="146"/>
      <c r="P261" s="136" t="s">
        <v>1287</v>
      </c>
      <c r="Q261" s="138"/>
      <c r="R261" s="138"/>
      <c r="S261" s="136"/>
      <c r="T261" s="136"/>
      <c r="U261" s="136"/>
      <c r="V261" s="148" t="s">
        <v>2015</v>
      </c>
      <c r="W261" s="139" t="s">
        <v>1375</v>
      </c>
      <c r="X261" s="139" t="s">
        <v>1385</v>
      </c>
      <c r="Y261" s="171"/>
    </row>
    <row r="262" spans="1:25" ht="18" customHeight="1" x14ac:dyDescent="0.3">
      <c r="A262" s="164" t="s">
        <v>1956</v>
      </c>
      <c r="B262" s="141"/>
      <c r="C262" s="141"/>
      <c r="D262" s="141" t="s">
        <v>1386</v>
      </c>
      <c r="E262" s="140"/>
      <c r="F262" s="140"/>
      <c r="G262" s="140">
        <v>4</v>
      </c>
      <c r="H262" s="140" t="s">
        <v>512</v>
      </c>
      <c r="I262" s="141" t="s">
        <v>312</v>
      </c>
      <c r="J262" s="143" t="s">
        <v>1386</v>
      </c>
      <c r="K262" s="141" t="s">
        <v>1358</v>
      </c>
      <c r="L262" s="141" t="s">
        <v>78</v>
      </c>
      <c r="M262" s="141" t="s">
        <v>1300</v>
      </c>
      <c r="N262" s="145" t="s">
        <v>1811</v>
      </c>
      <c r="O262" s="147"/>
      <c r="P262" s="140" t="s">
        <v>1287</v>
      </c>
      <c r="Q262" s="142"/>
      <c r="R262" s="142"/>
      <c r="S262" s="140"/>
      <c r="T262" s="140"/>
      <c r="U262" s="140"/>
      <c r="V262" s="149" t="s">
        <v>2079</v>
      </c>
      <c r="W262" s="143" t="s">
        <v>1360</v>
      </c>
      <c r="X262" s="143" t="s">
        <v>1361</v>
      </c>
      <c r="Y262" s="172"/>
    </row>
    <row r="263" spans="1:25" ht="18" customHeight="1" x14ac:dyDescent="0.3">
      <c r="A263" s="161">
        <v>7</v>
      </c>
      <c r="B263" s="113" t="s">
        <v>133</v>
      </c>
      <c r="C263" s="113"/>
      <c r="D263" s="113"/>
      <c r="E263" s="114"/>
      <c r="F263" s="114"/>
      <c r="G263" s="114">
        <v>2</v>
      </c>
      <c r="H263" s="114" t="s">
        <v>2097</v>
      </c>
      <c r="I263" s="113" t="s">
        <v>133</v>
      </c>
      <c r="J263" s="123" t="s">
        <v>133</v>
      </c>
      <c r="K263" s="113"/>
      <c r="L263" s="113"/>
      <c r="M263" s="113"/>
      <c r="N263" s="119" t="s">
        <v>769</v>
      </c>
      <c r="O263" s="121"/>
      <c r="P263" s="114" t="s">
        <v>1287</v>
      </c>
      <c r="Q263" s="115"/>
      <c r="R263" s="115"/>
      <c r="S263" s="114"/>
      <c r="T263" s="114"/>
      <c r="U263" s="114"/>
      <c r="V263" s="126"/>
      <c r="W263" s="123"/>
      <c r="X263" s="123"/>
      <c r="Y263" s="169"/>
    </row>
    <row r="264" spans="1:25" ht="18" customHeight="1" x14ac:dyDescent="0.3">
      <c r="A264" s="162">
        <v>7.01</v>
      </c>
      <c r="B264" s="116"/>
      <c r="C264" s="116" t="s">
        <v>1529</v>
      </c>
      <c r="D264" s="116"/>
      <c r="E264" s="117"/>
      <c r="F264" s="117"/>
      <c r="G264" s="117">
        <v>3</v>
      </c>
      <c r="H264" s="117" t="s">
        <v>2097</v>
      </c>
      <c r="I264" s="116" t="s">
        <v>1529</v>
      </c>
      <c r="J264" s="124" t="s">
        <v>1529</v>
      </c>
      <c r="K264" s="116"/>
      <c r="L264" s="116"/>
      <c r="M264" s="116"/>
      <c r="N264" s="120" t="s">
        <v>1296</v>
      </c>
      <c r="O264" s="122"/>
      <c r="P264" s="117" t="s">
        <v>1287</v>
      </c>
      <c r="Q264" s="118"/>
      <c r="R264" s="118"/>
      <c r="S264" s="117"/>
      <c r="T264" s="117"/>
      <c r="U264" s="117"/>
      <c r="V264" s="150"/>
      <c r="W264" s="124"/>
      <c r="X264" s="124"/>
      <c r="Y264" s="170"/>
    </row>
    <row r="265" spans="1:25" ht="18" customHeight="1" x14ac:dyDescent="0.3">
      <c r="A265" s="163" t="s">
        <v>1620</v>
      </c>
      <c r="B265" s="137"/>
      <c r="C265" s="137"/>
      <c r="D265" s="137" t="s">
        <v>1531</v>
      </c>
      <c r="E265" s="136"/>
      <c r="F265" s="136"/>
      <c r="G265" s="136">
        <v>4</v>
      </c>
      <c r="H265" s="136" t="s">
        <v>2097</v>
      </c>
      <c r="I265" s="137" t="s">
        <v>1529</v>
      </c>
      <c r="J265" s="139" t="s">
        <v>1531</v>
      </c>
      <c r="K265" s="137" t="s">
        <v>770</v>
      </c>
      <c r="L265" s="137" t="s">
        <v>42</v>
      </c>
      <c r="M265" s="137"/>
      <c r="N265" s="144" t="s">
        <v>1530</v>
      </c>
      <c r="O265" s="146"/>
      <c r="P265" s="136" t="s">
        <v>1287</v>
      </c>
      <c r="Q265" s="138"/>
      <c r="R265" s="138"/>
      <c r="S265" s="136"/>
      <c r="T265" s="136"/>
      <c r="U265" s="136"/>
      <c r="V265" s="148" t="s">
        <v>2109</v>
      </c>
      <c r="W265" s="139" t="s">
        <v>466</v>
      </c>
      <c r="X265" s="139" t="s">
        <v>467</v>
      </c>
      <c r="Y265" s="171"/>
    </row>
    <row r="266" spans="1:25" ht="18" customHeight="1" x14ac:dyDescent="0.3">
      <c r="A266" s="164" t="s">
        <v>1621</v>
      </c>
      <c r="B266" s="141"/>
      <c r="C266" s="141"/>
      <c r="D266" s="141" t="s">
        <v>1533</v>
      </c>
      <c r="E266" s="140"/>
      <c r="F266" s="140"/>
      <c r="G266" s="140">
        <v>4</v>
      </c>
      <c r="H266" s="140" t="s">
        <v>2097</v>
      </c>
      <c r="I266" s="141" t="s">
        <v>1529</v>
      </c>
      <c r="J266" s="143" t="s">
        <v>1533</v>
      </c>
      <c r="K266" s="141" t="s">
        <v>770</v>
      </c>
      <c r="L266" s="141" t="s">
        <v>42</v>
      </c>
      <c r="M266" s="141"/>
      <c r="N266" s="145" t="s">
        <v>1532</v>
      </c>
      <c r="O266" s="147"/>
      <c r="P266" s="140" t="s">
        <v>1287</v>
      </c>
      <c r="Q266" s="142"/>
      <c r="R266" s="142"/>
      <c r="S266" s="140"/>
      <c r="T266" s="140"/>
      <c r="U266" s="140"/>
      <c r="V266" s="149" t="s">
        <v>2109</v>
      </c>
      <c r="W266" s="143" t="s">
        <v>466</v>
      </c>
      <c r="X266" s="143" t="s">
        <v>467</v>
      </c>
      <c r="Y266" s="172"/>
    </row>
    <row r="267" spans="1:25" ht="18" customHeight="1" x14ac:dyDescent="0.3">
      <c r="A267" s="163" t="s">
        <v>1622</v>
      </c>
      <c r="B267" s="137"/>
      <c r="C267" s="137"/>
      <c r="D267" s="137" t="s">
        <v>1536</v>
      </c>
      <c r="E267" s="136"/>
      <c r="F267" s="136"/>
      <c r="G267" s="136">
        <v>4</v>
      </c>
      <c r="H267" s="136" t="s">
        <v>2097</v>
      </c>
      <c r="I267" s="137" t="s">
        <v>1529</v>
      </c>
      <c r="J267" s="139" t="s">
        <v>1536</v>
      </c>
      <c r="K267" s="137" t="s">
        <v>770</v>
      </c>
      <c r="L267" s="137" t="s">
        <v>42</v>
      </c>
      <c r="M267" s="137"/>
      <c r="N267" s="144" t="s">
        <v>1535</v>
      </c>
      <c r="O267" s="146"/>
      <c r="P267" s="136" t="s">
        <v>1287</v>
      </c>
      <c r="Q267" s="138"/>
      <c r="R267" s="138"/>
      <c r="S267" s="136"/>
      <c r="T267" s="136"/>
      <c r="U267" s="136"/>
      <c r="V267" s="148" t="s">
        <v>2109</v>
      </c>
      <c r="W267" s="139" t="s">
        <v>466</v>
      </c>
      <c r="X267" s="139" t="s">
        <v>467</v>
      </c>
      <c r="Y267" s="171"/>
    </row>
    <row r="268" spans="1:25" ht="18" customHeight="1" x14ac:dyDescent="0.3">
      <c r="A268" s="162">
        <v>7.02</v>
      </c>
      <c r="B268" s="116"/>
      <c r="C268" s="116" t="s">
        <v>1537</v>
      </c>
      <c r="D268" s="116"/>
      <c r="E268" s="117"/>
      <c r="F268" s="117"/>
      <c r="G268" s="117">
        <v>3</v>
      </c>
      <c r="H268" s="117" t="s">
        <v>2097</v>
      </c>
      <c r="I268" s="116" t="s">
        <v>1537</v>
      </c>
      <c r="J268" s="124" t="s">
        <v>1537</v>
      </c>
      <c r="K268" s="116"/>
      <c r="L268" s="116"/>
      <c r="M268" s="116"/>
      <c r="N268" s="120" t="s">
        <v>1297</v>
      </c>
      <c r="O268" s="122"/>
      <c r="P268" s="117" t="s">
        <v>1287</v>
      </c>
      <c r="Q268" s="118"/>
      <c r="R268" s="118"/>
      <c r="S268" s="117"/>
      <c r="T268" s="117"/>
      <c r="U268" s="117"/>
      <c r="V268" s="150"/>
      <c r="W268" s="124"/>
      <c r="X268" s="124"/>
      <c r="Y268" s="170"/>
    </row>
    <row r="269" spans="1:25" ht="18" customHeight="1" x14ac:dyDescent="0.3">
      <c r="A269" s="164" t="s">
        <v>1623</v>
      </c>
      <c r="B269" s="141"/>
      <c r="C269" s="141"/>
      <c r="D269" s="141" t="s">
        <v>1539</v>
      </c>
      <c r="E269" s="140"/>
      <c r="F269" s="140"/>
      <c r="G269" s="140">
        <v>4</v>
      </c>
      <c r="H269" s="140" t="s">
        <v>2097</v>
      </c>
      <c r="I269" s="141" t="s">
        <v>1537</v>
      </c>
      <c r="J269" s="143" t="s">
        <v>1539</v>
      </c>
      <c r="K269" s="141" t="s">
        <v>770</v>
      </c>
      <c r="L269" s="141" t="s">
        <v>42</v>
      </c>
      <c r="M269" s="141"/>
      <c r="N269" s="145" t="s">
        <v>1538</v>
      </c>
      <c r="O269" s="147"/>
      <c r="P269" s="140" t="s">
        <v>1287</v>
      </c>
      <c r="Q269" s="142"/>
      <c r="R269" s="142"/>
      <c r="S269" s="140"/>
      <c r="T269" s="140"/>
      <c r="U269" s="140"/>
      <c r="V269" s="149" t="s">
        <v>2098</v>
      </c>
      <c r="W269" s="143" t="s">
        <v>466</v>
      </c>
      <c r="X269" s="143" t="s">
        <v>467</v>
      </c>
      <c r="Y269" s="172"/>
    </row>
    <row r="270" spans="1:25" ht="18" customHeight="1" x14ac:dyDescent="0.3">
      <c r="A270" s="163" t="s">
        <v>1624</v>
      </c>
      <c r="B270" s="137"/>
      <c r="C270" s="137"/>
      <c r="D270" s="137" t="s">
        <v>1542</v>
      </c>
      <c r="E270" s="136"/>
      <c r="F270" s="136"/>
      <c r="G270" s="136">
        <v>4</v>
      </c>
      <c r="H270" s="136" t="s">
        <v>2097</v>
      </c>
      <c r="I270" s="137" t="s">
        <v>1537</v>
      </c>
      <c r="J270" s="139" t="s">
        <v>1542</v>
      </c>
      <c r="K270" s="137" t="s">
        <v>770</v>
      </c>
      <c r="L270" s="137" t="s">
        <v>42</v>
      </c>
      <c r="M270" s="137"/>
      <c r="N270" s="144" t="s">
        <v>1541</v>
      </c>
      <c r="O270" s="146"/>
      <c r="P270" s="136" t="s">
        <v>1287</v>
      </c>
      <c r="Q270" s="138"/>
      <c r="R270" s="138"/>
      <c r="S270" s="136"/>
      <c r="T270" s="136"/>
      <c r="U270" s="136"/>
      <c r="V270" s="148" t="s">
        <v>2098</v>
      </c>
      <c r="W270" s="139" t="s">
        <v>466</v>
      </c>
      <c r="X270" s="139" t="s">
        <v>467</v>
      </c>
      <c r="Y270" s="171"/>
    </row>
    <row r="271" spans="1:25" ht="18" customHeight="1" x14ac:dyDescent="0.3">
      <c r="A271" s="164" t="s">
        <v>1625</v>
      </c>
      <c r="B271" s="141"/>
      <c r="C271" s="141"/>
      <c r="D271" s="141" t="s">
        <v>1544</v>
      </c>
      <c r="E271" s="140"/>
      <c r="F271" s="140"/>
      <c r="G271" s="140">
        <v>4</v>
      </c>
      <c r="H271" s="140" t="s">
        <v>2097</v>
      </c>
      <c r="I271" s="141" t="s">
        <v>1537</v>
      </c>
      <c r="J271" s="143" t="s">
        <v>1544</v>
      </c>
      <c r="K271" s="141" t="s">
        <v>770</v>
      </c>
      <c r="L271" s="141" t="s">
        <v>42</v>
      </c>
      <c r="M271" s="141"/>
      <c r="N271" s="145" t="s">
        <v>1543</v>
      </c>
      <c r="O271" s="147"/>
      <c r="P271" s="140" t="s">
        <v>1287</v>
      </c>
      <c r="Q271" s="142"/>
      <c r="R271" s="142"/>
      <c r="S271" s="140"/>
      <c r="T271" s="140"/>
      <c r="U271" s="140"/>
      <c r="V271" s="149" t="s">
        <v>2098</v>
      </c>
      <c r="W271" s="143" t="s">
        <v>466</v>
      </c>
      <c r="X271" s="143" t="s">
        <v>467</v>
      </c>
      <c r="Y271" s="172"/>
    </row>
    <row r="272" spans="1:25" ht="18" customHeight="1" x14ac:dyDescent="0.3">
      <c r="A272" s="162">
        <v>7.03</v>
      </c>
      <c r="B272" s="116"/>
      <c r="C272" s="116" t="s">
        <v>1545</v>
      </c>
      <c r="D272" s="116"/>
      <c r="E272" s="117"/>
      <c r="F272" s="117"/>
      <c r="G272" s="117">
        <v>3</v>
      </c>
      <c r="H272" s="117" t="s">
        <v>2097</v>
      </c>
      <c r="I272" s="116" t="s">
        <v>1545</v>
      </c>
      <c r="J272" s="124" t="s">
        <v>1545</v>
      </c>
      <c r="K272" s="116"/>
      <c r="L272" s="116"/>
      <c r="M272" s="116"/>
      <c r="N272" s="120" t="s">
        <v>1298</v>
      </c>
      <c r="O272" s="122"/>
      <c r="P272" s="117" t="s">
        <v>1287</v>
      </c>
      <c r="Q272" s="118"/>
      <c r="R272" s="118"/>
      <c r="S272" s="117"/>
      <c r="T272" s="117"/>
      <c r="U272" s="117"/>
      <c r="V272" s="150"/>
      <c r="W272" s="124"/>
      <c r="X272" s="124"/>
      <c r="Y272" s="170"/>
    </row>
    <row r="273" spans="1:25" ht="18" customHeight="1" x14ac:dyDescent="0.3">
      <c r="A273" s="163" t="s">
        <v>1626</v>
      </c>
      <c r="B273" s="137"/>
      <c r="C273" s="137"/>
      <c r="D273" s="137" t="s">
        <v>1547</v>
      </c>
      <c r="E273" s="136"/>
      <c r="F273" s="136"/>
      <c r="G273" s="136">
        <v>4</v>
      </c>
      <c r="H273" s="136" t="s">
        <v>2097</v>
      </c>
      <c r="I273" s="137" t="s">
        <v>1545</v>
      </c>
      <c r="J273" s="139" t="s">
        <v>1547</v>
      </c>
      <c r="K273" s="137" t="s">
        <v>770</v>
      </c>
      <c r="L273" s="137" t="s">
        <v>42</v>
      </c>
      <c r="M273" s="137"/>
      <c r="N273" s="144" t="s">
        <v>1546</v>
      </c>
      <c r="O273" s="146"/>
      <c r="P273" s="136" t="s">
        <v>1287</v>
      </c>
      <c r="Q273" s="138"/>
      <c r="R273" s="138"/>
      <c r="S273" s="136"/>
      <c r="T273" s="136"/>
      <c r="U273" s="136"/>
      <c r="V273" s="148" t="s">
        <v>2099</v>
      </c>
      <c r="W273" s="139" t="s">
        <v>466</v>
      </c>
      <c r="X273" s="139" t="s">
        <v>467</v>
      </c>
      <c r="Y273" s="171"/>
    </row>
    <row r="274" spans="1:25" ht="18" customHeight="1" x14ac:dyDescent="0.3">
      <c r="A274" s="164" t="s">
        <v>1627</v>
      </c>
      <c r="B274" s="141"/>
      <c r="C274" s="141"/>
      <c r="D274" s="141" t="s">
        <v>1549</v>
      </c>
      <c r="E274" s="140"/>
      <c r="F274" s="140"/>
      <c r="G274" s="140">
        <v>4</v>
      </c>
      <c r="H274" s="140" t="s">
        <v>2097</v>
      </c>
      <c r="I274" s="141" t="s">
        <v>1545</v>
      </c>
      <c r="J274" s="143" t="s">
        <v>1549</v>
      </c>
      <c r="K274" s="141" t="s">
        <v>770</v>
      </c>
      <c r="L274" s="141" t="s">
        <v>42</v>
      </c>
      <c r="M274" s="141"/>
      <c r="N274" s="145" t="s">
        <v>1548</v>
      </c>
      <c r="O274" s="147"/>
      <c r="P274" s="140" t="s">
        <v>1287</v>
      </c>
      <c r="Q274" s="142"/>
      <c r="R274" s="142"/>
      <c r="S274" s="140"/>
      <c r="T274" s="140"/>
      <c r="U274" s="140"/>
      <c r="V274" s="149" t="s">
        <v>1994</v>
      </c>
      <c r="W274" s="143" t="s">
        <v>466</v>
      </c>
      <c r="X274" s="143" t="s">
        <v>467</v>
      </c>
      <c r="Y274" s="172"/>
    </row>
    <row r="275" spans="1:25" ht="18" customHeight="1" x14ac:dyDescent="0.3">
      <c r="A275" s="162">
        <v>7.04</v>
      </c>
      <c r="B275" s="116"/>
      <c r="C275" s="116" t="s">
        <v>1550</v>
      </c>
      <c r="D275" s="116"/>
      <c r="E275" s="117"/>
      <c r="F275" s="117"/>
      <c r="G275" s="117">
        <v>3</v>
      </c>
      <c r="H275" s="117" t="s">
        <v>2097</v>
      </c>
      <c r="I275" s="116" t="s">
        <v>1550</v>
      </c>
      <c r="J275" s="124" t="s">
        <v>1550</v>
      </c>
      <c r="K275" s="116"/>
      <c r="L275" s="116"/>
      <c r="M275" s="116"/>
      <c r="N275" s="120" t="s">
        <v>1551</v>
      </c>
      <c r="O275" s="122"/>
      <c r="P275" s="117" t="s">
        <v>1287</v>
      </c>
      <c r="Q275" s="118"/>
      <c r="R275" s="118"/>
      <c r="S275" s="117"/>
      <c r="T275" s="117"/>
      <c r="U275" s="117"/>
      <c r="V275" s="150"/>
      <c r="W275" s="124"/>
      <c r="X275" s="124"/>
      <c r="Y275" s="170"/>
    </row>
    <row r="276" spans="1:25" ht="18" customHeight="1" x14ac:dyDescent="0.3">
      <c r="A276" s="163" t="s">
        <v>1628</v>
      </c>
      <c r="B276" s="137"/>
      <c r="C276" s="137"/>
      <c r="D276" s="137" t="s">
        <v>1553</v>
      </c>
      <c r="E276" s="136"/>
      <c r="F276" s="136"/>
      <c r="G276" s="136">
        <v>4</v>
      </c>
      <c r="H276" s="136" t="s">
        <v>2097</v>
      </c>
      <c r="I276" s="137" t="s">
        <v>1550</v>
      </c>
      <c r="J276" s="139" t="s">
        <v>1553</v>
      </c>
      <c r="K276" s="137" t="s">
        <v>118</v>
      </c>
      <c r="L276" s="137" t="s">
        <v>42</v>
      </c>
      <c r="M276" s="137"/>
      <c r="N276" s="144" t="s">
        <v>1552</v>
      </c>
      <c r="O276" s="146"/>
      <c r="P276" s="136" t="s">
        <v>1287</v>
      </c>
      <c r="Q276" s="138"/>
      <c r="R276" s="138"/>
      <c r="S276" s="136"/>
      <c r="T276" s="136"/>
      <c r="U276" s="136"/>
      <c r="V276" s="148" t="s">
        <v>2100</v>
      </c>
      <c r="W276" s="139" t="s">
        <v>466</v>
      </c>
      <c r="X276" s="139" t="s">
        <v>467</v>
      </c>
      <c r="Y276" s="171"/>
    </row>
    <row r="277" spans="1:25" ht="18" customHeight="1" x14ac:dyDescent="0.3">
      <c r="A277" s="164" t="s">
        <v>1629</v>
      </c>
      <c r="B277" s="141"/>
      <c r="C277" s="141"/>
      <c r="D277" s="141" t="s">
        <v>1555</v>
      </c>
      <c r="E277" s="140"/>
      <c r="F277" s="140"/>
      <c r="G277" s="140">
        <v>4</v>
      </c>
      <c r="H277" s="140" t="s">
        <v>2097</v>
      </c>
      <c r="I277" s="141" t="s">
        <v>1550</v>
      </c>
      <c r="J277" s="143" t="s">
        <v>1555</v>
      </c>
      <c r="K277" s="141" t="s">
        <v>118</v>
      </c>
      <c r="L277" s="141" t="s">
        <v>42</v>
      </c>
      <c r="M277" s="141"/>
      <c r="N277" s="145" t="s">
        <v>1554</v>
      </c>
      <c r="O277" s="147"/>
      <c r="P277" s="140" t="s">
        <v>1287</v>
      </c>
      <c r="Q277" s="142"/>
      <c r="R277" s="142"/>
      <c r="S277" s="140"/>
      <c r="T277" s="140"/>
      <c r="U277" s="140"/>
      <c r="V277" s="149" t="s">
        <v>2110</v>
      </c>
      <c r="W277" s="143" t="s">
        <v>466</v>
      </c>
      <c r="X277" s="143" t="s">
        <v>467</v>
      </c>
      <c r="Y277" s="172"/>
    </row>
    <row r="278" spans="1:25" ht="18" customHeight="1" x14ac:dyDescent="0.3">
      <c r="A278" s="161">
        <v>1</v>
      </c>
      <c r="B278" s="113" t="s">
        <v>773</v>
      </c>
      <c r="C278" s="113"/>
      <c r="D278" s="113"/>
      <c r="E278" s="114"/>
      <c r="F278" s="114"/>
      <c r="G278" s="114">
        <v>2</v>
      </c>
      <c r="H278" s="114" t="s">
        <v>134</v>
      </c>
      <c r="I278" s="113" t="s">
        <v>773</v>
      </c>
      <c r="J278" s="123" t="s">
        <v>773</v>
      </c>
      <c r="K278" s="113"/>
      <c r="L278" s="113"/>
      <c r="M278" s="113"/>
      <c r="N278" s="119" t="s">
        <v>447</v>
      </c>
      <c r="O278" s="121"/>
      <c r="P278" s="114" t="s">
        <v>1287</v>
      </c>
      <c r="Q278" s="115"/>
      <c r="R278" s="115"/>
      <c r="S278" s="114"/>
      <c r="T278" s="114"/>
      <c r="U278" s="114"/>
      <c r="V278" s="126"/>
      <c r="W278" s="123"/>
      <c r="X278" s="123"/>
      <c r="Y278" s="169"/>
    </row>
    <row r="279" spans="1:25" ht="18" customHeight="1" x14ac:dyDescent="0.3">
      <c r="A279" s="162">
        <v>1.01</v>
      </c>
      <c r="B279" s="116"/>
      <c r="C279" s="116" t="s">
        <v>774</v>
      </c>
      <c r="D279" s="116"/>
      <c r="E279" s="117"/>
      <c r="F279" s="117"/>
      <c r="G279" s="117">
        <v>3</v>
      </c>
      <c r="H279" s="117" t="s">
        <v>134</v>
      </c>
      <c r="I279" s="116" t="s">
        <v>774</v>
      </c>
      <c r="J279" s="124" t="s">
        <v>774</v>
      </c>
      <c r="K279" s="116"/>
      <c r="L279" s="116"/>
      <c r="M279" s="116"/>
      <c r="N279" s="120" t="s">
        <v>1633</v>
      </c>
      <c r="O279" s="122"/>
      <c r="P279" s="117" t="s">
        <v>1287</v>
      </c>
      <c r="Q279" s="118"/>
      <c r="R279" s="118"/>
      <c r="S279" s="117"/>
      <c r="T279" s="117"/>
      <c r="U279" s="117"/>
      <c r="V279" s="150"/>
      <c r="W279" s="124"/>
      <c r="X279" s="124"/>
      <c r="Y279" s="170"/>
    </row>
    <row r="280" spans="1:25" ht="18" customHeight="1" x14ac:dyDescent="0.3">
      <c r="A280" s="163" t="s">
        <v>1556</v>
      </c>
      <c r="B280" s="137"/>
      <c r="C280" s="137"/>
      <c r="D280" s="137" t="s">
        <v>135</v>
      </c>
      <c r="E280" s="136"/>
      <c r="F280" s="136"/>
      <c r="G280" s="136">
        <v>4</v>
      </c>
      <c r="H280" s="136" t="s">
        <v>134</v>
      </c>
      <c r="I280" s="137" t="s">
        <v>774</v>
      </c>
      <c r="J280" s="139" t="s">
        <v>135</v>
      </c>
      <c r="K280" s="137" t="s">
        <v>775</v>
      </c>
      <c r="L280" s="137" t="s">
        <v>776</v>
      </c>
      <c r="M280" s="137"/>
      <c r="N280" s="144" t="s">
        <v>1634</v>
      </c>
      <c r="O280" s="146"/>
      <c r="P280" s="136" t="s">
        <v>1287</v>
      </c>
      <c r="Q280" s="138"/>
      <c r="R280" s="138"/>
      <c r="S280" s="136"/>
      <c r="T280" s="136"/>
      <c r="U280" s="136"/>
      <c r="V280" s="148" t="s">
        <v>2101</v>
      </c>
      <c r="W280" s="139" t="s">
        <v>778</v>
      </c>
      <c r="X280" s="139" t="s">
        <v>779</v>
      </c>
      <c r="Y280" s="171"/>
    </row>
    <row r="281" spans="1:25" ht="18" customHeight="1" x14ac:dyDescent="0.3">
      <c r="A281" s="164" t="s">
        <v>1557</v>
      </c>
      <c r="B281" s="141"/>
      <c r="C281" s="141"/>
      <c r="D281" s="141" t="s">
        <v>139</v>
      </c>
      <c r="E281" s="140"/>
      <c r="F281" s="140"/>
      <c r="G281" s="140">
        <v>4</v>
      </c>
      <c r="H281" s="140" t="s">
        <v>134</v>
      </c>
      <c r="I281" s="141" t="s">
        <v>774</v>
      </c>
      <c r="J281" s="143" t="s">
        <v>139</v>
      </c>
      <c r="K281" s="141" t="s">
        <v>775</v>
      </c>
      <c r="L281" s="141" t="s">
        <v>776</v>
      </c>
      <c r="M281" s="141"/>
      <c r="N281" s="145" t="s">
        <v>1635</v>
      </c>
      <c r="O281" s="147"/>
      <c r="P281" s="140" t="s">
        <v>1287</v>
      </c>
      <c r="Q281" s="142"/>
      <c r="R281" s="142"/>
      <c r="S281" s="140"/>
      <c r="T281" s="140"/>
      <c r="U281" s="140"/>
      <c r="V281" s="149" t="s">
        <v>2102</v>
      </c>
      <c r="W281" s="143" t="s">
        <v>780</v>
      </c>
      <c r="X281" s="143" t="s">
        <v>781</v>
      </c>
      <c r="Y281" s="172"/>
    </row>
    <row r="282" spans="1:25" ht="18" customHeight="1" x14ac:dyDescent="0.3">
      <c r="A282" s="163" t="s">
        <v>1558</v>
      </c>
      <c r="B282" s="137"/>
      <c r="C282" s="137"/>
      <c r="D282" s="137" t="s">
        <v>782</v>
      </c>
      <c r="E282" s="136"/>
      <c r="F282" s="136"/>
      <c r="G282" s="136">
        <v>4</v>
      </c>
      <c r="H282" s="136" t="s">
        <v>134</v>
      </c>
      <c r="I282" s="137" t="s">
        <v>774</v>
      </c>
      <c r="J282" s="139" t="s">
        <v>782</v>
      </c>
      <c r="K282" s="137" t="s">
        <v>775</v>
      </c>
      <c r="L282" s="137" t="s">
        <v>776</v>
      </c>
      <c r="M282" s="137"/>
      <c r="N282" s="144" t="s">
        <v>1636</v>
      </c>
      <c r="O282" s="146"/>
      <c r="P282" s="136" t="s">
        <v>1287</v>
      </c>
      <c r="Q282" s="138"/>
      <c r="R282" s="138"/>
      <c r="S282" s="136"/>
      <c r="T282" s="136"/>
      <c r="U282" s="136"/>
      <c r="V282" s="148" t="s">
        <v>2111</v>
      </c>
      <c r="W282" s="139" t="s">
        <v>783</v>
      </c>
      <c r="X282" s="139" t="s">
        <v>784</v>
      </c>
      <c r="Y282" s="171"/>
    </row>
    <row r="283" spans="1:25" ht="18" customHeight="1" x14ac:dyDescent="0.3">
      <c r="A283" s="162">
        <v>1.02</v>
      </c>
      <c r="B283" s="116"/>
      <c r="C283" s="116" t="s">
        <v>785</v>
      </c>
      <c r="D283" s="116"/>
      <c r="E283" s="117"/>
      <c r="F283" s="117"/>
      <c r="G283" s="117">
        <v>3</v>
      </c>
      <c r="H283" s="117" t="s">
        <v>134</v>
      </c>
      <c r="I283" s="116" t="s">
        <v>785</v>
      </c>
      <c r="J283" s="124" t="s">
        <v>785</v>
      </c>
      <c r="K283" s="116"/>
      <c r="L283" s="116"/>
      <c r="M283" s="116"/>
      <c r="N283" s="120" t="s">
        <v>1637</v>
      </c>
      <c r="O283" s="122"/>
      <c r="P283" s="117" t="s">
        <v>1287</v>
      </c>
      <c r="Q283" s="118"/>
      <c r="R283" s="118"/>
      <c r="S283" s="117"/>
      <c r="T283" s="117"/>
      <c r="U283" s="117"/>
      <c r="V283" s="150"/>
      <c r="W283" s="124"/>
      <c r="X283" s="124"/>
      <c r="Y283" s="170"/>
    </row>
    <row r="284" spans="1:25" ht="18" customHeight="1" x14ac:dyDescent="0.3">
      <c r="A284" s="164" t="s">
        <v>1566</v>
      </c>
      <c r="B284" s="141"/>
      <c r="C284" s="141"/>
      <c r="D284" s="141" t="s">
        <v>787</v>
      </c>
      <c r="E284" s="140"/>
      <c r="F284" s="140"/>
      <c r="G284" s="140">
        <v>4</v>
      </c>
      <c r="H284" s="140" t="s">
        <v>134</v>
      </c>
      <c r="I284" s="141" t="s">
        <v>785</v>
      </c>
      <c r="J284" s="143" t="s">
        <v>787</v>
      </c>
      <c r="K284" s="141" t="s">
        <v>346</v>
      </c>
      <c r="L284" s="141" t="s">
        <v>786</v>
      </c>
      <c r="M284" s="141"/>
      <c r="N284" s="145" t="s">
        <v>1638</v>
      </c>
      <c r="O284" s="147"/>
      <c r="P284" s="140" t="s">
        <v>1287</v>
      </c>
      <c r="Q284" s="142"/>
      <c r="R284" s="142"/>
      <c r="S284" s="140"/>
      <c r="T284" s="140"/>
      <c r="U284" s="140"/>
      <c r="V284" s="149" t="s">
        <v>2055</v>
      </c>
      <c r="W284" s="143" t="s">
        <v>563</v>
      </c>
      <c r="X284" s="143" t="s">
        <v>564</v>
      </c>
      <c r="Y284" s="172"/>
    </row>
    <row r="285" spans="1:25" ht="18" customHeight="1" x14ac:dyDescent="0.3">
      <c r="A285" s="163" t="s">
        <v>1567</v>
      </c>
      <c r="B285" s="137"/>
      <c r="C285" s="137"/>
      <c r="D285" s="137" t="s">
        <v>788</v>
      </c>
      <c r="E285" s="136"/>
      <c r="F285" s="136"/>
      <c r="G285" s="136">
        <v>4</v>
      </c>
      <c r="H285" s="136" t="s">
        <v>134</v>
      </c>
      <c r="I285" s="137" t="s">
        <v>785</v>
      </c>
      <c r="J285" s="139" t="s">
        <v>788</v>
      </c>
      <c r="K285" s="137" t="s">
        <v>346</v>
      </c>
      <c r="L285" s="137" t="s">
        <v>786</v>
      </c>
      <c r="M285" s="137"/>
      <c r="N285" s="144" t="s">
        <v>1639</v>
      </c>
      <c r="O285" s="146"/>
      <c r="P285" s="136" t="s">
        <v>1287</v>
      </c>
      <c r="Q285" s="138"/>
      <c r="R285" s="138"/>
      <c r="S285" s="136"/>
      <c r="T285" s="136"/>
      <c r="U285" s="136"/>
      <c r="V285" s="148" t="s">
        <v>2068</v>
      </c>
      <c r="W285" s="139" t="s">
        <v>563</v>
      </c>
      <c r="X285" s="139" t="s">
        <v>564</v>
      </c>
      <c r="Y285" s="171"/>
    </row>
    <row r="286" spans="1:25" ht="18" customHeight="1" x14ac:dyDescent="0.3">
      <c r="A286" s="164" t="s">
        <v>1568</v>
      </c>
      <c r="B286" s="141"/>
      <c r="C286" s="141"/>
      <c r="D286" s="141" t="s">
        <v>789</v>
      </c>
      <c r="E286" s="140"/>
      <c r="F286" s="140"/>
      <c r="G286" s="140">
        <v>4</v>
      </c>
      <c r="H286" s="140" t="s">
        <v>134</v>
      </c>
      <c r="I286" s="141" t="s">
        <v>785</v>
      </c>
      <c r="J286" s="143" t="s">
        <v>789</v>
      </c>
      <c r="K286" s="141" t="s">
        <v>346</v>
      </c>
      <c r="L286" s="141" t="s">
        <v>786</v>
      </c>
      <c r="M286" s="141"/>
      <c r="N286" s="145" t="s">
        <v>1640</v>
      </c>
      <c r="O286" s="147"/>
      <c r="P286" s="140" t="s">
        <v>1287</v>
      </c>
      <c r="Q286" s="142"/>
      <c r="R286" s="142"/>
      <c r="S286" s="140"/>
      <c r="T286" s="140"/>
      <c r="U286" s="140"/>
      <c r="V286" s="149" t="s">
        <v>2112</v>
      </c>
      <c r="W286" s="143" t="s">
        <v>563</v>
      </c>
      <c r="X286" s="143" t="s">
        <v>564</v>
      </c>
      <c r="Y286" s="172"/>
    </row>
    <row r="287" spans="1:25" ht="18" customHeight="1" x14ac:dyDescent="0.3">
      <c r="A287" s="162">
        <v>1.04</v>
      </c>
      <c r="B287" s="116"/>
      <c r="C287" s="116" t="s">
        <v>728</v>
      </c>
      <c r="D287" s="116"/>
      <c r="E287" s="117"/>
      <c r="F287" s="117"/>
      <c r="G287" s="117">
        <v>3</v>
      </c>
      <c r="H287" s="117" t="s">
        <v>134</v>
      </c>
      <c r="I287" s="116" t="s">
        <v>728</v>
      </c>
      <c r="J287" s="124" t="s">
        <v>728</v>
      </c>
      <c r="K287" s="116"/>
      <c r="L287" s="116"/>
      <c r="M287" s="116"/>
      <c r="N287" s="120" t="s">
        <v>1641</v>
      </c>
      <c r="O287" s="122"/>
      <c r="P287" s="117" t="s">
        <v>1287</v>
      </c>
      <c r="Q287" s="118"/>
      <c r="R287" s="118"/>
      <c r="S287" s="117"/>
      <c r="T287" s="117"/>
      <c r="U287" s="117"/>
      <c r="V287" s="150"/>
      <c r="W287" s="124"/>
      <c r="X287" s="124"/>
      <c r="Y287" s="170"/>
    </row>
    <row r="288" spans="1:25" ht="18" customHeight="1" x14ac:dyDescent="0.3">
      <c r="A288" s="163" t="s">
        <v>1578</v>
      </c>
      <c r="B288" s="137"/>
      <c r="C288" s="137"/>
      <c r="D288" s="137" t="s">
        <v>791</v>
      </c>
      <c r="E288" s="136"/>
      <c r="F288" s="136"/>
      <c r="G288" s="136">
        <v>4</v>
      </c>
      <c r="H288" s="136" t="s">
        <v>134</v>
      </c>
      <c r="I288" s="137" t="s">
        <v>728</v>
      </c>
      <c r="J288" s="139" t="s">
        <v>791</v>
      </c>
      <c r="K288" s="137" t="s">
        <v>790</v>
      </c>
      <c r="L288" s="137" t="s">
        <v>776</v>
      </c>
      <c r="M288" s="137"/>
      <c r="N288" s="144" t="s">
        <v>1642</v>
      </c>
      <c r="O288" s="146"/>
      <c r="P288" s="136" t="s">
        <v>2031</v>
      </c>
      <c r="Q288" s="138"/>
      <c r="R288" s="138"/>
      <c r="S288" s="136"/>
      <c r="T288" s="136"/>
      <c r="U288" s="136"/>
      <c r="V288" s="148" t="s">
        <v>2047</v>
      </c>
      <c r="W288" s="139" t="s">
        <v>778</v>
      </c>
      <c r="X288" s="139" t="s">
        <v>792</v>
      </c>
      <c r="Y288" s="171"/>
    </row>
    <row r="289" spans="1:25" ht="18" customHeight="1" x14ac:dyDescent="0.3">
      <c r="A289" s="164" t="s">
        <v>1579</v>
      </c>
      <c r="B289" s="141"/>
      <c r="C289" s="141"/>
      <c r="D289" s="141" t="s">
        <v>793</v>
      </c>
      <c r="E289" s="140"/>
      <c r="F289" s="140"/>
      <c r="G289" s="140">
        <v>4</v>
      </c>
      <c r="H289" s="140" t="s">
        <v>134</v>
      </c>
      <c r="I289" s="141" t="s">
        <v>728</v>
      </c>
      <c r="J289" s="143" t="s">
        <v>793</v>
      </c>
      <c r="K289" s="141" t="s">
        <v>790</v>
      </c>
      <c r="L289" s="141" t="s">
        <v>776</v>
      </c>
      <c r="M289" s="141"/>
      <c r="N289" s="145" t="s">
        <v>1643</v>
      </c>
      <c r="O289" s="147"/>
      <c r="P289" s="140" t="s">
        <v>2034</v>
      </c>
      <c r="Q289" s="142"/>
      <c r="R289" s="142"/>
      <c r="S289" s="140"/>
      <c r="T289" s="140"/>
      <c r="U289" s="140"/>
      <c r="V289" s="149" t="s">
        <v>2049</v>
      </c>
      <c r="W289" s="143" t="s">
        <v>778</v>
      </c>
      <c r="X289" s="143" t="s">
        <v>792</v>
      </c>
      <c r="Y289" s="172"/>
    </row>
    <row r="290" spans="1:25" ht="18" customHeight="1" x14ac:dyDescent="0.3">
      <c r="A290" s="163" t="s">
        <v>1580</v>
      </c>
      <c r="B290" s="137"/>
      <c r="C290" s="137"/>
      <c r="D290" s="137" t="s">
        <v>794</v>
      </c>
      <c r="E290" s="136"/>
      <c r="F290" s="136"/>
      <c r="G290" s="136">
        <v>4</v>
      </c>
      <c r="H290" s="136" t="s">
        <v>134</v>
      </c>
      <c r="I290" s="137" t="s">
        <v>728</v>
      </c>
      <c r="J290" s="139" t="s">
        <v>794</v>
      </c>
      <c r="K290" s="137" t="s">
        <v>790</v>
      </c>
      <c r="L290" s="137" t="s">
        <v>776</v>
      </c>
      <c r="M290" s="137"/>
      <c r="N290" s="144" t="s">
        <v>1644</v>
      </c>
      <c r="O290" s="146"/>
      <c r="P290" s="136" t="s">
        <v>1287</v>
      </c>
      <c r="Q290" s="138"/>
      <c r="R290" s="138"/>
      <c r="S290" s="136"/>
      <c r="T290" s="136"/>
      <c r="U290" s="136"/>
      <c r="V290" s="148" t="s">
        <v>2048</v>
      </c>
      <c r="W290" s="139" t="s">
        <v>778</v>
      </c>
      <c r="X290" s="139" t="s">
        <v>792</v>
      </c>
      <c r="Y290" s="171"/>
    </row>
    <row r="291" spans="1:25" ht="18" customHeight="1" x14ac:dyDescent="0.3">
      <c r="A291" s="162">
        <v>1.04</v>
      </c>
      <c r="B291" s="116"/>
      <c r="C291" s="116" t="s">
        <v>494</v>
      </c>
      <c r="D291" s="116"/>
      <c r="E291" s="117"/>
      <c r="F291" s="117"/>
      <c r="G291" s="117">
        <v>3</v>
      </c>
      <c r="H291" s="117" t="s">
        <v>134</v>
      </c>
      <c r="I291" s="116" t="s">
        <v>494</v>
      </c>
      <c r="J291" s="124" t="s">
        <v>494</v>
      </c>
      <c r="K291" s="116"/>
      <c r="L291" s="116"/>
      <c r="M291" s="116"/>
      <c r="N291" s="120" t="s">
        <v>1641</v>
      </c>
      <c r="O291" s="122"/>
      <c r="P291" s="117" t="s">
        <v>359</v>
      </c>
      <c r="Q291" s="118"/>
      <c r="R291" s="118"/>
      <c r="S291" s="117"/>
      <c r="T291" s="117"/>
      <c r="U291" s="117"/>
      <c r="V291" s="150"/>
      <c r="W291" s="124"/>
      <c r="X291" s="124"/>
      <c r="Y291" s="170"/>
    </row>
    <row r="292" spans="1:25" ht="18" customHeight="1" x14ac:dyDescent="0.3">
      <c r="A292" s="164" t="s">
        <v>1957</v>
      </c>
      <c r="B292" s="141"/>
      <c r="C292" s="141"/>
      <c r="D292" s="141" t="s">
        <v>796</v>
      </c>
      <c r="E292" s="140"/>
      <c r="F292" s="140"/>
      <c r="G292" s="140">
        <v>4</v>
      </c>
      <c r="H292" s="140" t="s">
        <v>134</v>
      </c>
      <c r="I292" s="141" t="s">
        <v>494</v>
      </c>
      <c r="J292" s="143" t="s">
        <v>796</v>
      </c>
      <c r="K292" s="141" t="s">
        <v>140</v>
      </c>
      <c r="L292" s="141" t="s">
        <v>795</v>
      </c>
      <c r="M292" s="141"/>
      <c r="N292" s="145" t="s">
        <v>1812</v>
      </c>
      <c r="O292" s="147"/>
      <c r="P292" s="140" t="s">
        <v>359</v>
      </c>
      <c r="Q292" s="142"/>
      <c r="R292" s="142"/>
      <c r="S292" s="140"/>
      <c r="T292" s="140"/>
      <c r="U292" s="140"/>
      <c r="V292" s="149" t="s">
        <v>2103</v>
      </c>
      <c r="W292" s="143" t="s">
        <v>778</v>
      </c>
      <c r="X292" s="143" t="s">
        <v>797</v>
      </c>
      <c r="Y292" s="172"/>
    </row>
    <row r="293" spans="1:25" ht="18" customHeight="1" x14ac:dyDescent="0.3">
      <c r="A293" s="163" t="s">
        <v>1958</v>
      </c>
      <c r="B293" s="137"/>
      <c r="C293" s="137"/>
      <c r="D293" s="137" t="s">
        <v>798</v>
      </c>
      <c r="E293" s="136"/>
      <c r="F293" s="136"/>
      <c r="G293" s="136">
        <v>4</v>
      </c>
      <c r="H293" s="136" t="s">
        <v>134</v>
      </c>
      <c r="I293" s="137" t="s">
        <v>494</v>
      </c>
      <c r="J293" s="139" t="s">
        <v>798</v>
      </c>
      <c r="K293" s="137" t="s">
        <v>140</v>
      </c>
      <c r="L293" s="137" t="s">
        <v>795</v>
      </c>
      <c r="M293" s="137"/>
      <c r="N293" s="144" t="s">
        <v>1813</v>
      </c>
      <c r="O293" s="146"/>
      <c r="P293" s="136" t="s">
        <v>359</v>
      </c>
      <c r="Q293" s="138"/>
      <c r="R293" s="138"/>
      <c r="S293" s="136"/>
      <c r="T293" s="136"/>
      <c r="U293" s="136"/>
      <c r="V293" s="148" t="s">
        <v>2058</v>
      </c>
      <c r="W293" s="139" t="s">
        <v>778</v>
      </c>
      <c r="X293" s="139" t="s">
        <v>797</v>
      </c>
      <c r="Y293" s="171"/>
    </row>
    <row r="294" spans="1:25" ht="18" customHeight="1" x14ac:dyDescent="0.3">
      <c r="A294" s="164" t="s">
        <v>1959</v>
      </c>
      <c r="B294" s="141"/>
      <c r="C294" s="141"/>
      <c r="D294" s="141" t="s">
        <v>799</v>
      </c>
      <c r="E294" s="140"/>
      <c r="F294" s="140"/>
      <c r="G294" s="140">
        <v>4</v>
      </c>
      <c r="H294" s="140" t="s">
        <v>134</v>
      </c>
      <c r="I294" s="141" t="s">
        <v>494</v>
      </c>
      <c r="J294" s="143" t="s">
        <v>799</v>
      </c>
      <c r="K294" s="141" t="s">
        <v>140</v>
      </c>
      <c r="L294" s="141" t="s">
        <v>795</v>
      </c>
      <c r="M294" s="141"/>
      <c r="N294" s="145" t="s">
        <v>1814</v>
      </c>
      <c r="O294" s="147"/>
      <c r="P294" s="140" t="s">
        <v>359</v>
      </c>
      <c r="Q294" s="142"/>
      <c r="R294" s="142"/>
      <c r="S294" s="140"/>
      <c r="T294" s="140"/>
      <c r="U294" s="140"/>
      <c r="V294" s="149" t="s">
        <v>2103</v>
      </c>
      <c r="W294" s="143" t="s">
        <v>778</v>
      </c>
      <c r="X294" s="143" t="s">
        <v>797</v>
      </c>
      <c r="Y294" s="172"/>
    </row>
    <row r="295" spans="1:25" ht="18" customHeight="1" x14ac:dyDescent="0.3">
      <c r="A295" s="162">
        <v>1.05</v>
      </c>
      <c r="B295" s="116"/>
      <c r="C295" s="116" t="s">
        <v>800</v>
      </c>
      <c r="D295" s="116"/>
      <c r="E295" s="117"/>
      <c r="F295" s="117"/>
      <c r="G295" s="117">
        <v>3</v>
      </c>
      <c r="H295" s="117" t="s">
        <v>134</v>
      </c>
      <c r="I295" s="116" t="s">
        <v>800</v>
      </c>
      <c r="J295" s="124" t="s">
        <v>800</v>
      </c>
      <c r="K295" s="116"/>
      <c r="L295" s="116"/>
      <c r="M295" s="116"/>
      <c r="N295" s="120" t="s">
        <v>1645</v>
      </c>
      <c r="O295" s="122"/>
      <c r="P295" s="117" t="s">
        <v>1287</v>
      </c>
      <c r="Q295" s="118"/>
      <c r="R295" s="118"/>
      <c r="S295" s="117"/>
      <c r="T295" s="117"/>
      <c r="U295" s="117"/>
      <c r="V295" s="150"/>
      <c r="W295" s="124"/>
      <c r="X295" s="124"/>
      <c r="Y295" s="170"/>
    </row>
    <row r="296" spans="1:25" ht="18" customHeight="1" x14ac:dyDescent="0.3">
      <c r="A296" s="163" t="s">
        <v>1581</v>
      </c>
      <c r="B296" s="137"/>
      <c r="C296" s="137"/>
      <c r="D296" s="137" t="s">
        <v>801</v>
      </c>
      <c r="E296" s="136"/>
      <c r="F296" s="136"/>
      <c r="G296" s="136">
        <v>4</v>
      </c>
      <c r="H296" s="136" t="s">
        <v>134</v>
      </c>
      <c r="I296" s="137" t="s">
        <v>800</v>
      </c>
      <c r="J296" s="139" t="s">
        <v>801</v>
      </c>
      <c r="K296" s="137" t="s">
        <v>428</v>
      </c>
      <c r="L296" s="137" t="s">
        <v>776</v>
      </c>
      <c r="M296" s="137"/>
      <c r="N296" s="144" t="s">
        <v>1646</v>
      </c>
      <c r="O296" s="146"/>
      <c r="P296" s="136" t="s">
        <v>1287</v>
      </c>
      <c r="Q296" s="138"/>
      <c r="R296" s="138"/>
      <c r="S296" s="136"/>
      <c r="T296" s="136"/>
      <c r="U296" s="136"/>
      <c r="V296" s="148" t="s">
        <v>1672</v>
      </c>
      <c r="W296" s="139" t="s">
        <v>778</v>
      </c>
      <c r="X296" s="139" t="s">
        <v>779</v>
      </c>
      <c r="Y296" s="171"/>
    </row>
    <row r="297" spans="1:25" ht="18" customHeight="1" x14ac:dyDescent="0.3">
      <c r="A297" s="164" t="s">
        <v>1582</v>
      </c>
      <c r="B297" s="141"/>
      <c r="C297" s="141"/>
      <c r="D297" s="141" t="s">
        <v>802</v>
      </c>
      <c r="E297" s="140"/>
      <c r="F297" s="140"/>
      <c r="G297" s="140">
        <v>4</v>
      </c>
      <c r="H297" s="140" t="s">
        <v>134</v>
      </c>
      <c r="I297" s="141" t="s">
        <v>800</v>
      </c>
      <c r="J297" s="143" t="s">
        <v>802</v>
      </c>
      <c r="K297" s="141" t="s">
        <v>116</v>
      </c>
      <c r="L297" s="141" t="s">
        <v>776</v>
      </c>
      <c r="M297" s="141"/>
      <c r="N297" s="145" t="s">
        <v>1647</v>
      </c>
      <c r="O297" s="147"/>
      <c r="P297" s="140" t="s">
        <v>1287</v>
      </c>
      <c r="Q297" s="142"/>
      <c r="R297" s="142"/>
      <c r="S297" s="140"/>
      <c r="T297" s="140"/>
      <c r="U297" s="140"/>
      <c r="V297" s="149" t="s">
        <v>1672</v>
      </c>
      <c r="W297" s="143" t="s">
        <v>778</v>
      </c>
      <c r="X297" s="143" t="s">
        <v>803</v>
      </c>
      <c r="Y297" s="172"/>
    </row>
    <row r="298" spans="1:25" ht="18" customHeight="1" x14ac:dyDescent="0.3">
      <c r="A298" s="163" t="s">
        <v>1583</v>
      </c>
      <c r="B298" s="137"/>
      <c r="C298" s="137"/>
      <c r="D298" s="137" t="s">
        <v>138</v>
      </c>
      <c r="E298" s="136"/>
      <c r="F298" s="136"/>
      <c r="G298" s="136">
        <v>4</v>
      </c>
      <c r="H298" s="136" t="s">
        <v>134</v>
      </c>
      <c r="I298" s="137" t="s">
        <v>800</v>
      </c>
      <c r="J298" s="139" t="s">
        <v>138</v>
      </c>
      <c r="K298" s="137" t="s">
        <v>804</v>
      </c>
      <c r="L298" s="137" t="s">
        <v>805</v>
      </c>
      <c r="M298" s="137"/>
      <c r="N298" s="144" t="s">
        <v>1648</v>
      </c>
      <c r="O298" s="146"/>
      <c r="P298" s="136" t="s">
        <v>1287</v>
      </c>
      <c r="Q298" s="138"/>
      <c r="R298" s="138"/>
      <c r="S298" s="136"/>
      <c r="T298" s="136"/>
      <c r="U298" s="136"/>
      <c r="V298" s="148" t="s">
        <v>1672</v>
      </c>
      <c r="W298" s="139" t="s">
        <v>806</v>
      </c>
      <c r="X298" s="139" t="s">
        <v>807</v>
      </c>
      <c r="Y298" s="171"/>
    </row>
    <row r="299" spans="1:25" ht="18" customHeight="1" x14ac:dyDescent="0.3">
      <c r="A299" s="162">
        <v>1.06</v>
      </c>
      <c r="B299" s="116"/>
      <c r="C299" s="116" t="s">
        <v>808</v>
      </c>
      <c r="D299" s="116"/>
      <c r="E299" s="117"/>
      <c r="F299" s="117"/>
      <c r="G299" s="117">
        <v>3</v>
      </c>
      <c r="H299" s="117" t="s">
        <v>134</v>
      </c>
      <c r="I299" s="116" t="s">
        <v>808</v>
      </c>
      <c r="J299" s="124" t="s">
        <v>808</v>
      </c>
      <c r="K299" s="116"/>
      <c r="L299" s="116"/>
      <c r="M299" s="116"/>
      <c r="N299" s="120" t="s">
        <v>1649</v>
      </c>
      <c r="O299" s="122"/>
      <c r="P299" s="117" t="s">
        <v>1287</v>
      </c>
      <c r="Q299" s="118"/>
      <c r="R299" s="118"/>
      <c r="S299" s="117"/>
      <c r="T299" s="117"/>
      <c r="U299" s="117"/>
      <c r="V299" s="150"/>
      <c r="W299" s="124"/>
      <c r="X299" s="124"/>
      <c r="Y299" s="170"/>
    </row>
    <row r="300" spans="1:25" ht="18" customHeight="1" x14ac:dyDescent="0.3">
      <c r="A300" s="164" t="s">
        <v>1630</v>
      </c>
      <c r="B300" s="141"/>
      <c r="C300" s="141"/>
      <c r="D300" s="141" t="s">
        <v>809</v>
      </c>
      <c r="E300" s="140"/>
      <c r="F300" s="140"/>
      <c r="G300" s="140">
        <v>4</v>
      </c>
      <c r="H300" s="140" t="s">
        <v>134</v>
      </c>
      <c r="I300" s="141" t="s">
        <v>808</v>
      </c>
      <c r="J300" s="143" t="s">
        <v>809</v>
      </c>
      <c r="K300" s="141" t="s">
        <v>136</v>
      </c>
      <c r="L300" s="141" t="s">
        <v>776</v>
      </c>
      <c r="M300" s="141"/>
      <c r="N300" s="145" t="s">
        <v>1650</v>
      </c>
      <c r="O300" s="147"/>
      <c r="P300" s="140" t="s">
        <v>1287</v>
      </c>
      <c r="Q300" s="142"/>
      <c r="R300" s="142"/>
      <c r="S300" s="140"/>
      <c r="T300" s="140"/>
      <c r="U300" s="140"/>
      <c r="V300" s="149" t="s">
        <v>2113</v>
      </c>
      <c r="W300" s="143" t="s">
        <v>810</v>
      </c>
      <c r="X300" s="143" t="s">
        <v>811</v>
      </c>
      <c r="Y300" s="172"/>
    </row>
    <row r="301" spans="1:25" ht="18" customHeight="1" x14ac:dyDescent="0.3">
      <c r="A301" s="163" t="s">
        <v>1631</v>
      </c>
      <c r="B301" s="137"/>
      <c r="C301" s="137"/>
      <c r="D301" s="137" t="s">
        <v>812</v>
      </c>
      <c r="E301" s="136"/>
      <c r="F301" s="136"/>
      <c r="G301" s="136">
        <v>4</v>
      </c>
      <c r="H301" s="136" t="s">
        <v>134</v>
      </c>
      <c r="I301" s="137" t="s">
        <v>808</v>
      </c>
      <c r="J301" s="139" t="s">
        <v>812</v>
      </c>
      <c r="K301" s="137" t="s">
        <v>136</v>
      </c>
      <c r="L301" s="137" t="s">
        <v>776</v>
      </c>
      <c r="M301" s="137"/>
      <c r="N301" s="144" t="s">
        <v>1651</v>
      </c>
      <c r="O301" s="146"/>
      <c r="P301" s="136" t="s">
        <v>1287</v>
      </c>
      <c r="Q301" s="138"/>
      <c r="R301" s="138"/>
      <c r="S301" s="136"/>
      <c r="T301" s="136"/>
      <c r="U301" s="136"/>
      <c r="V301" s="148" t="s">
        <v>2104</v>
      </c>
      <c r="W301" s="139" t="s">
        <v>813</v>
      </c>
      <c r="X301" s="139" t="s">
        <v>814</v>
      </c>
      <c r="Y301" s="171"/>
    </row>
    <row r="302" spans="1:25" ht="18" customHeight="1" x14ac:dyDescent="0.3">
      <c r="A302" s="166"/>
      <c r="B302" s="129"/>
      <c r="C302" s="129"/>
      <c r="D302" s="129"/>
      <c r="E302" s="129"/>
      <c r="F302" s="129"/>
      <c r="G302" s="129"/>
      <c r="H302" s="129"/>
      <c r="I302" s="130"/>
      <c r="J302" s="133"/>
      <c r="K302" s="130"/>
      <c r="L302" s="130"/>
      <c r="M302" s="130"/>
      <c r="N302" s="127"/>
      <c r="O302" s="128"/>
      <c r="P302" s="129"/>
      <c r="Q302" s="131"/>
      <c r="R302" s="131"/>
      <c r="S302" s="129"/>
      <c r="T302" s="129"/>
      <c r="U302" s="129"/>
      <c r="V302" s="132"/>
      <c r="W302" s="133"/>
      <c r="X302" s="133"/>
      <c r="Y302" s="173"/>
    </row>
    <row r="303" spans="1:25" ht="18" customHeight="1" x14ac:dyDescent="0.3">
      <c r="A303" s="166"/>
      <c r="B303" s="129"/>
      <c r="C303" s="129"/>
      <c r="D303" s="129"/>
      <c r="E303" s="129"/>
      <c r="F303" s="129"/>
      <c r="G303" s="129"/>
      <c r="H303" s="129"/>
      <c r="I303" s="130"/>
      <c r="J303" s="133"/>
      <c r="K303" s="130"/>
      <c r="L303" s="130"/>
      <c r="M303" s="130"/>
      <c r="N303" s="127"/>
      <c r="O303" s="128"/>
      <c r="P303" s="129"/>
      <c r="Q303" s="131"/>
      <c r="R303" s="131"/>
      <c r="S303" s="129"/>
      <c r="T303" s="129"/>
      <c r="U303" s="129"/>
      <c r="V303" s="132"/>
      <c r="W303" s="133"/>
      <c r="X303" s="133"/>
      <c r="Y303" s="173"/>
    </row>
    <row r="304" spans="1:25" ht="18" customHeight="1" x14ac:dyDescent="0.3">
      <c r="A304" s="166"/>
      <c r="B304" s="129"/>
      <c r="C304" s="129"/>
      <c r="D304" s="129"/>
      <c r="E304" s="129"/>
      <c r="F304" s="129"/>
      <c r="G304" s="129"/>
      <c r="H304" s="129"/>
      <c r="I304" s="130"/>
      <c r="J304" s="133"/>
      <c r="K304" s="130"/>
      <c r="L304" s="130"/>
      <c r="M304" s="130"/>
      <c r="N304" s="127"/>
      <c r="O304" s="128"/>
      <c r="P304" s="129"/>
      <c r="Q304" s="131"/>
      <c r="R304" s="131"/>
      <c r="S304" s="129"/>
      <c r="T304" s="129"/>
      <c r="U304" s="129"/>
      <c r="V304" s="132"/>
      <c r="W304" s="133"/>
      <c r="X304" s="133"/>
      <c r="Y304" s="173"/>
    </row>
    <row r="305" spans="1:25" ht="18" customHeight="1" x14ac:dyDescent="0.3">
      <c r="A305" s="166"/>
      <c r="B305" s="129"/>
      <c r="C305" s="129"/>
      <c r="D305" s="129"/>
      <c r="E305" s="129"/>
      <c r="F305" s="129"/>
      <c r="G305" s="129"/>
      <c r="H305" s="129"/>
      <c r="I305" s="130"/>
      <c r="J305" s="133"/>
      <c r="K305" s="130"/>
      <c r="L305" s="130"/>
      <c r="M305" s="130"/>
      <c r="N305" s="127"/>
      <c r="O305" s="128"/>
      <c r="P305" s="129"/>
      <c r="Q305" s="131"/>
      <c r="R305" s="131"/>
      <c r="S305" s="129"/>
      <c r="T305" s="129"/>
      <c r="U305" s="129"/>
      <c r="V305" s="132"/>
      <c r="W305" s="133"/>
      <c r="X305" s="133"/>
      <c r="Y305" s="173"/>
    </row>
    <row r="306" spans="1:25" ht="18" customHeight="1" x14ac:dyDescent="0.3">
      <c r="A306" s="166"/>
      <c r="B306" s="129"/>
      <c r="C306" s="129"/>
      <c r="D306" s="129"/>
      <c r="E306" s="129"/>
      <c r="F306" s="129"/>
      <c r="G306" s="129"/>
      <c r="H306" s="129"/>
      <c r="I306" s="130"/>
      <c r="J306" s="133"/>
      <c r="K306" s="130"/>
      <c r="L306" s="130"/>
      <c r="M306" s="130"/>
      <c r="N306" s="127"/>
      <c r="O306" s="128"/>
      <c r="P306" s="129"/>
      <c r="Q306" s="131"/>
      <c r="R306" s="131"/>
      <c r="S306" s="129"/>
      <c r="T306" s="129"/>
      <c r="U306" s="129"/>
      <c r="V306" s="132"/>
      <c r="W306" s="133"/>
      <c r="X306" s="133"/>
      <c r="Y306" s="173"/>
    </row>
    <row r="307" spans="1:25" ht="18" customHeight="1" x14ac:dyDescent="0.3">
      <c r="A307" s="166"/>
      <c r="B307" s="129"/>
      <c r="C307" s="129"/>
      <c r="D307" s="129"/>
      <c r="E307" s="129"/>
      <c r="F307" s="129"/>
      <c r="G307" s="129"/>
      <c r="H307" s="129"/>
      <c r="I307" s="130"/>
      <c r="J307" s="133"/>
      <c r="K307" s="130"/>
      <c r="L307" s="130"/>
      <c r="M307" s="130"/>
      <c r="N307" s="127"/>
      <c r="O307" s="128"/>
      <c r="P307" s="129"/>
      <c r="Q307" s="131"/>
      <c r="R307" s="131"/>
      <c r="S307" s="129"/>
      <c r="T307" s="129"/>
      <c r="U307" s="129"/>
      <c r="V307" s="132"/>
      <c r="W307" s="133"/>
      <c r="X307" s="133"/>
      <c r="Y307" s="173"/>
    </row>
    <row r="308" spans="1:25" ht="18" customHeight="1" x14ac:dyDescent="0.3">
      <c r="A308" s="166"/>
      <c r="B308" s="129"/>
      <c r="C308" s="129"/>
      <c r="D308" s="129"/>
      <c r="E308" s="129"/>
      <c r="F308" s="129"/>
      <c r="G308" s="129"/>
      <c r="H308" s="129"/>
      <c r="I308" s="130"/>
      <c r="J308" s="133"/>
      <c r="K308" s="130"/>
      <c r="L308" s="130"/>
      <c r="M308" s="130"/>
      <c r="N308" s="127"/>
      <c r="O308" s="128"/>
      <c r="P308" s="129"/>
      <c r="Q308" s="131"/>
      <c r="R308" s="131"/>
      <c r="S308" s="129"/>
      <c r="T308" s="129"/>
      <c r="U308" s="129"/>
      <c r="V308" s="132"/>
      <c r="W308" s="133"/>
      <c r="X308" s="133"/>
      <c r="Y308" s="173"/>
    </row>
    <row r="309" spans="1:25" ht="18" customHeight="1" x14ac:dyDescent="0.3">
      <c r="A309" s="166"/>
      <c r="B309" s="129"/>
      <c r="C309" s="129"/>
      <c r="D309" s="129"/>
      <c r="E309" s="129"/>
      <c r="F309" s="129"/>
      <c r="G309" s="129"/>
      <c r="H309" s="129"/>
      <c r="I309" s="130"/>
      <c r="J309" s="133"/>
      <c r="K309" s="130"/>
      <c r="L309" s="130"/>
      <c r="M309" s="130"/>
      <c r="N309" s="127"/>
      <c r="O309" s="128"/>
      <c r="P309" s="129"/>
      <c r="Q309" s="131"/>
      <c r="R309" s="131"/>
      <c r="S309" s="129"/>
      <c r="T309" s="129"/>
      <c r="U309" s="129"/>
      <c r="V309" s="132"/>
      <c r="W309" s="133"/>
      <c r="X309" s="133"/>
      <c r="Y309" s="173"/>
    </row>
    <row r="310" spans="1:25" ht="18" customHeight="1" x14ac:dyDescent="0.3">
      <c r="A310" s="166"/>
      <c r="B310" s="129"/>
      <c r="C310" s="129"/>
      <c r="D310" s="129"/>
      <c r="E310" s="129"/>
      <c r="F310" s="129"/>
      <c r="G310" s="129"/>
      <c r="H310" s="129"/>
      <c r="I310" s="130"/>
      <c r="J310" s="133"/>
      <c r="K310" s="130"/>
      <c r="L310" s="130"/>
      <c r="M310" s="130"/>
      <c r="N310" s="127"/>
      <c r="O310" s="128"/>
      <c r="P310" s="129"/>
      <c r="Q310" s="131"/>
      <c r="R310" s="131"/>
      <c r="S310" s="129"/>
      <c r="T310" s="129"/>
      <c r="U310" s="129"/>
      <c r="V310" s="132"/>
      <c r="W310" s="133"/>
      <c r="X310" s="133"/>
      <c r="Y310" s="173"/>
    </row>
    <row r="311" spans="1:25" ht="18" customHeight="1" x14ac:dyDescent="0.3">
      <c r="A311" s="166"/>
      <c r="B311" s="129"/>
      <c r="C311" s="129"/>
      <c r="D311" s="129"/>
      <c r="E311" s="129"/>
      <c r="F311" s="129"/>
      <c r="G311" s="129"/>
      <c r="H311" s="129"/>
      <c r="I311" s="130"/>
      <c r="J311" s="133"/>
      <c r="K311" s="130"/>
      <c r="L311" s="130"/>
      <c r="M311" s="130"/>
      <c r="N311" s="127"/>
      <c r="O311" s="128"/>
      <c r="P311" s="129"/>
      <c r="Q311" s="131"/>
      <c r="R311" s="131"/>
      <c r="S311" s="129"/>
      <c r="T311" s="129"/>
      <c r="U311" s="129"/>
      <c r="V311" s="132"/>
      <c r="W311" s="133"/>
      <c r="X311" s="133"/>
      <c r="Y311" s="173"/>
    </row>
    <row r="312" spans="1:25" ht="18" customHeight="1" x14ac:dyDescent="0.3">
      <c r="A312" s="166"/>
      <c r="B312" s="129"/>
      <c r="C312" s="129"/>
      <c r="D312" s="129"/>
      <c r="E312" s="129"/>
      <c r="F312" s="129"/>
      <c r="G312" s="129"/>
      <c r="H312" s="129"/>
      <c r="I312" s="130"/>
      <c r="J312" s="133"/>
      <c r="K312" s="130"/>
      <c r="L312" s="130"/>
      <c r="M312" s="130"/>
      <c r="N312" s="127"/>
      <c r="O312" s="128"/>
      <c r="P312" s="129"/>
      <c r="Q312" s="131"/>
      <c r="R312" s="131"/>
      <c r="S312" s="129"/>
      <c r="T312" s="129"/>
      <c r="U312" s="129"/>
      <c r="V312" s="132"/>
      <c r="W312" s="133"/>
      <c r="X312" s="133"/>
      <c r="Y312" s="173"/>
    </row>
    <row r="313" spans="1:25" ht="18" customHeight="1" x14ac:dyDescent="0.3">
      <c r="A313" s="166"/>
      <c r="B313" s="129"/>
      <c r="C313" s="129"/>
      <c r="D313" s="129"/>
      <c r="E313" s="129"/>
      <c r="F313" s="129"/>
      <c r="G313" s="129"/>
      <c r="H313" s="129"/>
      <c r="I313" s="130"/>
      <c r="J313" s="133"/>
      <c r="K313" s="130"/>
      <c r="L313" s="130"/>
      <c r="M313" s="130"/>
      <c r="N313" s="127"/>
      <c r="O313" s="128"/>
      <c r="P313" s="129"/>
      <c r="Q313" s="131"/>
      <c r="R313" s="131"/>
      <c r="S313" s="129"/>
      <c r="T313" s="129"/>
      <c r="U313" s="129"/>
      <c r="V313" s="132"/>
      <c r="W313" s="133"/>
      <c r="X313" s="133"/>
      <c r="Y313" s="173"/>
    </row>
    <row r="314" spans="1:25" ht="18" customHeight="1" x14ac:dyDescent="0.3">
      <c r="A314" s="166"/>
      <c r="B314" s="129"/>
      <c r="C314" s="129"/>
      <c r="D314" s="129"/>
      <c r="E314" s="129"/>
      <c r="F314" s="129"/>
      <c r="G314" s="129"/>
      <c r="H314" s="129"/>
      <c r="I314" s="130"/>
      <c r="J314" s="133"/>
      <c r="K314" s="130"/>
      <c r="L314" s="130"/>
      <c r="M314" s="130"/>
      <c r="N314" s="127"/>
      <c r="O314" s="128"/>
      <c r="P314" s="129"/>
      <c r="Q314" s="131"/>
      <c r="R314" s="131"/>
      <c r="S314" s="129"/>
      <c r="T314" s="129"/>
      <c r="U314" s="129"/>
      <c r="V314" s="132"/>
      <c r="W314" s="133"/>
      <c r="X314" s="133"/>
      <c r="Y314" s="173"/>
    </row>
    <row r="315" spans="1:25" ht="18" customHeight="1" x14ac:dyDescent="0.3">
      <c r="A315" s="166"/>
      <c r="B315" s="129"/>
      <c r="C315" s="129"/>
      <c r="D315" s="129"/>
      <c r="E315" s="129"/>
      <c r="F315" s="129"/>
      <c r="G315" s="129"/>
      <c r="H315" s="129"/>
      <c r="I315" s="130"/>
      <c r="J315" s="133"/>
      <c r="K315" s="130"/>
      <c r="L315" s="130"/>
      <c r="M315" s="130"/>
      <c r="N315" s="127"/>
      <c r="O315" s="128"/>
      <c r="P315" s="129"/>
      <c r="Q315" s="131"/>
      <c r="R315" s="131"/>
      <c r="S315" s="129"/>
      <c r="T315" s="129"/>
      <c r="U315" s="129"/>
      <c r="V315" s="132"/>
      <c r="W315" s="133"/>
      <c r="X315" s="133"/>
      <c r="Y315" s="173"/>
    </row>
    <row r="316" spans="1:25" ht="18" customHeight="1" x14ac:dyDescent="0.3">
      <c r="A316" s="166"/>
      <c r="B316" s="129"/>
      <c r="C316" s="129"/>
      <c r="D316" s="129"/>
      <c r="E316" s="129"/>
      <c r="F316" s="129"/>
      <c r="G316" s="129"/>
      <c r="H316" s="129"/>
      <c r="I316" s="130"/>
      <c r="J316" s="133"/>
      <c r="K316" s="130"/>
      <c r="L316" s="130"/>
      <c r="M316" s="130"/>
      <c r="N316" s="127"/>
      <c r="O316" s="128"/>
      <c r="P316" s="129"/>
      <c r="Q316" s="131"/>
      <c r="R316" s="131"/>
      <c r="S316" s="129"/>
      <c r="T316" s="129"/>
      <c r="U316" s="129"/>
      <c r="V316" s="132"/>
      <c r="W316" s="133"/>
      <c r="X316" s="133"/>
      <c r="Y316" s="173"/>
    </row>
    <row r="317" spans="1:25" ht="18" customHeight="1" x14ac:dyDescent="0.3">
      <c r="A317" s="166"/>
      <c r="B317" s="129"/>
      <c r="C317" s="129"/>
      <c r="D317" s="129"/>
      <c r="E317" s="129"/>
      <c r="F317" s="129"/>
      <c r="G317" s="129"/>
      <c r="H317" s="129"/>
      <c r="I317" s="130"/>
      <c r="J317" s="133"/>
      <c r="K317" s="130"/>
      <c r="L317" s="130"/>
      <c r="M317" s="130"/>
      <c r="N317" s="127"/>
      <c r="O317" s="128"/>
      <c r="P317" s="129"/>
      <c r="Q317" s="131"/>
      <c r="R317" s="131"/>
      <c r="S317" s="129"/>
      <c r="T317" s="129"/>
      <c r="U317" s="129"/>
      <c r="V317" s="132"/>
      <c r="W317" s="133"/>
      <c r="X317" s="133"/>
      <c r="Y317" s="173"/>
    </row>
    <row r="318" spans="1:25" ht="18" customHeight="1" x14ac:dyDescent="0.3">
      <c r="A318" s="166"/>
      <c r="B318" s="129"/>
      <c r="C318" s="129"/>
      <c r="D318" s="129"/>
      <c r="E318" s="129"/>
      <c r="F318" s="129"/>
      <c r="G318" s="129"/>
      <c r="H318" s="129"/>
      <c r="I318" s="130"/>
      <c r="J318" s="133"/>
      <c r="K318" s="130"/>
      <c r="L318" s="130"/>
      <c r="M318" s="130"/>
      <c r="N318" s="127"/>
      <c r="O318" s="128"/>
      <c r="P318" s="129"/>
      <c r="Q318" s="131"/>
      <c r="R318" s="131"/>
      <c r="S318" s="129"/>
      <c r="T318" s="129"/>
      <c r="U318" s="129"/>
      <c r="V318" s="132"/>
      <c r="W318" s="133"/>
      <c r="X318" s="133"/>
      <c r="Y318" s="173"/>
    </row>
    <row r="319" spans="1:25" ht="18" customHeight="1" x14ac:dyDescent="0.3">
      <c r="A319" s="166"/>
      <c r="B319" s="129"/>
      <c r="C319" s="129"/>
      <c r="D319" s="129"/>
      <c r="E319" s="129"/>
      <c r="F319" s="129"/>
      <c r="G319" s="129"/>
      <c r="H319" s="129"/>
      <c r="I319" s="130"/>
      <c r="J319" s="133"/>
      <c r="K319" s="130"/>
      <c r="L319" s="130"/>
      <c r="M319" s="130"/>
      <c r="N319" s="127"/>
      <c r="O319" s="128"/>
      <c r="P319" s="129"/>
      <c r="Q319" s="131"/>
      <c r="R319" s="131"/>
      <c r="S319" s="129"/>
      <c r="T319" s="129"/>
      <c r="U319" s="129"/>
      <c r="V319" s="132"/>
      <c r="W319" s="133"/>
      <c r="X319" s="133"/>
      <c r="Y319" s="173"/>
    </row>
    <row r="320" spans="1:25" ht="18" customHeight="1" x14ac:dyDescent="0.3">
      <c r="A320" s="166"/>
      <c r="B320" s="129"/>
      <c r="C320" s="129"/>
      <c r="D320" s="129"/>
      <c r="E320" s="129"/>
      <c r="F320" s="129"/>
      <c r="G320" s="129"/>
      <c r="H320" s="129"/>
      <c r="I320" s="130"/>
      <c r="J320" s="133"/>
      <c r="K320" s="130"/>
      <c r="L320" s="130"/>
      <c r="M320" s="130"/>
      <c r="N320" s="127"/>
      <c r="O320" s="128"/>
      <c r="P320" s="129"/>
      <c r="Q320" s="131"/>
      <c r="R320" s="131"/>
      <c r="S320" s="129"/>
      <c r="T320" s="129"/>
      <c r="U320" s="129"/>
      <c r="V320" s="132"/>
      <c r="W320" s="133"/>
      <c r="X320" s="133"/>
      <c r="Y320" s="173"/>
    </row>
    <row r="321" spans="1:25" ht="18" customHeight="1" x14ac:dyDescent="0.3">
      <c r="A321" s="166"/>
      <c r="B321" s="129"/>
      <c r="C321" s="129"/>
      <c r="D321" s="129"/>
      <c r="E321" s="129"/>
      <c r="F321" s="129"/>
      <c r="G321" s="129"/>
      <c r="H321" s="129"/>
      <c r="I321" s="130"/>
      <c r="J321" s="133"/>
      <c r="K321" s="130"/>
      <c r="L321" s="130"/>
      <c r="M321" s="130"/>
      <c r="N321" s="127"/>
      <c r="O321" s="128"/>
      <c r="P321" s="129"/>
      <c r="Q321" s="131"/>
      <c r="R321" s="131"/>
      <c r="S321" s="129"/>
      <c r="T321" s="129"/>
      <c r="U321" s="129"/>
      <c r="V321" s="132"/>
      <c r="W321" s="133"/>
      <c r="X321" s="133"/>
      <c r="Y321" s="173"/>
    </row>
    <row r="322" spans="1:25" ht="18" customHeight="1" x14ac:dyDescent="0.3">
      <c r="A322" s="166"/>
      <c r="B322" s="129"/>
      <c r="C322" s="129"/>
      <c r="D322" s="129"/>
      <c r="E322" s="129"/>
      <c r="F322" s="129"/>
      <c r="G322" s="129"/>
      <c r="H322" s="129"/>
      <c r="I322" s="130"/>
      <c r="J322" s="133"/>
      <c r="K322" s="130"/>
      <c r="L322" s="130"/>
      <c r="M322" s="130"/>
      <c r="N322" s="127"/>
      <c r="O322" s="128"/>
      <c r="P322" s="129"/>
      <c r="Q322" s="131"/>
      <c r="R322" s="131"/>
      <c r="S322" s="129"/>
      <c r="T322" s="129"/>
      <c r="U322" s="129"/>
      <c r="V322" s="132"/>
      <c r="W322" s="133"/>
      <c r="X322" s="133"/>
      <c r="Y322" s="173"/>
    </row>
    <row r="323" spans="1:25" ht="18" customHeight="1" x14ac:dyDescent="0.3">
      <c r="A323" s="166"/>
      <c r="B323" s="129"/>
      <c r="C323" s="129"/>
      <c r="D323" s="129"/>
      <c r="E323" s="129"/>
      <c r="F323" s="129"/>
      <c r="G323" s="129"/>
      <c r="H323" s="129"/>
      <c r="I323" s="130"/>
      <c r="J323" s="133"/>
      <c r="K323" s="130"/>
      <c r="L323" s="130"/>
      <c r="M323" s="130"/>
      <c r="N323" s="127"/>
      <c r="O323" s="128"/>
      <c r="P323" s="129"/>
      <c r="Q323" s="131"/>
      <c r="R323" s="131"/>
      <c r="S323" s="129"/>
      <c r="T323" s="129"/>
      <c r="U323" s="129"/>
      <c r="V323" s="132"/>
      <c r="W323" s="133"/>
      <c r="X323" s="133"/>
      <c r="Y323" s="173"/>
    </row>
    <row r="324" spans="1:25" ht="18" customHeight="1" x14ac:dyDescent="0.3">
      <c r="A324" s="166"/>
      <c r="B324" s="129"/>
      <c r="C324" s="129"/>
      <c r="D324" s="129"/>
      <c r="E324" s="129"/>
      <c r="F324" s="129"/>
      <c r="G324" s="129"/>
      <c r="H324" s="129"/>
      <c r="I324" s="130"/>
      <c r="J324" s="133"/>
      <c r="K324" s="130"/>
      <c r="L324" s="130"/>
      <c r="M324" s="130"/>
      <c r="N324" s="127"/>
      <c r="O324" s="128"/>
      <c r="P324" s="129"/>
      <c r="Q324" s="131"/>
      <c r="R324" s="131"/>
      <c r="S324" s="129"/>
      <c r="T324" s="129"/>
      <c r="U324" s="129"/>
      <c r="V324" s="132"/>
      <c r="W324" s="133"/>
      <c r="X324" s="133"/>
      <c r="Y324" s="173"/>
    </row>
    <row r="325" spans="1:25" ht="18" customHeight="1" x14ac:dyDescent="0.3">
      <c r="A325" s="166"/>
      <c r="B325" s="129"/>
      <c r="C325" s="129"/>
      <c r="D325" s="129"/>
      <c r="E325" s="129"/>
      <c r="F325" s="129"/>
      <c r="G325" s="129"/>
      <c r="H325" s="129"/>
      <c r="I325" s="130"/>
      <c r="J325" s="133"/>
      <c r="K325" s="130"/>
      <c r="L325" s="130"/>
      <c r="M325" s="130"/>
      <c r="N325" s="127"/>
      <c r="O325" s="128"/>
      <c r="P325" s="129"/>
      <c r="Q325" s="131"/>
      <c r="R325" s="131"/>
      <c r="S325" s="129"/>
      <c r="T325" s="129"/>
      <c r="U325" s="129"/>
      <c r="V325" s="132"/>
      <c r="W325" s="133"/>
      <c r="X325" s="133"/>
      <c r="Y325" s="173"/>
    </row>
    <row r="326" spans="1:25" ht="18" customHeight="1" x14ac:dyDescent="0.3">
      <c r="A326" s="166"/>
      <c r="B326" s="129"/>
      <c r="C326" s="129"/>
      <c r="D326" s="129"/>
      <c r="E326" s="129"/>
      <c r="F326" s="129"/>
      <c r="G326" s="129"/>
      <c r="H326" s="129"/>
      <c r="I326" s="130"/>
      <c r="J326" s="133"/>
      <c r="K326" s="130"/>
      <c r="L326" s="130"/>
      <c r="M326" s="130"/>
      <c r="N326" s="127"/>
      <c r="O326" s="128"/>
      <c r="P326" s="129"/>
      <c r="Q326" s="131"/>
      <c r="R326" s="131"/>
      <c r="S326" s="129"/>
      <c r="T326" s="129"/>
      <c r="U326" s="129"/>
      <c r="V326" s="132"/>
      <c r="W326" s="133"/>
      <c r="X326" s="133"/>
      <c r="Y326" s="173"/>
    </row>
    <row r="327" spans="1:25" ht="18" customHeight="1" x14ac:dyDescent="0.3">
      <c r="A327" s="166"/>
      <c r="B327" s="129"/>
      <c r="C327" s="129"/>
      <c r="D327" s="129"/>
      <c r="E327" s="129"/>
      <c r="F327" s="129"/>
      <c r="G327" s="129"/>
      <c r="H327" s="129"/>
      <c r="I327" s="130"/>
      <c r="J327" s="133"/>
      <c r="K327" s="130"/>
      <c r="L327" s="130"/>
      <c r="M327" s="130"/>
      <c r="N327" s="127"/>
      <c r="O327" s="128"/>
      <c r="P327" s="129"/>
      <c r="Q327" s="131"/>
      <c r="R327" s="131"/>
      <c r="S327" s="129"/>
      <c r="T327" s="129"/>
      <c r="U327" s="129"/>
      <c r="V327" s="132"/>
      <c r="W327" s="133"/>
      <c r="X327" s="133"/>
      <c r="Y327" s="173"/>
    </row>
    <row r="328" spans="1:25" ht="18" customHeight="1" x14ac:dyDescent="0.3">
      <c r="A328" s="166"/>
      <c r="B328" s="129"/>
      <c r="C328" s="129"/>
      <c r="D328" s="129"/>
      <c r="E328" s="129"/>
      <c r="F328" s="129"/>
      <c r="G328" s="129"/>
      <c r="H328" s="129"/>
      <c r="I328" s="130"/>
      <c r="J328" s="133"/>
      <c r="K328" s="130"/>
      <c r="L328" s="130"/>
      <c r="M328" s="130"/>
      <c r="N328" s="127"/>
      <c r="O328" s="128"/>
      <c r="P328" s="129"/>
      <c r="Q328" s="131"/>
      <c r="R328" s="131"/>
      <c r="S328" s="129"/>
      <c r="T328" s="129"/>
      <c r="U328" s="129"/>
      <c r="V328" s="132"/>
      <c r="W328" s="133"/>
      <c r="X328" s="133"/>
      <c r="Y328" s="173"/>
    </row>
    <row r="329" spans="1:25" ht="18" customHeight="1" x14ac:dyDescent="0.3">
      <c r="A329" s="166"/>
      <c r="B329" s="129"/>
      <c r="C329" s="129"/>
      <c r="D329" s="129"/>
      <c r="E329" s="129"/>
      <c r="F329" s="129"/>
      <c r="G329" s="129"/>
      <c r="H329" s="129"/>
      <c r="I329" s="130"/>
      <c r="J329" s="133"/>
      <c r="K329" s="130"/>
      <c r="L329" s="130"/>
      <c r="M329" s="130"/>
      <c r="N329" s="127"/>
      <c r="O329" s="128"/>
      <c r="P329" s="129"/>
      <c r="Q329" s="131"/>
      <c r="R329" s="131"/>
      <c r="S329" s="129"/>
      <c r="T329" s="129"/>
      <c r="U329" s="129"/>
      <c r="V329" s="132"/>
      <c r="W329" s="133"/>
      <c r="X329" s="133"/>
      <c r="Y329" s="173"/>
    </row>
    <row r="330" spans="1:25" ht="18" customHeight="1" x14ac:dyDescent="0.3">
      <c r="A330" s="166"/>
      <c r="B330" s="129"/>
      <c r="C330" s="129"/>
      <c r="D330" s="129"/>
      <c r="E330" s="129"/>
      <c r="F330" s="129"/>
      <c r="G330" s="129"/>
      <c r="H330" s="129"/>
      <c r="I330" s="130"/>
      <c r="J330" s="133"/>
      <c r="K330" s="130"/>
      <c r="L330" s="130"/>
      <c r="M330" s="130"/>
      <c r="N330" s="127"/>
      <c r="O330" s="128"/>
      <c r="P330" s="129"/>
      <c r="Q330" s="131"/>
      <c r="R330" s="131"/>
      <c r="S330" s="129"/>
      <c r="T330" s="129"/>
      <c r="U330" s="129"/>
      <c r="V330" s="132"/>
      <c r="W330" s="133"/>
      <c r="X330" s="133"/>
      <c r="Y330" s="173"/>
    </row>
    <row r="331" spans="1:25" ht="18" customHeight="1" x14ac:dyDescent="0.3">
      <c r="A331" s="166"/>
      <c r="B331" s="129"/>
      <c r="C331" s="129"/>
      <c r="D331" s="129"/>
      <c r="E331" s="129"/>
      <c r="F331" s="129"/>
      <c r="G331" s="129"/>
      <c r="H331" s="129"/>
      <c r="I331" s="130"/>
      <c r="J331" s="133"/>
      <c r="K331" s="130"/>
      <c r="L331" s="130"/>
      <c r="M331" s="130"/>
      <c r="N331" s="127"/>
      <c r="O331" s="128"/>
      <c r="P331" s="129"/>
      <c r="Q331" s="131"/>
      <c r="R331" s="131"/>
      <c r="S331" s="129"/>
      <c r="T331" s="129"/>
      <c r="U331" s="129"/>
      <c r="V331" s="132"/>
      <c r="W331" s="133"/>
      <c r="X331" s="133"/>
      <c r="Y331" s="173"/>
    </row>
    <row r="332" spans="1:25" ht="18" customHeight="1" x14ac:dyDescent="0.3">
      <c r="A332" s="166"/>
      <c r="B332" s="129"/>
      <c r="C332" s="129"/>
      <c r="D332" s="129"/>
      <c r="E332" s="129"/>
      <c r="F332" s="129"/>
      <c r="G332" s="129"/>
      <c r="H332" s="129"/>
      <c r="I332" s="130"/>
      <c r="J332" s="133"/>
      <c r="K332" s="130"/>
      <c r="L332" s="130"/>
      <c r="M332" s="130"/>
      <c r="N332" s="127"/>
      <c r="O332" s="128"/>
      <c r="P332" s="129"/>
      <c r="Q332" s="131"/>
      <c r="R332" s="131"/>
      <c r="S332" s="129"/>
      <c r="T332" s="129"/>
      <c r="U332" s="129"/>
      <c r="V332" s="132"/>
      <c r="W332" s="133"/>
      <c r="X332" s="133"/>
      <c r="Y332" s="173"/>
    </row>
    <row r="333" spans="1:25" ht="18" customHeight="1" x14ac:dyDescent="0.3">
      <c r="A333" s="166"/>
      <c r="B333" s="129"/>
      <c r="C333" s="129"/>
      <c r="D333" s="129"/>
      <c r="E333" s="129"/>
      <c r="F333" s="129"/>
      <c r="G333" s="129"/>
      <c r="H333" s="129"/>
      <c r="I333" s="130"/>
      <c r="J333" s="133"/>
      <c r="K333" s="130"/>
      <c r="L333" s="130"/>
      <c r="M333" s="130"/>
      <c r="N333" s="127"/>
      <c r="O333" s="128"/>
      <c r="P333" s="129"/>
      <c r="Q333" s="131"/>
      <c r="R333" s="131"/>
      <c r="S333" s="129"/>
      <c r="T333" s="129"/>
      <c r="U333" s="129"/>
      <c r="V333" s="132"/>
      <c r="W333" s="133"/>
      <c r="X333" s="133"/>
      <c r="Y333" s="173"/>
    </row>
    <row r="334" spans="1:25" ht="18" customHeight="1" x14ac:dyDescent="0.3">
      <c r="A334" s="166"/>
      <c r="B334" s="129"/>
      <c r="C334" s="129"/>
      <c r="D334" s="129"/>
      <c r="E334" s="129"/>
      <c r="F334" s="129"/>
      <c r="G334" s="129"/>
      <c r="H334" s="129"/>
      <c r="I334" s="130"/>
      <c r="J334" s="133"/>
      <c r="K334" s="130"/>
      <c r="L334" s="130"/>
      <c r="M334" s="130"/>
      <c r="N334" s="127"/>
      <c r="O334" s="128"/>
      <c r="P334" s="129"/>
      <c r="Q334" s="131"/>
      <c r="R334" s="131"/>
      <c r="S334" s="129"/>
      <c r="T334" s="129"/>
      <c r="U334" s="129"/>
      <c r="V334" s="132"/>
      <c r="W334" s="133"/>
      <c r="X334" s="133"/>
      <c r="Y334" s="173"/>
    </row>
    <row r="335" spans="1:25" ht="18" customHeight="1" x14ac:dyDescent="0.3">
      <c r="A335" s="166"/>
      <c r="B335" s="129"/>
      <c r="C335" s="129"/>
      <c r="D335" s="129"/>
      <c r="E335" s="129"/>
      <c r="F335" s="129"/>
      <c r="G335" s="129"/>
      <c r="H335" s="129"/>
      <c r="I335" s="130"/>
      <c r="J335" s="133"/>
      <c r="K335" s="130"/>
      <c r="L335" s="130"/>
      <c r="M335" s="130"/>
      <c r="N335" s="127"/>
      <c r="O335" s="128"/>
      <c r="P335" s="129"/>
      <c r="Q335" s="131"/>
      <c r="R335" s="131"/>
      <c r="S335" s="129"/>
      <c r="T335" s="129"/>
      <c r="U335" s="129"/>
      <c r="V335" s="132"/>
      <c r="W335" s="133"/>
      <c r="X335" s="133"/>
      <c r="Y335" s="173"/>
    </row>
    <row r="336" spans="1:25" ht="18" customHeight="1" x14ac:dyDescent="0.3">
      <c r="A336" s="166"/>
      <c r="B336" s="129"/>
      <c r="C336" s="129"/>
      <c r="D336" s="129"/>
      <c r="E336" s="129"/>
      <c r="F336" s="129"/>
      <c r="G336" s="129"/>
      <c r="H336" s="129"/>
      <c r="I336" s="130"/>
      <c r="J336" s="133"/>
      <c r="K336" s="130"/>
      <c r="L336" s="130"/>
      <c r="M336" s="130"/>
      <c r="N336" s="127"/>
      <c r="O336" s="128"/>
      <c r="P336" s="129"/>
      <c r="Q336" s="131"/>
      <c r="R336" s="131"/>
      <c r="S336" s="129"/>
      <c r="T336" s="129"/>
      <c r="U336" s="129"/>
      <c r="V336" s="132"/>
      <c r="W336" s="133"/>
      <c r="X336" s="133"/>
      <c r="Y336" s="173"/>
    </row>
    <row r="337" spans="1:25" ht="18" customHeight="1" x14ac:dyDescent="0.3">
      <c r="A337" s="166"/>
      <c r="B337" s="129"/>
      <c r="C337" s="129"/>
      <c r="D337" s="129"/>
      <c r="E337" s="129"/>
      <c r="F337" s="129"/>
      <c r="G337" s="129"/>
      <c r="H337" s="129"/>
      <c r="I337" s="130"/>
      <c r="J337" s="133"/>
      <c r="K337" s="130"/>
      <c r="L337" s="130"/>
      <c r="M337" s="130"/>
      <c r="N337" s="127"/>
      <c r="O337" s="128"/>
      <c r="P337" s="129"/>
      <c r="Q337" s="131"/>
      <c r="R337" s="131"/>
      <c r="S337" s="129"/>
      <c r="T337" s="129"/>
      <c r="U337" s="129"/>
      <c r="V337" s="132"/>
      <c r="W337" s="133"/>
      <c r="X337" s="133"/>
      <c r="Y337" s="173"/>
    </row>
    <row r="338" spans="1:25" ht="18" customHeight="1" x14ac:dyDescent="0.3">
      <c r="A338" s="166"/>
      <c r="B338" s="129"/>
      <c r="C338" s="129"/>
      <c r="D338" s="129"/>
      <c r="E338" s="129"/>
      <c r="F338" s="129"/>
      <c r="G338" s="129"/>
      <c r="H338" s="129"/>
      <c r="I338" s="130"/>
      <c r="J338" s="133"/>
      <c r="K338" s="130"/>
      <c r="L338" s="130"/>
      <c r="M338" s="130"/>
      <c r="N338" s="127"/>
      <c r="O338" s="128"/>
      <c r="P338" s="129"/>
      <c r="Q338" s="131"/>
      <c r="R338" s="131"/>
      <c r="S338" s="129"/>
      <c r="T338" s="129"/>
      <c r="U338" s="129"/>
      <c r="V338" s="132"/>
      <c r="W338" s="133"/>
      <c r="X338" s="133"/>
      <c r="Y338" s="173"/>
    </row>
    <row r="339" spans="1:25" ht="18" customHeight="1" x14ac:dyDescent="0.3">
      <c r="A339" s="166"/>
      <c r="B339" s="129"/>
      <c r="C339" s="129"/>
      <c r="D339" s="129"/>
      <c r="E339" s="129"/>
      <c r="F339" s="129"/>
      <c r="G339" s="129"/>
      <c r="H339" s="129"/>
      <c r="I339" s="130"/>
      <c r="J339" s="133"/>
      <c r="K339" s="130"/>
      <c r="L339" s="130"/>
      <c r="M339" s="130"/>
      <c r="N339" s="127"/>
      <c r="O339" s="128"/>
      <c r="P339" s="129"/>
      <c r="Q339" s="131"/>
      <c r="R339" s="131"/>
      <c r="S339" s="129"/>
      <c r="T339" s="129"/>
      <c r="U339" s="129"/>
      <c r="V339" s="132"/>
      <c r="W339" s="133"/>
      <c r="X339" s="133"/>
      <c r="Y339" s="173"/>
    </row>
    <row r="340" spans="1:25" ht="18" customHeight="1" x14ac:dyDescent="0.3">
      <c r="A340" s="166"/>
      <c r="B340" s="129"/>
      <c r="C340" s="129"/>
      <c r="D340" s="129"/>
      <c r="E340" s="129"/>
      <c r="F340" s="129"/>
      <c r="G340" s="129"/>
      <c r="H340" s="129"/>
      <c r="I340" s="130"/>
      <c r="J340" s="133"/>
      <c r="K340" s="130"/>
      <c r="L340" s="130"/>
      <c r="M340" s="130"/>
      <c r="N340" s="127"/>
      <c r="O340" s="128"/>
      <c r="P340" s="129"/>
      <c r="Q340" s="131"/>
      <c r="R340" s="131"/>
      <c r="S340" s="129"/>
      <c r="T340" s="129"/>
      <c r="U340" s="129"/>
      <c r="V340" s="132"/>
      <c r="W340" s="133"/>
      <c r="X340" s="133"/>
      <c r="Y340" s="173"/>
    </row>
    <row r="341" spans="1:25" ht="18" customHeight="1" x14ac:dyDescent="0.3">
      <c r="A341" s="166"/>
      <c r="B341" s="129"/>
      <c r="C341" s="129"/>
      <c r="D341" s="129"/>
      <c r="E341" s="129"/>
      <c r="F341" s="129"/>
      <c r="G341" s="129"/>
      <c r="H341" s="129"/>
      <c r="I341" s="130"/>
      <c r="J341" s="133"/>
      <c r="K341" s="130"/>
      <c r="L341" s="130"/>
      <c r="M341" s="130"/>
      <c r="N341" s="127"/>
      <c r="O341" s="128"/>
      <c r="P341" s="129"/>
      <c r="Q341" s="131"/>
      <c r="R341" s="131"/>
      <c r="S341" s="129"/>
      <c r="T341" s="129"/>
      <c r="U341" s="129"/>
      <c r="V341" s="132"/>
      <c r="W341" s="133"/>
      <c r="X341" s="133"/>
      <c r="Y341" s="173"/>
    </row>
    <row r="342" spans="1:25" ht="18" customHeight="1" x14ac:dyDescent="0.3">
      <c r="A342" s="166"/>
      <c r="B342" s="129"/>
      <c r="C342" s="129"/>
      <c r="D342" s="129"/>
      <c r="E342" s="129"/>
      <c r="F342" s="129"/>
      <c r="G342" s="129"/>
      <c r="H342" s="129"/>
      <c r="I342" s="130"/>
      <c r="J342" s="133"/>
      <c r="K342" s="130"/>
      <c r="L342" s="130"/>
      <c r="M342" s="130"/>
      <c r="N342" s="127"/>
      <c r="O342" s="128"/>
      <c r="P342" s="129"/>
      <c r="Q342" s="131"/>
      <c r="R342" s="131"/>
      <c r="S342" s="129"/>
      <c r="T342" s="129"/>
      <c r="U342" s="129"/>
      <c r="V342" s="132"/>
      <c r="W342" s="133"/>
      <c r="X342" s="133"/>
      <c r="Y342" s="173"/>
    </row>
    <row r="343" spans="1:25" ht="18" customHeight="1" x14ac:dyDescent="0.3">
      <c r="A343" s="166"/>
      <c r="B343" s="129"/>
      <c r="C343" s="129"/>
      <c r="D343" s="129"/>
      <c r="E343" s="129"/>
      <c r="F343" s="129"/>
      <c r="G343" s="129"/>
      <c r="H343" s="129"/>
      <c r="I343" s="130"/>
      <c r="J343" s="133"/>
      <c r="K343" s="130"/>
      <c r="L343" s="130"/>
      <c r="M343" s="130"/>
      <c r="N343" s="127"/>
      <c r="O343" s="128"/>
      <c r="P343" s="129"/>
      <c r="Q343" s="131"/>
      <c r="R343" s="131"/>
      <c r="S343" s="129"/>
      <c r="T343" s="129"/>
      <c r="U343" s="129"/>
      <c r="V343" s="132"/>
      <c r="W343" s="133"/>
      <c r="X343" s="133"/>
      <c r="Y343" s="173"/>
    </row>
    <row r="344" spans="1:25" ht="18" customHeight="1" x14ac:dyDescent="0.3">
      <c r="A344" s="166"/>
      <c r="B344" s="129"/>
      <c r="C344" s="129"/>
      <c r="D344" s="129"/>
      <c r="E344" s="129"/>
      <c r="F344" s="129"/>
      <c r="G344" s="129"/>
      <c r="H344" s="129"/>
      <c r="I344" s="130"/>
      <c r="J344" s="133"/>
      <c r="K344" s="130"/>
      <c r="L344" s="130"/>
      <c r="M344" s="130"/>
      <c r="N344" s="127"/>
      <c r="O344" s="128"/>
      <c r="P344" s="129"/>
      <c r="Q344" s="131"/>
      <c r="R344" s="131"/>
      <c r="S344" s="129"/>
      <c r="T344" s="129"/>
      <c r="U344" s="129"/>
      <c r="V344" s="132"/>
      <c r="W344" s="133"/>
      <c r="X344" s="133"/>
      <c r="Y344" s="173"/>
    </row>
    <row r="345" spans="1:25" ht="18" customHeight="1" x14ac:dyDescent="0.3">
      <c r="A345" s="166"/>
      <c r="B345" s="129"/>
      <c r="C345" s="129"/>
      <c r="D345" s="129"/>
      <c r="E345" s="129"/>
      <c r="F345" s="129"/>
      <c r="G345" s="129"/>
      <c r="H345" s="129"/>
      <c r="I345" s="130"/>
      <c r="J345" s="133"/>
      <c r="K345" s="130"/>
      <c r="L345" s="130"/>
      <c r="M345" s="130"/>
      <c r="N345" s="127"/>
      <c r="O345" s="128"/>
      <c r="P345" s="129"/>
      <c r="Q345" s="131"/>
      <c r="R345" s="131"/>
      <c r="S345" s="129"/>
      <c r="T345" s="129"/>
      <c r="U345" s="129"/>
      <c r="V345" s="132"/>
      <c r="W345" s="133"/>
      <c r="X345" s="133"/>
      <c r="Y345" s="173"/>
    </row>
    <row r="346" spans="1:25" ht="18" customHeight="1" x14ac:dyDescent="0.3">
      <c r="A346" s="166"/>
      <c r="B346" s="129"/>
      <c r="C346" s="129"/>
      <c r="D346" s="129"/>
      <c r="E346" s="129"/>
      <c r="F346" s="129"/>
      <c r="G346" s="129"/>
      <c r="H346" s="129"/>
      <c r="I346" s="130"/>
      <c r="J346" s="133"/>
      <c r="K346" s="130"/>
      <c r="L346" s="130"/>
      <c r="M346" s="130"/>
      <c r="N346" s="127"/>
      <c r="O346" s="128"/>
      <c r="P346" s="129"/>
      <c r="Q346" s="131"/>
      <c r="R346" s="131"/>
      <c r="S346" s="129"/>
      <c r="T346" s="129"/>
      <c r="U346" s="129"/>
      <c r="V346" s="132"/>
      <c r="W346" s="133"/>
      <c r="X346" s="133"/>
      <c r="Y346" s="173"/>
    </row>
    <row r="347" spans="1:25" ht="18" customHeight="1" x14ac:dyDescent="0.3">
      <c r="A347" s="166"/>
      <c r="B347" s="129"/>
      <c r="C347" s="129"/>
      <c r="D347" s="129"/>
      <c r="E347" s="129"/>
      <c r="F347" s="129"/>
      <c r="G347" s="129"/>
      <c r="H347" s="129"/>
      <c r="I347" s="130"/>
      <c r="J347" s="133"/>
      <c r="K347" s="130"/>
      <c r="L347" s="130"/>
      <c r="M347" s="130"/>
      <c r="N347" s="127"/>
      <c r="O347" s="128"/>
      <c r="P347" s="129"/>
      <c r="Q347" s="131"/>
      <c r="R347" s="131"/>
      <c r="S347" s="129"/>
      <c r="T347" s="129"/>
      <c r="U347" s="129"/>
      <c r="V347" s="132"/>
      <c r="W347" s="133"/>
      <c r="X347" s="133"/>
      <c r="Y347" s="173"/>
    </row>
    <row r="348" spans="1:25" ht="18" customHeight="1" x14ac:dyDescent="0.3">
      <c r="A348" s="166"/>
      <c r="B348" s="129"/>
      <c r="C348" s="129"/>
      <c r="D348" s="129"/>
      <c r="E348" s="129"/>
      <c r="F348" s="129"/>
      <c r="G348" s="129"/>
      <c r="H348" s="129"/>
      <c r="I348" s="130"/>
      <c r="J348" s="133"/>
      <c r="K348" s="130"/>
      <c r="L348" s="130"/>
      <c r="M348" s="130"/>
      <c r="N348" s="127"/>
      <c r="O348" s="128"/>
      <c r="P348" s="129"/>
      <c r="Q348" s="131"/>
      <c r="R348" s="131"/>
      <c r="S348" s="129"/>
      <c r="T348" s="129"/>
      <c r="U348" s="129"/>
      <c r="V348" s="132"/>
      <c r="W348" s="133"/>
      <c r="X348" s="133"/>
      <c r="Y348" s="173"/>
    </row>
    <row r="349" spans="1:25" ht="18" customHeight="1" x14ac:dyDescent="0.3">
      <c r="A349" s="166"/>
      <c r="B349" s="129"/>
      <c r="C349" s="129"/>
      <c r="D349" s="129"/>
      <c r="E349" s="129"/>
      <c r="F349" s="129"/>
      <c r="G349" s="129"/>
      <c r="H349" s="129"/>
      <c r="I349" s="130"/>
      <c r="J349" s="133"/>
      <c r="K349" s="130"/>
      <c r="L349" s="130"/>
      <c r="M349" s="130"/>
      <c r="N349" s="127"/>
      <c r="O349" s="128"/>
      <c r="P349" s="129"/>
      <c r="Q349" s="131"/>
      <c r="R349" s="131"/>
      <c r="S349" s="129"/>
      <c r="T349" s="129"/>
      <c r="U349" s="129"/>
      <c r="V349" s="132"/>
      <c r="W349" s="133"/>
      <c r="X349" s="133"/>
      <c r="Y349" s="173"/>
    </row>
    <row r="350" spans="1:25" ht="18" customHeight="1" x14ac:dyDescent="0.3">
      <c r="A350" s="166"/>
      <c r="B350" s="129"/>
      <c r="C350" s="129"/>
      <c r="D350" s="129"/>
      <c r="E350" s="129"/>
      <c r="F350" s="129"/>
      <c r="G350" s="129"/>
      <c r="H350" s="129"/>
      <c r="I350" s="130"/>
      <c r="J350" s="133"/>
      <c r="K350" s="130"/>
      <c r="L350" s="130"/>
      <c r="M350" s="130"/>
      <c r="N350" s="127"/>
      <c r="O350" s="128"/>
      <c r="P350" s="129"/>
      <c r="Q350" s="131"/>
      <c r="R350" s="131"/>
      <c r="S350" s="129"/>
      <c r="T350" s="129"/>
      <c r="U350" s="129"/>
      <c r="V350" s="132"/>
      <c r="W350" s="133"/>
      <c r="X350" s="133"/>
      <c r="Y350" s="173"/>
    </row>
    <row r="351" spans="1:25" ht="18" customHeight="1" x14ac:dyDescent="0.3">
      <c r="A351" s="166"/>
      <c r="B351" s="129"/>
      <c r="C351" s="129"/>
      <c r="D351" s="129"/>
      <c r="E351" s="129"/>
      <c r="F351" s="129"/>
      <c r="G351" s="129"/>
      <c r="H351" s="129"/>
      <c r="I351" s="130"/>
      <c r="J351" s="133"/>
      <c r="K351" s="130"/>
      <c r="L351" s="130"/>
      <c r="M351" s="130"/>
      <c r="N351" s="127"/>
      <c r="O351" s="128"/>
      <c r="P351" s="129"/>
      <c r="Q351" s="131"/>
      <c r="R351" s="131"/>
      <c r="S351" s="129"/>
      <c r="T351" s="129"/>
      <c r="U351" s="129"/>
      <c r="V351" s="132"/>
      <c r="W351" s="133"/>
      <c r="X351" s="133"/>
      <c r="Y351" s="173"/>
    </row>
    <row r="352" spans="1:25" ht="18" customHeight="1" x14ac:dyDescent="0.3">
      <c r="A352" s="166"/>
      <c r="B352" s="129"/>
      <c r="C352" s="129"/>
      <c r="D352" s="129"/>
      <c r="E352" s="129"/>
      <c r="F352" s="129"/>
      <c r="G352" s="129"/>
      <c r="H352" s="129"/>
      <c r="I352" s="130"/>
      <c r="J352" s="133"/>
      <c r="K352" s="130"/>
      <c r="L352" s="130"/>
      <c r="M352" s="130"/>
      <c r="N352" s="127"/>
      <c r="O352" s="128"/>
      <c r="P352" s="129"/>
      <c r="Q352" s="131"/>
      <c r="R352" s="131"/>
      <c r="S352" s="129"/>
      <c r="T352" s="129"/>
      <c r="U352" s="129"/>
      <c r="V352" s="132"/>
      <c r="W352" s="133"/>
      <c r="X352" s="133"/>
      <c r="Y352" s="173"/>
    </row>
    <row r="353" spans="1:25" ht="18" customHeight="1" x14ac:dyDescent="0.3">
      <c r="A353" s="166"/>
      <c r="B353" s="129"/>
      <c r="C353" s="129"/>
      <c r="D353" s="129"/>
      <c r="E353" s="129"/>
      <c r="F353" s="129"/>
      <c r="G353" s="129"/>
      <c r="H353" s="129"/>
      <c r="I353" s="130"/>
      <c r="J353" s="133"/>
      <c r="K353" s="130"/>
      <c r="L353" s="130"/>
      <c r="M353" s="130"/>
      <c r="N353" s="127"/>
      <c r="O353" s="128"/>
      <c r="P353" s="129"/>
      <c r="Q353" s="131"/>
      <c r="R353" s="131"/>
      <c r="S353" s="129"/>
      <c r="T353" s="129"/>
      <c r="U353" s="129"/>
      <c r="V353" s="132"/>
      <c r="W353" s="133"/>
      <c r="X353" s="133"/>
      <c r="Y353" s="173"/>
    </row>
    <row r="354" spans="1:25" ht="18" customHeight="1" x14ac:dyDescent="0.3">
      <c r="A354" s="166"/>
      <c r="B354" s="129"/>
      <c r="C354" s="129"/>
      <c r="D354" s="129"/>
      <c r="E354" s="129"/>
      <c r="F354" s="129"/>
      <c r="G354" s="129"/>
      <c r="H354" s="129"/>
      <c r="I354" s="130"/>
      <c r="J354" s="133"/>
      <c r="K354" s="130"/>
      <c r="L354" s="130"/>
      <c r="M354" s="130"/>
      <c r="N354" s="127"/>
      <c r="O354" s="128"/>
      <c r="P354" s="129"/>
      <c r="Q354" s="131"/>
      <c r="R354" s="131"/>
      <c r="S354" s="129"/>
      <c r="T354" s="129"/>
      <c r="U354" s="129"/>
      <c r="V354" s="132"/>
      <c r="W354" s="133"/>
      <c r="X354" s="133"/>
      <c r="Y354" s="173"/>
    </row>
    <row r="355" spans="1:25" ht="18" customHeight="1" x14ac:dyDescent="0.3">
      <c r="A355" s="166"/>
      <c r="B355" s="129"/>
      <c r="C355" s="134"/>
      <c r="D355" s="129"/>
      <c r="E355" s="129"/>
      <c r="F355" s="129"/>
      <c r="G355" s="129"/>
      <c r="H355" s="129"/>
      <c r="I355" s="130"/>
      <c r="J355" s="133"/>
      <c r="K355" s="130"/>
      <c r="L355" s="130"/>
      <c r="M355" s="130"/>
      <c r="N355" s="127"/>
      <c r="O355" s="128"/>
      <c r="P355" s="129"/>
      <c r="Q355" s="131"/>
      <c r="R355" s="131"/>
      <c r="S355" s="129"/>
      <c r="T355" s="129"/>
      <c r="U355" s="129"/>
      <c r="V355" s="132"/>
      <c r="W355" s="133"/>
      <c r="X355" s="133"/>
      <c r="Y355" s="173"/>
    </row>
    <row r="356" spans="1:25" ht="18" customHeight="1" x14ac:dyDescent="0.3">
      <c r="A356" s="166"/>
      <c r="B356" s="129"/>
      <c r="C356" s="134"/>
      <c r="D356" s="129"/>
      <c r="E356" s="129"/>
      <c r="F356" s="129"/>
      <c r="G356" s="129"/>
      <c r="H356" s="129"/>
      <c r="I356" s="130"/>
      <c r="J356" s="133"/>
      <c r="K356" s="130"/>
      <c r="L356" s="130"/>
      <c r="M356" s="130"/>
      <c r="N356" s="127"/>
      <c r="O356" s="128"/>
      <c r="P356" s="129"/>
      <c r="Q356" s="131"/>
      <c r="R356" s="131"/>
      <c r="S356" s="129"/>
      <c r="T356" s="129"/>
      <c r="U356" s="129"/>
      <c r="V356" s="132"/>
      <c r="W356" s="133"/>
      <c r="X356" s="133"/>
      <c r="Y356" s="173"/>
    </row>
    <row r="357" spans="1:25" ht="18" customHeight="1" x14ac:dyDescent="0.3">
      <c r="A357" s="166"/>
      <c r="B357" s="129"/>
      <c r="C357" s="134"/>
      <c r="D357" s="129"/>
      <c r="E357" s="129"/>
      <c r="F357" s="129"/>
      <c r="G357" s="129"/>
      <c r="H357" s="129"/>
      <c r="I357" s="130"/>
      <c r="J357" s="133"/>
      <c r="K357" s="130"/>
      <c r="L357" s="130"/>
      <c r="M357" s="130"/>
      <c r="N357" s="127"/>
      <c r="O357" s="128"/>
      <c r="P357" s="129"/>
      <c r="Q357" s="131"/>
      <c r="R357" s="131"/>
      <c r="S357" s="129"/>
      <c r="T357" s="129"/>
      <c r="U357" s="129"/>
      <c r="V357" s="132"/>
      <c r="W357" s="133"/>
      <c r="X357" s="133"/>
      <c r="Y357" s="173"/>
    </row>
    <row r="358" spans="1:25" ht="18" customHeight="1" x14ac:dyDescent="0.3">
      <c r="A358" s="166"/>
      <c r="B358" s="129"/>
      <c r="C358" s="129"/>
      <c r="D358" s="129"/>
      <c r="E358" s="129"/>
      <c r="F358" s="129"/>
      <c r="G358" s="129"/>
      <c r="H358" s="129"/>
      <c r="I358" s="130"/>
      <c r="J358" s="133"/>
      <c r="K358" s="130"/>
      <c r="L358" s="130"/>
      <c r="M358" s="130"/>
      <c r="N358" s="127"/>
      <c r="O358" s="128"/>
      <c r="P358" s="129"/>
      <c r="Q358" s="131"/>
      <c r="R358" s="131"/>
      <c r="S358" s="129"/>
      <c r="T358" s="129"/>
      <c r="U358" s="129"/>
      <c r="V358" s="132"/>
      <c r="W358" s="133"/>
      <c r="X358" s="133"/>
      <c r="Y358" s="173"/>
    </row>
    <row r="359" spans="1:25" ht="18" customHeight="1" x14ac:dyDescent="0.3">
      <c r="A359" s="166"/>
      <c r="B359" s="129"/>
      <c r="C359" s="129"/>
      <c r="D359" s="129"/>
      <c r="E359" s="129"/>
      <c r="F359" s="129"/>
      <c r="G359" s="129"/>
      <c r="H359" s="129"/>
      <c r="I359" s="130"/>
      <c r="J359" s="133"/>
      <c r="K359" s="130"/>
      <c r="L359" s="130"/>
      <c r="M359" s="130"/>
      <c r="N359" s="127"/>
      <c r="O359" s="128"/>
      <c r="P359" s="129"/>
      <c r="Q359" s="131"/>
      <c r="R359" s="131"/>
      <c r="S359" s="129"/>
      <c r="T359" s="129"/>
      <c r="U359" s="129"/>
      <c r="V359" s="132"/>
      <c r="W359" s="133"/>
      <c r="X359" s="133"/>
      <c r="Y359" s="173"/>
    </row>
    <row r="360" spans="1:25" ht="18" customHeight="1" x14ac:dyDescent="0.3">
      <c r="A360" s="166"/>
      <c r="B360" s="129"/>
      <c r="C360" s="129"/>
      <c r="D360" s="129"/>
      <c r="E360" s="129"/>
      <c r="F360" s="129"/>
      <c r="G360" s="129"/>
      <c r="H360" s="129"/>
      <c r="I360" s="130"/>
      <c r="J360" s="133"/>
      <c r="K360" s="130"/>
      <c r="L360" s="130"/>
      <c r="M360" s="130"/>
      <c r="N360" s="127"/>
      <c r="O360" s="128"/>
      <c r="P360" s="129"/>
      <c r="Q360" s="131"/>
      <c r="R360" s="131"/>
      <c r="S360" s="129"/>
      <c r="T360" s="129"/>
      <c r="U360" s="129"/>
      <c r="V360" s="132"/>
      <c r="W360" s="133"/>
      <c r="X360" s="133"/>
      <c r="Y360" s="173"/>
    </row>
    <row r="361" spans="1:25" ht="18" customHeight="1" x14ac:dyDescent="0.3">
      <c r="A361" s="166"/>
      <c r="B361" s="129"/>
      <c r="C361" s="129"/>
      <c r="D361" s="129"/>
      <c r="E361" s="129"/>
      <c r="F361" s="129"/>
      <c r="G361" s="129"/>
      <c r="H361" s="129"/>
      <c r="I361" s="130"/>
      <c r="J361" s="133"/>
      <c r="K361" s="130"/>
      <c r="L361" s="130"/>
      <c r="M361" s="130"/>
      <c r="N361" s="127"/>
      <c r="O361" s="128"/>
      <c r="P361" s="129"/>
      <c r="Q361" s="131"/>
      <c r="R361" s="131"/>
      <c r="S361" s="129"/>
      <c r="T361" s="129"/>
      <c r="U361" s="129"/>
      <c r="V361" s="132"/>
      <c r="W361" s="133"/>
      <c r="X361" s="133"/>
      <c r="Y361" s="173"/>
    </row>
    <row r="362" spans="1:25" ht="18" customHeight="1" x14ac:dyDescent="0.3">
      <c r="A362" s="166"/>
      <c r="B362" s="129"/>
      <c r="C362" s="129"/>
      <c r="D362" s="129"/>
      <c r="E362" s="129"/>
      <c r="F362" s="129"/>
      <c r="G362" s="129"/>
      <c r="H362" s="129"/>
      <c r="I362" s="130"/>
      <c r="J362" s="133"/>
      <c r="K362" s="130"/>
      <c r="L362" s="130"/>
      <c r="M362" s="130"/>
      <c r="N362" s="127"/>
      <c r="O362" s="128"/>
      <c r="P362" s="129"/>
      <c r="Q362" s="131"/>
      <c r="R362" s="131"/>
      <c r="S362" s="129"/>
      <c r="T362" s="129"/>
      <c r="U362" s="129"/>
      <c r="V362" s="132"/>
      <c r="W362" s="133"/>
      <c r="X362" s="133"/>
      <c r="Y362" s="173"/>
    </row>
    <row r="363" spans="1:25" ht="18" customHeight="1" x14ac:dyDescent="0.3">
      <c r="A363" s="166"/>
      <c r="B363" s="129"/>
      <c r="C363" s="129"/>
      <c r="D363" s="129"/>
      <c r="E363" s="129"/>
      <c r="F363" s="129"/>
      <c r="G363" s="129"/>
      <c r="H363" s="129"/>
      <c r="I363" s="130"/>
      <c r="J363" s="133"/>
      <c r="K363" s="130"/>
      <c r="L363" s="130"/>
      <c r="M363" s="130"/>
      <c r="N363" s="127"/>
      <c r="O363" s="128"/>
      <c r="P363" s="129"/>
      <c r="Q363" s="131"/>
      <c r="R363" s="131"/>
      <c r="S363" s="129"/>
      <c r="T363" s="129"/>
      <c r="U363" s="129"/>
      <c r="V363" s="132"/>
      <c r="W363" s="133"/>
      <c r="X363" s="133"/>
      <c r="Y363" s="173"/>
    </row>
    <row r="364" spans="1:25" ht="18" customHeight="1" x14ac:dyDescent="0.3">
      <c r="A364" s="166"/>
      <c r="B364" s="129"/>
      <c r="C364" s="129"/>
      <c r="D364" s="129"/>
      <c r="E364" s="129"/>
      <c r="F364" s="129"/>
      <c r="G364" s="129"/>
      <c r="H364" s="129"/>
      <c r="I364" s="130"/>
      <c r="J364" s="133"/>
      <c r="K364" s="130"/>
      <c r="L364" s="130"/>
      <c r="M364" s="130"/>
      <c r="N364" s="127"/>
      <c r="O364" s="128"/>
      <c r="P364" s="129"/>
      <c r="Q364" s="131"/>
      <c r="R364" s="131"/>
      <c r="S364" s="129"/>
      <c r="T364" s="129"/>
      <c r="U364" s="129"/>
      <c r="V364" s="132"/>
      <c r="W364" s="133"/>
      <c r="X364" s="133"/>
      <c r="Y364" s="173"/>
    </row>
    <row r="365" spans="1:25" ht="18" customHeight="1" x14ac:dyDescent="0.3">
      <c r="A365" s="166"/>
      <c r="B365" s="129"/>
      <c r="C365" s="129"/>
      <c r="D365" s="129"/>
      <c r="E365" s="129"/>
      <c r="F365" s="129"/>
      <c r="G365" s="129"/>
      <c r="H365" s="129"/>
      <c r="I365" s="130"/>
      <c r="J365" s="133"/>
      <c r="K365" s="130"/>
      <c r="L365" s="130"/>
      <c r="M365" s="130"/>
      <c r="N365" s="127"/>
      <c r="O365" s="128"/>
      <c r="P365" s="129"/>
      <c r="Q365" s="131"/>
      <c r="R365" s="131"/>
      <c r="S365" s="129"/>
      <c r="T365" s="129"/>
      <c r="U365" s="129"/>
      <c r="V365" s="132"/>
      <c r="W365" s="133"/>
      <c r="X365" s="133"/>
      <c r="Y365" s="173"/>
    </row>
    <row r="366" spans="1:25" ht="18" customHeight="1" x14ac:dyDescent="0.3">
      <c r="A366" s="166"/>
      <c r="B366" s="129"/>
      <c r="C366" s="129"/>
      <c r="D366" s="129"/>
      <c r="E366" s="129"/>
      <c r="F366" s="129"/>
      <c r="G366" s="129"/>
      <c r="H366" s="129"/>
      <c r="I366" s="130"/>
      <c r="J366" s="133"/>
      <c r="K366" s="130"/>
      <c r="L366" s="130"/>
      <c r="M366" s="130"/>
      <c r="N366" s="127"/>
      <c r="O366" s="128"/>
      <c r="P366" s="129"/>
      <c r="Q366" s="131"/>
      <c r="R366" s="131"/>
      <c r="S366" s="129"/>
      <c r="T366" s="129"/>
      <c r="U366" s="129"/>
      <c r="V366" s="132"/>
      <c r="W366" s="133"/>
      <c r="X366" s="133"/>
      <c r="Y366" s="173"/>
    </row>
    <row r="367" spans="1:25" ht="18" customHeight="1" x14ac:dyDescent="0.3">
      <c r="A367" s="166"/>
      <c r="B367" s="129"/>
      <c r="C367" s="129"/>
      <c r="D367" s="129"/>
      <c r="E367" s="129"/>
      <c r="F367" s="129"/>
      <c r="G367" s="129"/>
      <c r="H367" s="129"/>
      <c r="I367" s="130"/>
      <c r="J367" s="133"/>
      <c r="K367" s="130"/>
      <c r="L367" s="130"/>
      <c r="M367" s="130"/>
      <c r="N367" s="127"/>
      <c r="O367" s="128"/>
      <c r="P367" s="129"/>
      <c r="Q367" s="131"/>
      <c r="R367" s="131"/>
      <c r="S367" s="129"/>
      <c r="T367" s="129"/>
      <c r="U367" s="129"/>
      <c r="V367" s="132"/>
      <c r="W367" s="133"/>
      <c r="X367" s="133"/>
      <c r="Y367" s="173"/>
    </row>
    <row r="368" spans="1:25" ht="18" customHeight="1" x14ac:dyDescent="0.3">
      <c r="A368" s="166"/>
      <c r="B368" s="129"/>
      <c r="C368" s="129"/>
      <c r="D368" s="129"/>
      <c r="E368" s="129"/>
      <c r="F368" s="129"/>
      <c r="G368" s="129"/>
      <c r="H368" s="129"/>
      <c r="I368" s="130"/>
      <c r="J368" s="133"/>
      <c r="K368" s="130"/>
      <c r="L368" s="130"/>
      <c r="M368" s="130"/>
      <c r="N368" s="127"/>
      <c r="O368" s="128"/>
      <c r="P368" s="129"/>
      <c r="Q368" s="131"/>
      <c r="R368" s="131"/>
      <c r="S368" s="129"/>
      <c r="T368" s="129"/>
      <c r="U368" s="129"/>
      <c r="V368" s="132"/>
      <c r="W368" s="133"/>
      <c r="X368" s="133"/>
      <c r="Y368" s="173"/>
    </row>
    <row r="369" spans="1:25" ht="18" customHeight="1" x14ac:dyDescent="0.3">
      <c r="A369" s="166"/>
      <c r="B369" s="129"/>
      <c r="C369" s="129"/>
      <c r="D369" s="129"/>
      <c r="E369" s="129"/>
      <c r="F369" s="129"/>
      <c r="G369" s="129"/>
      <c r="H369" s="129"/>
      <c r="I369" s="130"/>
      <c r="J369" s="133"/>
      <c r="K369" s="130"/>
      <c r="L369" s="130"/>
      <c r="M369" s="130"/>
      <c r="N369" s="127"/>
      <c r="O369" s="128"/>
      <c r="P369" s="129"/>
      <c r="Q369" s="131"/>
      <c r="R369" s="131"/>
      <c r="S369" s="129"/>
      <c r="T369" s="129"/>
      <c r="U369" s="129"/>
      <c r="V369" s="132"/>
      <c r="W369" s="133"/>
      <c r="X369" s="133"/>
      <c r="Y369" s="173"/>
    </row>
    <row r="370" spans="1:25" ht="18" customHeight="1" x14ac:dyDescent="0.3">
      <c r="A370" s="166"/>
      <c r="B370" s="135"/>
      <c r="C370" s="129"/>
      <c r="D370" s="129"/>
      <c r="E370" s="129"/>
      <c r="F370" s="129"/>
      <c r="G370" s="129"/>
      <c r="H370" s="129"/>
      <c r="I370" s="130"/>
      <c r="J370" s="133"/>
      <c r="K370" s="130"/>
      <c r="L370" s="130"/>
      <c r="M370" s="130"/>
      <c r="N370" s="127"/>
      <c r="O370" s="128"/>
      <c r="P370" s="129"/>
      <c r="Q370" s="131"/>
      <c r="R370" s="131"/>
      <c r="S370" s="129"/>
      <c r="T370" s="129"/>
      <c r="U370" s="129"/>
      <c r="V370" s="132"/>
      <c r="W370" s="133"/>
      <c r="X370" s="133"/>
      <c r="Y370" s="173"/>
    </row>
    <row r="371" spans="1:25" ht="18" customHeight="1" x14ac:dyDescent="0.3">
      <c r="A371" s="166"/>
      <c r="B371" s="135"/>
      <c r="C371" s="129"/>
      <c r="D371" s="129"/>
      <c r="E371" s="129"/>
      <c r="F371" s="129"/>
      <c r="G371" s="129"/>
      <c r="H371" s="129"/>
      <c r="I371" s="130"/>
      <c r="J371" s="133"/>
      <c r="K371" s="130"/>
      <c r="L371" s="130"/>
      <c r="M371" s="130"/>
      <c r="N371" s="127"/>
      <c r="O371" s="128"/>
      <c r="P371" s="129"/>
      <c r="Q371" s="131"/>
      <c r="R371" s="131"/>
      <c r="S371" s="129"/>
      <c r="T371" s="129"/>
      <c r="U371" s="129"/>
      <c r="V371" s="132"/>
      <c r="W371" s="133"/>
      <c r="X371" s="133"/>
      <c r="Y371" s="173"/>
    </row>
    <row r="372" spans="1:25" ht="18" customHeight="1" thickBot="1" x14ac:dyDescent="0.35">
      <c r="A372" s="167"/>
      <c r="B372" s="152"/>
      <c r="C372" s="153"/>
      <c r="D372" s="153"/>
      <c r="E372" s="153"/>
      <c r="F372" s="153"/>
      <c r="G372" s="153"/>
      <c r="H372" s="153"/>
      <c r="I372" s="154"/>
      <c r="J372" s="155"/>
      <c r="K372" s="154"/>
      <c r="L372" s="154"/>
      <c r="M372" s="154"/>
      <c r="N372" s="156"/>
      <c r="O372" s="157"/>
      <c r="P372" s="153"/>
      <c r="Q372" s="158"/>
      <c r="R372" s="158"/>
      <c r="S372" s="153"/>
      <c r="T372" s="153"/>
      <c r="U372" s="153"/>
      <c r="V372" s="159"/>
      <c r="W372" s="155"/>
      <c r="X372" s="155"/>
      <c r="Y372" s="174"/>
    </row>
  </sheetData>
  <autoFilter ref="A4:Y4" xr:uid="{7D904F07-FDAE-4522-AEB2-FA73CB7FA8B3}"/>
  <mergeCells count="3">
    <mergeCell ref="A1:Y1"/>
    <mergeCell ref="A2:Y2"/>
    <mergeCell ref="A3:Y3"/>
  </mergeCells>
  <pageMargins left="0.7" right="0.7" top="0.75" bottom="0.75" header="0.3" footer="0.3"/>
  <pageSetup paperSize="9" scale="2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894E-C5AC-4A52-80E3-CA819CBEF542}">
  <dimension ref="C4:P67"/>
  <sheetViews>
    <sheetView zoomScaleNormal="100" workbookViewId="0">
      <selection activeCell="E85" sqref="E85"/>
    </sheetView>
  </sheetViews>
  <sheetFormatPr defaultRowHeight="14.4" x14ac:dyDescent="0.3"/>
  <cols>
    <col min="4" max="4" width="34" bestFit="1" customWidth="1"/>
    <col min="5" max="5" width="11" customWidth="1"/>
    <col min="6" max="6" width="49.44140625" bestFit="1" customWidth="1"/>
    <col min="7" max="7" width="9.6640625" bestFit="1" customWidth="1"/>
    <col min="8" max="8" width="43.88671875" customWidth="1"/>
    <col min="10" max="10" width="36.44140625" customWidth="1"/>
    <col min="14" max="14" width="41.88671875" bestFit="1" customWidth="1"/>
    <col min="16" max="16" width="46.44140625" bestFit="1" customWidth="1"/>
  </cols>
  <sheetData>
    <row r="4" spans="3:16" x14ac:dyDescent="0.3">
      <c r="C4" s="1" t="s">
        <v>19</v>
      </c>
      <c r="D4" s="1" t="s">
        <v>267</v>
      </c>
      <c r="E4" s="1" t="s">
        <v>20</v>
      </c>
      <c r="F4" s="1" t="s">
        <v>268</v>
      </c>
      <c r="G4" s="1" t="s">
        <v>21</v>
      </c>
      <c r="H4" s="1" t="s">
        <v>269</v>
      </c>
      <c r="I4" s="1" t="s">
        <v>22</v>
      </c>
      <c r="J4" s="1" t="s">
        <v>270</v>
      </c>
    </row>
    <row r="5" spans="3:16" x14ac:dyDescent="0.3">
      <c r="C5" t="s">
        <v>271</v>
      </c>
      <c r="D5" t="s">
        <v>35</v>
      </c>
      <c r="M5" s="110" t="s">
        <v>143</v>
      </c>
      <c r="N5" s="111" t="s">
        <v>272</v>
      </c>
      <c r="O5" s="112" t="s">
        <v>142</v>
      </c>
      <c r="P5" s="111" t="s">
        <v>146</v>
      </c>
    </row>
    <row r="6" spans="3:16" x14ac:dyDescent="0.3">
      <c r="C6" t="s">
        <v>3</v>
      </c>
      <c r="D6" t="s">
        <v>38</v>
      </c>
      <c r="E6" s="2" t="s">
        <v>142</v>
      </c>
      <c r="F6" t="s">
        <v>39</v>
      </c>
    </row>
    <row r="7" spans="3:16" x14ac:dyDescent="0.3">
      <c r="G7" s="2" t="s">
        <v>1656</v>
      </c>
      <c r="H7" t="s">
        <v>463</v>
      </c>
    </row>
    <row r="8" spans="3:16" x14ac:dyDescent="0.3">
      <c r="G8" s="2" t="s">
        <v>1657</v>
      </c>
      <c r="H8" t="s">
        <v>173</v>
      </c>
    </row>
    <row r="9" spans="3:16" x14ac:dyDescent="0.3">
      <c r="G9" s="2" t="s">
        <v>1658</v>
      </c>
      <c r="H9" t="s">
        <v>484</v>
      </c>
    </row>
    <row r="10" spans="3:16" x14ac:dyDescent="0.3">
      <c r="G10" s="2" t="s">
        <v>1659</v>
      </c>
      <c r="H10" t="s">
        <v>494</v>
      </c>
    </row>
    <row r="11" spans="3:16" x14ac:dyDescent="0.3">
      <c r="G11" s="2" t="s">
        <v>1660</v>
      </c>
      <c r="H11" t="s">
        <v>498</v>
      </c>
    </row>
    <row r="12" spans="3:16" x14ac:dyDescent="0.3">
      <c r="E12" s="2" t="s">
        <v>145</v>
      </c>
      <c r="F12" t="s">
        <v>392</v>
      </c>
    </row>
    <row r="13" spans="3:16" x14ac:dyDescent="0.3">
      <c r="G13" s="2" t="s">
        <v>1656</v>
      </c>
      <c r="H13" t="s">
        <v>273</v>
      </c>
    </row>
    <row r="14" spans="3:16" x14ac:dyDescent="0.3">
      <c r="G14" s="2" t="s">
        <v>1657</v>
      </c>
      <c r="H14" t="s">
        <v>521</v>
      </c>
    </row>
    <row r="15" spans="3:16" x14ac:dyDescent="0.3">
      <c r="G15" s="2" t="s">
        <v>1658</v>
      </c>
      <c r="H15" t="s">
        <v>527</v>
      </c>
    </row>
    <row r="16" spans="3:16" x14ac:dyDescent="0.3">
      <c r="G16" s="2" t="s">
        <v>1659</v>
      </c>
      <c r="H16" t="s">
        <v>541</v>
      </c>
    </row>
    <row r="17" spans="5:8" x14ac:dyDescent="0.3">
      <c r="G17" s="2" t="s">
        <v>1660</v>
      </c>
      <c r="H17" t="s">
        <v>550</v>
      </c>
    </row>
    <row r="18" spans="5:8" x14ac:dyDescent="0.3">
      <c r="G18" s="2" t="s">
        <v>1661</v>
      </c>
      <c r="H18" t="s">
        <v>1653</v>
      </c>
    </row>
    <row r="19" spans="5:8" x14ac:dyDescent="0.3">
      <c r="G19" s="2" t="s">
        <v>1662</v>
      </c>
      <c r="H19" t="s">
        <v>1652</v>
      </c>
    </row>
    <row r="20" spans="5:8" x14ac:dyDescent="0.3">
      <c r="G20" s="2" t="s">
        <v>1663</v>
      </c>
      <c r="H20" t="s">
        <v>1654</v>
      </c>
    </row>
    <row r="21" spans="5:8" x14ac:dyDescent="0.3">
      <c r="G21" s="2" t="s">
        <v>1664</v>
      </c>
      <c r="H21" t="s">
        <v>1655</v>
      </c>
    </row>
    <row r="22" spans="5:8" x14ac:dyDescent="0.3">
      <c r="E22" s="2" t="s">
        <v>393</v>
      </c>
      <c r="F22" t="s">
        <v>391</v>
      </c>
    </row>
    <row r="23" spans="5:8" x14ac:dyDescent="0.3">
      <c r="G23" s="2" t="s">
        <v>1656</v>
      </c>
      <c r="H23" t="s">
        <v>557</v>
      </c>
    </row>
    <row r="24" spans="5:8" x14ac:dyDescent="0.3">
      <c r="G24" s="2" t="s">
        <v>1657</v>
      </c>
      <c r="H24" t="s">
        <v>568</v>
      </c>
    </row>
    <row r="25" spans="5:8" x14ac:dyDescent="0.3">
      <c r="G25" s="2" t="s">
        <v>1658</v>
      </c>
      <c r="H25" t="s">
        <v>596</v>
      </c>
    </row>
    <row r="26" spans="5:8" x14ac:dyDescent="0.3">
      <c r="G26" s="2" t="s">
        <v>1659</v>
      </c>
      <c r="H26" t="s">
        <v>612</v>
      </c>
    </row>
    <row r="27" spans="5:8" x14ac:dyDescent="0.3">
      <c r="G27" s="2" t="s">
        <v>1660</v>
      </c>
      <c r="H27" t="s">
        <v>619</v>
      </c>
    </row>
    <row r="28" spans="5:8" x14ac:dyDescent="0.3">
      <c r="G28" s="2" t="s">
        <v>1661</v>
      </c>
      <c r="H28" t="s">
        <v>628</v>
      </c>
    </row>
    <row r="29" spans="5:8" x14ac:dyDescent="0.3">
      <c r="G29" s="2" t="s">
        <v>1662</v>
      </c>
      <c r="H29" t="s">
        <v>642</v>
      </c>
    </row>
    <row r="30" spans="5:8" x14ac:dyDescent="0.3">
      <c r="G30" s="2" t="s">
        <v>1663</v>
      </c>
      <c r="H30" t="s">
        <v>659</v>
      </c>
    </row>
    <row r="31" spans="5:8" x14ac:dyDescent="0.3">
      <c r="G31" s="2" t="s">
        <v>1664</v>
      </c>
      <c r="H31" t="s">
        <v>671</v>
      </c>
    </row>
    <row r="32" spans="5:8" x14ac:dyDescent="0.3">
      <c r="G32" s="2" t="s">
        <v>1665</v>
      </c>
      <c r="H32" t="s">
        <v>323</v>
      </c>
    </row>
    <row r="33" spans="5:8" x14ac:dyDescent="0.3">
      <c r="G33" s="2" t="s">
        <v>1666</v>
      </c>
      <c r="H33" t="s">
        <v>324</v>
      </c>
    </row>
    <row r="34" spans="5:8" x14ac:dyDescent="0.3">
      <c r="G34" s="2" t="s">
        <v>1667</v>
      </c>
      <c r="H34" t="s">
        <v>362</v>
      </c>
    </row>
    <row r="35" spans="5:8" x14ac:dyDescent="0.3">
      <c r="G35" s="2" t="s">
        <v>1668</v>
      </c>
      <c r="H35" t="s">
        <v>312</v>
      </c>
    </row>
    <row r="36" spans="5:8" x14ac:dyDescent="0.3">
      <c r="E36" s="2" t="s">
        <v>149</v>
      </c>
      <c r="F36" t="s">
        <v>718</v>
      </c>
    </row>
    <row r="37" spans="5:8" x14ac:dyDescent="0.3">
      <c r="G37" s="2" t="s">
        <v>1656</v>
      </c>
      <c r="H37" t="s">
        <v>557</v>
      </c>
    </row>
    <row r="38" spans="5:8" x14ac:dyDescent="0.3">
      <c r="G38" s="2" t="s">
        <v>1657</v>
      </c>
      <c r="H38" t="s">
        <v>568</v>
      </c>
    </row>
    <row r="39" spans="5:8" x14ac:dyDescent="0.3">
      <c r="G39" s="2" t="s">
        <v>1658</v>
      </c>
      <c r="H39" t="s">
        <v>596</v>
      </c>
    </row>
    <row r="40" spans="5:8" x14ac:dyDescent="0.3">
      <c r="G40" s="2" t="s">
        <v>1659</v>
      </c>
      <c r="H40" t="s">
        <v>728</v>
      </c>
    </row>
    <row r="41" spans="5:8" x14ac:dyDescent="0.3">
      <c r="G41" s="2" t="s">
        <v>1660</v>
      </c>
      <c r="H41" t="s">
        <v>619</v>
      </c>
    </row>
    <row r="42" spans="5:8" x14ac:dyDescent="0.3">
      <c r="G42" s="2" t="s">
        <v>1661</v>
      </c>
      <c r="H42" t="s">
        <v>312</v>
      </c>
    </row>
    <row r="43" spans="5:8" x14ac:dyDescent="0.3">
      <c r="E43" s="2" t="s">
        <v>394</v>
      </c>
      <c r="F43" t="s">
        <v>743</v>
      </c>
    </row>
    <row r="44" spans="5:8" x14ac:dyDescent="0.3">
      <c r="G44" s="2" t="s">
        <v>1656</v>
      </c>
      <c r="H44" t="s">
        <v>557</v>
      </c>
    </row>
    <row r="45" spans="5:8" x14ac:dyDescent="0.3">
      <c r="G45" s="2" t="s">
        <v>1657</v>
      </c>
      <c r="H45" t="s">
        <v>568</v>
      </c>
    </row>
    <row r="46" spans="5:8" x14ac:dyDescent="0.3">
      <c r="G46" s="2" t="s">
        <v>1658</v>
      </c>
      <c r="H46" t="s">
        <v>728</v>
      </c>
    </row>
    <row r="47" spans="5:8" x14ac:dyDescent="0.3">
      <c r="G47" s="2" t="s">
        <v>1659</v>
      </c>
      <c r="H47" t="s">
        <v>619</v>
      </c>
    </row>
    <row r="48" spans="5:8" x14ac:dyDescent="0.3">
      <c r="G48" s="2" t="s">
        <v>1660</v>
      </c>
      <c r="H48" t="s">
        <v>312</v>
      </c>
    </row>
    <row r="49" spans="3:8" x14ac:dyDescent="0.3">
      <c r="E49" s="2" t="s">
        <v>395</v>
      </c>
      <c r="F49" t="s">
        <v>758</v>
      </c>
      <c r="G49" s="2" t="s">
        <v>1661</v>
      </c>
    </row>
    <row r="50" spans="3:8" x14ac:dyDescent="0.3">
      <c r="G50" s="2" t="s">
        <v>1662</v>
      </c>
      <c r="H50" t="s">
        <v>760</v>
      </c>
    </row>
    <row r="51" spans="3:8" x14ac:dyDescent="0.3">
      <c r="G51" s="2" t="s">
        <v>1663</v>
      </c>
      <c r="H51" t="s">
        <v>312</v>
      </c>
    </row>
    <row r="52" spans="3:8" x14ac:dyDescent="0.3">
      <c r="E52" s="2" t="s">
        <v>396</v>
      </c>
      <c r="F52" t="s">
        <v>133</v>
      </c>
    </row>
    <row r="53" spans="3:8" x14ac:dyDescent="0.3">
      <c r="G53" s="2" t="s">
        <v>1656</v>
      </c>
      <c r="H53" t="s">
        <v>1529</v>
      </c>
    </row>
    <row r="54" spans="3:8" x14ac:dyDescent="0.3">
      <c r="G54" s="2" t="s">
        <v>1657</v>
      </c>
      <c r="H54" t="s">
        <v>1537</v>
      </c>
    </row>
    <row r="55" spans="3:8" x14ac:dyDescent="0.3">
      <c r="G55" s="2" t="s">
        <v>1658</v>
      </c>
      <c r="H55" t="s">
        <v>1545</v>
      </c>
    </row>
    <row r="56" spans="3:8" x14ac:dyDescent="0.3">
      <c r="G56" s="2" t="s">
        <v>1659</v>
      </c>
      <c r="H56" t="s">
        <v>1550</v>
      </c>
    </row>
    <row r="57" spans="3:8" x14ac:dyDescent="0.3">
      <c r="C57" t="s">
        <v>1632</v>
      </c>
      <c r="D57" t="s">
        <v>772</v>
      </c>
      <c r="E57" s="2" t="s">
        <v>142</v>
      </c>
      <c r="F57" t="s">
        <v>773</v>
      </c>
    </row>
    <row r="58" spans="3:8" x14ac:dyDescent="0.3">
      <c r="G58" s="2" t="s">
        <v>1656</v>
      </c>
      <c r="H58" t="s">
        <v>774</v>
      </c>
    </row>
    <row r="59" spans="3:8" x14ac:dyDescent="0.3">
      <c r="G59" s="2" t="s">
        <v>1657</v>
      </c>
      <c r="H59" t="s">
        <v>785</v>
      </c>
    </row>
    <row r="60" spans="3:8" x14ac:dyDescent="0.3">
      <c r="G60" s="2" t="s">
        <v>1658</v>
      </c>
      <c r="H60" t="s">
        <v>728</v>
      </c>
    </row>
    <row r="61" spans="3:8" x14ac:dyDescent="0.3">
      <c r="G61" s="2" t="s">
        <v>1659</v>
      </c>
      <c r="H61" t="s">
        <v>494</v>
      </c>
    </row>
    <row r="62" spans="3:8" x14ac:dyDescent="0.3">
      <c r="G62" s="2" t="s">
        <v>1660</v>
      </c>
      <c r="H62" t="s">
        <v>800</v>
      </c>
    </row>
    <row r="63" spans="3:8" x14ac:dyDescent="0.3">
      <c r="G63" s="2" t="s">
        <v>1661</v>
      </c>
      <c r="H63" t="s">
        <v>808</v>
      </c>
    </row>
    <row r="65" spans="3:6" x14ac:dyDescent="0.3">
      <c r="C65" s="110" t="s">
        <v>143</v>
      </c>
      <c r="D65" s="111" t="s">
        <v>272</v>
      </c>
      <c r="E65" s="112" t="s">
        <v>142</v>
      </c>
      <c r="F65" s="111" t="s">
        <v>146</v>
      </c>
    </row>
    <row r="67" spans="3:6" x14ac:dyDescent="0.3">
      <c r="C67" t="s">
        <v>2115</v>
      </c>
      <c r="D67" t="s">
        <v>2116</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c8d7e70-4053-43da-ae2e-3bb26002d663">
      <Terms xmlns="http://schemas.microsoft.com/office/infopath/2007/PartnerControls"/>
    </lcf76f155ced4ddcb4097134ff3c332f>
    <TaxCatchAll xmlns="adfb0090-8606-4b89-a68a-b73ca1d6b58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CD3EBEF7E0ECE45AC780B83940604DE" ma:contentTypeVersion="18" ma:contentTypeDescription="Create a new document." ma:contentTypeScope="" ma:versionID="94c4b01ead9b3c379f90f021926906a6">
  <xsd:schema xmlns:xsd="http://www.w3.org/2001/XMLSchema" xmlns:xs="http://www.w3.org/2001/XMLSchema" xmlns:p="http://schemas.microsoft.com/office/2006/metadata/properties" xmlns:ns2="bc8d7e70-4053-43da-ae2e-3bb26002d663" xmlns:ns3="adfb0090-8606-4b89-a68a-b73ca1d6b587" targetNamespace="http://schemas.microsoft.com/office/2006/metadata/properties" ma:root="true" ma:fieldsID="5807ec22c3239b7e51d951e1e4bc3419" ns2:_="" ns3:_="">
    <xsd:import namespace="bc8d7e70-4053-43da-ae2e-3bb26002d663"/>
    <xsd:import namespace="adfb0090-8606-4b89-a68a-b73ca1d6b5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8d7e70-4053-43da-ae2e-3bb26002d6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697eca7-fe3e-4e19-bcb6-e34a1c3ca72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fb0090-8606-4b89-a68a-b73ca1d6b58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73872c3-afb1-4604-9fb7-5a31e9b76bdf}" ma:internalName="TaxCatchAll" ma:showField="CatchAllData" ma:web="adfb0090-8606-4b89-a68a-b73ca1d6b5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D46E6A-B017-4AAA-BE35-5DB73F131F69}">
  <ds:schemaRefs>
    <ds:schemaRef ds:uri="http://purl.org/dc/terms/"/>
    <ds:schemaRef ds:uri="http://www.w3.org/XML/1998/namespace"/>
    <ds:schemaRef ds:uri="http://schemas.openxmlformats.org/package/2006/metadata/core-properties"/>
    <ds:schemaRef ds:uri="http://schemas.microsoft.com/office/2006/documentManagement/types"/>
    <ds:schemaRef ds:uri="http://purl.org/dc/elements/1.1/"/>
    <ds:schemaRef ds:uri="http://purl.org/dc/dcmitype/"/>
    <ds:schemaRef ds:uri="5d1a9d81-b3ce-4d69-8314-92076aa0a878"/>
    <ds:schemaRef ds:uri="http://schemas.microsoft.com/office/2006/metadata/properties"/>
    <ds:schemaRef ds:uri="http://schemas.microsoft.com/office/infopath/2007/PartnerControls"/>
    <ds:schemaRef ds:uri="fa162b39-ebeb-4ce2-9df5-33c79760da06"/>
  </ds:schemaRefs>
</ds:datastoreItem>
</file>

<file path=customXml/itemProps2.xml><?xml version="1.0" encoding="utf-8"?>
<ds:datastoreItem xmlns:ds="http://schemas.openxmlformats.org/officeDocument/2006/customXml" ds:itemID="{C5C43864-5523-43A5-8F27-561AAEE44204}"/>
</file>

<file path=customXml/itemProps3.xml><?xml version="1.0" encoding="utf-8"?>
<ds:datastoreItem xmlns:ds="http://schemas.openxmlformats.org/officeDocument/2006/customXml" ds:itemID="{88ABC335-B975-48D7-8EE1-AE72AA4BEAF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Instructions</vt:lpstr>
      <vt:lpstr>Pay Table</vt:lpstr>
      <vt:lpstr>Variation Table</vt:lpstr>
      <vt:lpstr>WBS</vt:lpstr>
      <vt:lpstr>Numbering</vt:lpstr>
      <vt:lpstr>WBS!Print_Area</vt:lpstr>
      <vt:lpstr>WBS!Print_Titles</vt:lpstr>
    </vt:vector>
  </TitlesOfParts>
  <Manager/>
  <Company>Stanwell Corporation Limited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Smith, Peter</dc:creator>
  <cp:keywords/>
  <dc:description/>
  <cp:lastModifiedBy>Feeney, Kaitlyn</cp:lastModifiedBy>
  <cp:revision/>
  <dcterms:created xsi:type="dcterms:W3CDTF">2024-07-04T00:50:32Z</dcterms:created>
  <dcterms:modified xsi:type="dcterms:W3CDTF">2026-04-16T23:40:37Z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0x0101009CD3EBEF7E0ECE45AC780B83940604DE</vt:lpwstr>
  </property>
</Properties>
</file>