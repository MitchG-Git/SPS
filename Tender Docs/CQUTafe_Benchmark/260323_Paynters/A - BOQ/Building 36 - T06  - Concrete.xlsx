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N:\Estimating\3. Tenders\2. Current\Q1849 Rocky TAFE Consoli\BOQ\Building 36\Rockhampton TAFE - ROK036 BoQ's\"/>
    </mc:Choice>
  </mc:AlternateContent>
  <xr:revisionPtr revIDLastSave="0" documentId="13_ncr:1_{568B1092-8EF8-4B47-9210-EAE8DEE78A43}" xr6:coauthVersionLast="47" xr6:coauthVersionMax="47" xr10:uidLastSave="{00000000-0000-0000-0000-000000000000}"/>
  <bookViews>
    <workbookView xWindow="-120" yWindow="-120" windowWidth="29040" windowHeight="15720" xr2:uid="{8851AC1F-FDDA-49E4-8F87-450D779135DC}"/>
  </bookViews>
  <sheets>
    <sheet name="T06-CONCRE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 l="1"/>
  <c r="F135" i="1"/>
  <c r="F134" i="1"/>
  <c r="F133" i="1"/>
  <c r="F132" i="1"/>
  <c r="F130" i="1"/>
  <c r="F129" i="1"/>
  <c r="F127" i="1"/>
  <c r="F126" i="1"/>
  <c r="F124" i="1"/>
  <c r="F123" i="1"/>
  <c r="F121" i="1"/>
  <c r="F118" i="1"/>
  <c r="F115" i="1"/>
  <c r="F114" i="1"/>
  <c r="F112" i="1"/>
  <c r="F111" i="1"/>
  <c r="F108" i="1"/>
  <c r="F107" i="1"/>
  <c r="F104" i="1"/>
  <c r="F102" i="1"/>
  <c r="F99" i="1"/>
  <c r="F98" i="1"/>
  <c r="F97" i="1"/>
  <c r="F94" i="1"/>
  <c r="F93" i="1"/>
  <c r="F91" i="1"/>
  <c r="F89" i="1"/>
  <c r="F88" i="1"/>
  <c r="F86" i="1"/>
  <c r="F85" i="1"/>
  <c r="F83" i="1"/>
  <c r="F81" i="1"/>
  <c r="F78" i="1"/>
  <c r="F75" i="1"/>
  <c r="F74" i="1"/>
  <c r="F72" i="1"/>
  <c r="F71" i="1"/>
  <c r="F68" i="1"/>
  <c r="F67" i="1"/>
  <c r="F64" i="1"/>
  <c r="F62" i="1"/>
  <c r="F59" i="1"/>
  <c r="F58" i="1"/>
  <c r="F57" i="1"/>
  <c r="F54" i="1"/>
  <c r="F53" i="1"/>
  <c r="F51" i="1"/>
  <c r="F49" i="1"/>
  <c r="F48" i="1"/>
  <c r="F46" i="1"/>
  <c r="F45" i="1"/>
  <c r="F43" i="1"/>
  <c r="F39" i="1"/>
  <c r="F38" i="1"/>
  <c r="F35" i="1"/>
  <c r="F34" i="1"/>
  <c r="F33" i="1"/>
  <c r="F32" i="1"/>
  <c r="F30" i="1"/>
  <c r="F29" i="1"/>
  <c r="F28" i="1"/>
  <c r="F27" i="1"/>
  <c r="F24" i="1"/>
  <c r="F21" i="1"/>
  <c r="F20" i="1"/>
  <c r="F19" i="1"/>
  <c r="F18" i="1"/>
  <c r="F16" i="1"/>
  <c r="F14" i="1"/>
  <c r="F13" i="1"/>
  <c r="F11" i="1"/>
  <c r="F10" i="1"/>
  <c r="F138" i="1" s="1"/>
</calcChain>
</file>

<file path=xl/sharedStrings.xml><?xml version="1.0" encoding="utf-8"?>
<sst xmlns="http://schemas.openxmlformats.org/spreadsheetml/2006/main" count="295" uniqueCount="178">
  <si>
    <t>CONCRETE</t>
  </si>
  <si>
    <t>Code</t>
  </si>
  <si>
    <t>Description</t>
  </si>
  <si>
    <t>Quantity</t>
  </si>
  <si>
    <t>Unit</t>
  </si>
  <si>
    <t>Rate</t>
  </si>
  <si>
    <t>Total</t>
  </si>
  <si>
    <t>GENERAL CLARIFICATIONS</t>
  </si>
  <si>
    <t>T06.1</t>
  </si>
  <si>
    <t>Generally refer drawing 00-ST-DR-A00-010-00-01 to 00-ST-DR-A00-010-00-03, 36-ST-DR-GDL-510-00-00, 36-ST-DR-L01-510-00-00, 36-ST-DR-Z00-710-00-00</t>
  </si>
  <si>
    <t>Note</t>
  </si>
  <si>
    <t>WORK MEASURED IN OTHER SECTIONS</t>
  </si>
  <si>
    <t>T06.2</t>
  </si>
  <si>
    <t>Tanking to lift pit and wash down walls included in T11 TANKING AND WATERPROOFING MEMBRANES</t>
  </si>
  <si>
    <t>T06.3</t>
  </si>
  <si>
    <t>Termite protection measured in T41 Pest Control</t>
  </si>
  <si>
    <t>DETAILED EXCAVATION</t>
  </si>
  <si>
    <t>Pit excavation</t>
  </si>
  <si>
    <t>T06.4</t>
  </si>
  <si>
    <t>Lift base</t>
  </si>
  <si>
    <t>m3</t>
  </si>
  <si>
    <t>T06.5</t>
  </si>
  <si>
    <t>Pad footing [PF1, PF2]</t>
  </si>
  <si>
    <t>Trench excavation</t>
  </si>
  <si>
    <t>T06.6</t>
  </si>
  <si>
    <t>Strip Footing [SF1]</t>
  </si>
  <si>
    <t>T06.7</t>
  </si>
  <si>
    <t>Strip Footing [SF2]</t>
  </si>
  <si>
    <t>Disposal</t>
  </si>
  <si>
    <t>T06.8</t>
  </si>
  <si>
    <t>Disposal of surplus excavated materials</t>
  </si>
  <si>
    <t>Surface Preparation</t>
  </si>
  <si>
    <t>T06.9</t>
  </si>
  <si>
    <t>Bottom of lift pit base</t>
  </si>
  <si>
    <t>m2</t>
  </si>
  <si>
    <t>T06.10</t>
  </si>
  <si>
    <t>Bottom of Pad footing</t>
  </si>
  <si>
    <t>T06.11</t>
  </si>
  <si>
    <t>Bottom of Strip footing</t>
  </si>
  <si>
    <t>T06.12</t>
  </si>
  <si>
    <t>Bottom of slab on ground</t>
  </si>
  <si>
    <t>FILLING AND HARDCORE</t>
  </si>
  <si>
    <t>Backfill</t>
  </si>
  <si>
    <t>T06.13</t>
  </si>
  <si>
    <t>Approved compacted backfill, material to be confirmed</t>
  </si>
  <si>
    <t>Bedding Layer</t>
  </si>
  <si>
    <t>Sand Bed</t>
  </si>
  <si>
    <t>T06.14</t>
  </si>
  <si>
    <t>50mm thick sand bed to Lift pit base</t>
  </si>
  <si>
    <t>T06.15</t>
  </si>
  <si>
    <t>50mm thick sand bed to Pad footing</t>
  </si>
  <si>
    <t>T06.16</t>
  </si>
  <si>
    <t>50mm thick sand bed to Strip footing</t>
  </si>
  <si>
    <t>T06.17</t>
  </si>
  <si>
    <t>50mm thick sand bed to slab on ground</t>
  </si>
  <si>
    <t>Sub-grade</t>
  </si>
  <si>
    <t>T06.18</t>
  </si>
  <si>
    <t>Approved Sub-grade with approved thickness to Lift pit base</t>
  </si>
  <si>
    <t>T06.19</t>
  </si>
  <si>
    <t>Approved Sub-grade with approved thickness to Pad footing</t>
  </si>
  <si>
    <t>T06.20</t>
  </si>
  <si>
    <t>Approved Sub-grade with approved thickness to Strip footing</t>
  </si>
  <si>
    <t>T06.21</t>
  </si>
  <si>
    <t>Approved Sub-grade with approved thickness to slab on ground</t>
  </si>
  <si>
    <t>Plaster Membrane</t>
  </si>
  <si>
    <t>0.2mm high-impact resistant polyethylene film</t>
  </si>
  <si>
    <t>T06.22</t>
  </si>
  <si>
    <t>Horizontal</t>
  </si>
  <si>
    <t>T06.23</t>
  </si>
  <si>
    <t>Vertical</t>
  </si>
  <si>
    <t>CONCRETE SUPPLY</t>
  </si>
  <si>
    <t>32Mpa Concrete</t>
  </si>
  <si>
    <t>Lift Pit</t>
  </si>
  <si>
    <t>T06.24</t>
  </si>
  <si>
    <t>Lift Pit raft base: Size 4340x3780x600mm Deep :[17 m2]</t>
  </si>
  <si>
    <t>Strip Footing</t>
  </si>
  <si>
    <t>T06.25</t>
  </si>
  <si>
    <t>Strip Footing: SF2 - 600x300mm Deep :[11 m]</t>
  </si>
  <si>
    <t>T06.26</t>
  </si>
  <si>
    <t>Strip Footing: SF1 - 900x300mm Deep :[21 m]</t>
  </si>
  <si>
    <t>Footing</t>
  </si>
  <si>
    <t>T06.27</t>
  </si>
  <si>
    <t>Footing: PF2 - 1000x1000 x 600mm Deep :[2 no]</t>
  </si>
  <si>
    <t>T06.28</t>
  </si>
  <si>
    <t>Footing: PF1 - 3000x2000 x 600mm Deep :[3 no]</t>
  </si>
  <si>
    <t>Slab on Ground</t>
  </si>
  <si>
    <t>T06.29</t>
  </si>
  <si>
    <t>Slab on grade, 100-200mm thick :[545 m2]</t>
  </si>
  <si>
    <t>Slab Thickening</t>
  </si>
  <si>
    <t>T06.30</t>
  </si>
  <si>
    <t>300 x 200mm slab thickening to slab on ground :[26 m]</t>
  </si>
  <si>
    <t>T06.31</t>
  </si>
  <si>
    <t>450 x 150mm slab thickening to slab on ground :[7 m]</t>
  </si>
  <si>
    <t>Level 1</t>
  </si>
  <si>
    <t>Suspended Slabs</t>
  </si>
  <si>
    <t>T06.32</t>
  </si>
  <si>
    <t>Suspended slab, 100-200mm thick, threshold cast over exis. slab :[30 m2]</t>
  </si>
  <si>
    <t>T06.33</t>
  </si>
  <si>
    <t>Suspended slab, 100-200mm thick :[15 m2]</t>
  </si>
  <si>
    <t>T06.34</t>
  </si>
  <si>
    <t>Suspended slab, 200-300mm thick :[39 m2]</t>
  </si>
  <si>
    <t>Roof</t>
  </si>
  <si>
    <t>T06.35</t>
  </si>
  <si>
    <t>Suspended slab, 100-200mm thick, to Lift :[10 m2]</t>
  </si>
  <si>
    <t>Core Wall; Below ground level</t>
  </si>
  <si>
    <t>T06.36</t>
  </si>
  <si>
    <t>Core Wall, 150-200mm thick: CW200 :[6 m2]</t>
  </si>
  <si>
    <t>Columns and beams</t>
  </si>
  <si>
    <t>Isolated columns; Below ground level</t>
  </si>
  <si>
    <t>T06.37</t>
  </si>
  <si>
    <t>Square columns :[2 no]</t>
  </si>
  <si>
    <t>T06.38</t>
  </si>
  <si>
    <t>Rectangular Columns :[6 no]</t>
  </si>
  <si>
    <t>Isolated columns; Above ground level</t>
  </si>
  <si>
    <t>Ground Floor to Level 1</t>
  </si>
  <si>
    <t>T06.39</t>
  </si>
  <si>
    <t>T06.40</t>
  </si>
  <si>
    <t>Rectangular Columns :[22 no]</t>
  </si>
  <si>
    <t>Level 1 to Roof</t>
  </si>
  <si>
    <t>T06.41</t>
  </si>
  <si>
    <t>T06.42</t>
  </si>
  <si>
    <t>Rectangular Columns :[4 no]</t>
  </si>
  <si>
    <t>Attached beams</t>
  </si>
  <si>
    <t>T06.43</t>
  </si>
  <si>
    <t>Attached beam to suspended slab :[34 m]</t>
  </si>
  <si>
    <t>CONCRETE PLACE AND FINISH</t>
  </si>
  <si>
    <t>Generally</t>
  </si>
  <si>
    <t>T06.44</t>
  </si>
  <si>
    <t>Allow for concrete pumping</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</si>
  <si>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</si>
  <si>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</si>
  <si>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</si>
  <si>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</si>
  <si>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</si>
  <si>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</si>
  <si>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</si>
  <si>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</si>
  <si>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</si>
  <si>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</si>
  <si>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</si>
  <si>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</si>
  <si>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</si>
  <si>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</si>
  <si>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</si>
  <si>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</si>
  <si>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</si>
  <si>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</si>
  <si>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</si>
  <si>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</si>
  <si>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INTEGRAL FINISHES</t>
  </si>
  <si>
    <t>Below Ground</t>
  </si>
  <si>
    <t>T06.65</t>
  </si>
  <si>
    <t>Approved surface finishes,vertical, exceeding 250mm, to wall</t>
  </si>
  <si>
    <t>Ground Level</t>
  </si>
  <si>
    <t>T06.66</t>
  </si>
  <si>
    <t>Approved surface finishes, Horizontal</t>
  </si>
  <si>
    <t>T06.67</t>
  </si>
  <si>
    <t>Approved surface finishes, 0-250mm side</t>
  </si>
  <si>
    <t>m</t>
  </si>
  <si>
    <t>T06.68</t>
  </si>
  <si>
    <t>T06.69</t>
  </si>
  <si>
    <t>Approved surface finishes ,0-250mm side</t>
  </si>
  <si>
    <t>T06.70</t>
  </si>
  <si>
    <t>T06.71</t>
  </si>
  <si>
    <t>Joints</t>
  </si>
  <si>
    <t>T06.72</t>
  </si>
  <si>
    <t>New slab to be dowelled into the existing ground slab with R16 dowels (HD Galv, 600 long) at 600 crs. Typical, drill and epoxy  dowels 150mm into existing slab and grease &amp; wrap dowel into new slab.</t>
  </si>
  <si>
    <t>no</t>
  </si>
  <si>
    <t>T06.73</t>
  </si>
  <si>
    <t>Allow for sawn joints at 5m max crs each way for new slab, slab to be isolated around all existing RC columns with 10mm abelflex and 10x10 sealant typical</t>
  </si>
  <si>
    <t>T06.74</t>
  </si>
  <si>
    <t>Type DJ; design joint type to be confirmed</t>
  </si>
  <si>
    <t>T06.75</t>
  </si>
  <si>
    <t>Joint between existing slab and proposed slab, type TBC, as per drawing 36-ST-DR-GDL-510-00-00</t>
  </si>
  <si>
    <t>ADDITIONAL SCOPE</t>
  </si>
  <si>
    <t>T06.76</t>
  </si>
  <si>
    <t>The Tenderer shall detail any additional scope of work and its associated costs which is believed to be not covered in the preceding measurement / items</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</si>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</sst>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Calibri"/>
    </font>
    <font>
      <b/>
      <sz val="10"/>
      <name val="Calibri"/>
    </font>
    <font>
      <sz val="10"/>
      <name val="Calibri"/>
    </font>
    <font>
      <u/>
      <sz val="10"/>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xf>
    <xf numFmtId="3" fontId="3" fillId="0" borderId="1" xfId="0" applyNumberFormat="1" applyFont="1" applyBorder="1" applyAlignment="1">
      <alignment horizontal="left" vertical="center" wrapText="1"/>
    </xf>
    <xf numFmtId="3" fontId="2"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3" fontId="4" fillId="0" borderId="1" xfId="0" applyNumberFormat="1" applyFont="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B7518-7496-42E7-9C9A-A5648A63E64F}">
  <sheetPr>
    <pageSetUpPr fitToPage="1"/>
  </sheetPr>
  <dimension ref="A1:F138"/>
  <sheetViews>
    <sheetView tabSelected="1" workbookViewId="0">
      <selection sqref="A1:XFD1048576"/>
    </sheetView>
  </sheetViews>
  <sheetFormatPr defaultColWidth="9.140625" defaultRowHeight="12.75" x14ac:dyDescent="0.2"/>
  <cols>
    <col min="1" max="1" width="10.5703125" style="17" customWidth="1"/>
    <col min="2" max="2" width="70.5703125" style="20" customWidth="1"/>
    <col min="3" max="6" width="10.5703125" style="8" customWidth="1"/>
    <col min="7" max="16384" width="9.140625" style="2"/>
  </cols>
  <sheetData>
    <row r="1" spans="1:6" ht="15.75" x14ac:dyDescent="0.2">
      <c r="A1" s="1" t="s">
        <v>0</v>
      </c>
      <c r="B1" s="1"/>
      <c r="C1" s="1"/>
      <c r="D1" s="1"/>
      <c r="E1" s="1"/>
      <c r="F1" s="1"/>
    </row>
    <row r="2" spans="1:6" x14ac:dyDescent="0.2">
      <c r="A2" s="3" t="s">
        <v>1</v>
      </c>
      <c r="B2" s="4" t="s">
        <v>2</v>
      </c>
      <c r="C2" s="5" t="s">
        <v>3</v>
      </c>
      <c r="D2" s="5" t="s">
        <v>4</v>
      </c>
      <c r="E2" s="5" t="s">
        <v>5</v>
      </c>
      <c r="F2" s="5" t="s">
        <v>6</v>
      </c>
    </row>
    <row r="3" spans="1:6" x14ac:dyDescent="0.2">
      <c r="A3" s="6"/>
      <c r="B3" s="4" t="s">
        <v>7</v>
      </c>
      <c r="C3" s="7"/>
      <c r="D3" s="7"/>
      <c r="E3" s="7"/>
    </row>
    <row r="4" spans="1:6" ht="25.5" x14ac:dyDescent="0.2">
      <c r="A4" s="6" t="s">
        <v>8</v>
      </c>
      <c r="B4" s="9" t="s">
        <v>9</v>
      </c>
      <c r="C4" s="7"/>
      <c r="D4" s="7" t="s">
        <v>10</v>
      </c>
      <c r="E4" s="7"/>
    </row>
    <row r="5" spans="1:6" x14ac:dyDescent="0.2">
      <c r="A5" s="6"/>
      <c r="B5" s="4" t="s">
        <v>11</v>
      </c>
      <c r="C5" s="7"/>
      <c r="D5" s="7"/>
      <c r="E5" s="7"/>
    </row>
    <row r="6" spans="1:6" ht="25.5" x14ac:dyDescent="0.2">
      <c r="A6" s="6" t="s">
        <v>12</v>
      </c>
      <c r="B6" s="9" t="s">
        <v>13</v>
      </c>
      <c r="C6" s="7"/>
      <c r="D6" s="7" t="s">
        <v>10</v>
      </c>
      <c r="E6" s="7"/>
    </row>
    <row r="7" spans="1:6" x14ac:dyDescent="0.2">
      <c r="A7" s="6" t="s">
        <v>14</v>
      </c>
      <c r="B7" s="9" t="s">
        <v>15</v>
      </c>
      <c r="C7" s="7"/>
      <c r="D7" s="7" t="s">
        <v>10</v>
      </c>
      <c r="E7" s="7"/>
    </row>
    <row r="8" spans="1:6" x14ac:dyDescent="0.2">
      <c r="A8" s="6"/>
      <c r="B8" s="4" t="s">
        <v>16</v>
      </c>
      <c r="C8" s="7"/>
      <c r="D8" s="7"/>
      <c r="E8" s="7"/>
    </row>
    <row r="9" spans="1:6" x14ac:dyDescent="0.2">
      <c r="A9" s="6"/>
      <c r="B9" s="4" t="s">
        <v>17</v>
      </c>
      <c r="C9" s="7"/>
      <c r="D9" s="7"/>
      <c r="E9" s="7"/>
    </row>
    <row r="10" spans="1:6" x14ac:dyDescent="0.2">
      <c r="A10" s="6" t="s">
        <v>18</v>
      </c>
      <c r="B10" s="9" t="s">
        <v>19</v>
      </c>
      <c r="C10" s="10">
        <v>41</v>
      </c>
      <c r="D10" s="10" t="s">
        <v>20</v>
      </c>
      <c r="E10" s="11">
        <v>0</v>
      </c>
      <c r="F10" s="10">
        <f>C10*E10</f>
        <v>0</v>
      </c>
    </row>
    <row r="11" spans="1:6" x14ac:dyDescent="0.2">
      <c r="A11" s="12" t="s">
        <v>21</v>
      </c>
      <c r="B11" s="13" t="s">
        <v>22</v>
      </c>
      <c r="C11" s="10">
        <v>22</v>
      </c>
      <c r="D11" s="10" t="s">
        <v>20</v>
      </c>
      <c r="E11" s="11">
        <v>0</v>
      </c>
      <c r="F11" s="10">
        <f>C11*E11</f>
        <v>0</v>
      </c>
    </row>
    <row r="12" spans="1:6" x14ac:dyDescent="0.2">
      <c r="A12" s="12"/>
      <c r="B12" s="14" t="s">
        <v>23</v>
      </c>
      <c r="C12" s="7"/>
      <c r="D12" s="7"/>
      <c r="E12" s="7"/>
    </row>
    <row r="13" spans="1:6" x14ac:dyDescent="0.2">
      <c r="A13" s="6" t="s">
        <v>24</v>
      </c>
      <c r="B13" s="9" t="s">
        <v>25</v>
      </c>
      <c r="C13" s="10">
        <v>7</v>
      </c>
      <c r="D13" s="10" t="s">
        <v>20</v>
      </c>
      <c r="E13" s="11">
        <v>0</v>
      </c>
      <c r="F13" s="10">
        <f>C13*E13</f>
        <v>0</v>
      </c>
    </row>
    <row r="14" spans="1:6" x14ac:dyDescent="0.2">
      <c r="A14" s="12" t="s">
        <v>26</v>
      </c>
      <c r="B14" s="13" t="s">
        <v>27</v>
      </c>
      <c r="C14" s="10">
        <v>3</v>
      </c>
      <c r="D14" s="10" t="s">
        <v>20</v>
      </c>
      <c r="E14" s="11">
        <v>0</v>
      </c>
      <c r="F14" s="10">
        <f>C14*E14</f>
        <v>0</v>
      </c>
    </row>
    <row r="15" spans="1:6" x14ac:dyDescent="0.2">
      <c r="A15" s="12"/>
      <c r="B15" s="14" t="s">
        <v>28</v>
      </c>
      <c r="C15" s="7"/>
      <c r="D15" s="7"/>
      <c r="E15" s="7"/>
    </row>
    <row r="16" spans="1:6" x14ac:dyDescent="0.2">
      <c r="A16" s="6" t="s">
        <v>29</v>
      </c>
      <c r="B16" s="9" t="s">
        <v>30</v>
      </c>
      <c r="C16" s="10">
        <v>102.2</v>
      </c>
      <c r="D16" s="10" t="s">
        <v>20</v>
      </c>
      <c r="E16" s="11">
        <v>0</v>
      </c>
      <c r="F16" s="10">
        <f>C16*E16</f>
        <v>0</v>
      </c>
    </row>
    <row r="17" spans="1:6" x14ac:dyDescent="0.2">
      <c r="A17" s="12"/>
      <c r="B17" s="14" t="s">
        <v>31</v>
      </c>
      <c r="C17" s="7"/>
      <c r="D17" s="7"/>
      <c r="E17" s="7"/>
    </row>
    <row r="18" spans="1:6" x14ac:dyDescent="0.2">
      <c r="A18" s="6" t="s">
        <v>32</v>
      </c>
      <c r="B18" s="9" t="s">
        <v>33</v>
      </c>
      <c r="C18" s="10">
        <v>17</v>
      </c>
      <c r="D18" s="10" t="s">
        <v>34</v>
      </c>
      <c r="E18" s="11">
        <v>0</v>
      </c>
      <c r="F18" s="10">
        <f>C18*E18</f>
        <v>0</v>
      </c>
    </row>
    <row r="19" spans="1:6" x14ac:dyDescent="0.2">
      <c r="A19" s="12" t="s">
        <v>35</v>
      </c>
      <c r="B19" s="13" t="s">
        <v>36</v>
      </c>
      <c r="C19" s="10">
        <v>21</v>
      </c>
      <c r="D19" s="10" t="s">
        <v>34</v>
      </c>
      <c r="E19" s="11">
        <v>0</v>
      </c>
      <c r="F19" s="10">
        <f>C19*E19</f>
        <v>0</v>
      </c>
    </row>
    <row r="20" spans="1:6" x14ac:dyDescent="0.2">
      <c r="A20" s="12" t="s">
        <v>37</v>
      </c>
      <c r="B20" s="13" t="s">
        <v>38</v>
      </c>
      <c r="C20" s="10">
        <v>25</v>
      </c>
      <c r="D20" s="10" t="s">
        <v>34</v>
      </c>
      <c r="E20" s="11">
        <v>0</v>
      </c>
      <c r="F20" s="10">
        <f>C20*E20</f>
        <v>0</v>
      </c>
    </row>
    <row r="21" spans="1:6" x14ac:dyDescent="0.2">
      <c r="A21" s="12" t="s">
        <v>39</v>
      </c>
      <c r="B21" s="13" t="s">
        <v>40</v>
      </c>
      <c r="C21" s="10">
        <v>545</v>
      </c>
      <c r="D21" s="10" t="s">
        <v>34</v>
      </c>
      <c r="E21" s="11">
        <v>0</v>
      </c>
      <c r="F21" s="10">
        <f>C21*E21</f>
        <v>0</v>
      </c>
    </row>
    <row r="22" spans="1:6" x14ac:dyDescent="0.2">
      <c r="A22" s="12"/>
      <c r="B22" s="14" t="s">
        <v>41</v>
      </c>
      <c r="C22" s="7"/>
      <c r="D22" s="7"/>
      <c r="E22" s="7"/>
    </row>
    <row r="23" spans="1:6" x14ac:dyDescent="0.2">
      <c r="A23" s="6"/>
      <c r="B23" s="15" t="s">
        <v>42</v>
      </c>
      <c r="C23" s="7"/>
      <c r="D23" s="7"/>
      <c r="E23" s="7"/>
    </row>
    <row r="24" spans="1:6" x14ac:dyDescent="0.2">
      <c r="A24" s="6" t="s">
        <v>43</v>
      </c>
      <c r="B24" s="9" t="s">
        <v>44</v>
      </c>
      <c r="C24" s="10">
        <v>23</v>
      </c>
      <c r="D24" s="10" t="s">
        <v>20</v>
      </c>
      <c r="E24" s="11">
        <v>0</v>
      </c>
      <c r="F24" s="10">
        <f>C24*E24</f>
        <v>0</v>
      </c>
    </row>
    <row r="25" spans="1:6" x14ac:dyDescent="0.2">
      <c r="A25" s="12"/>
      <c r="B25" s="14" t="s">
        <v>45</v>
      </c>
      <c r="C25" s="7"/>
      <c r="D25" s="7"/>
      <c r="E25" s="7"/>
    </row>
    <row r="26" spans="1:6" x14ac:dyDescent="0.2">
      <c r="A26" s="6"/>
      <c r="B26" s="15" t="s">
        <v>46</v>
      </c>
      <c r="C26" s="7"/>
      <c r="D26" s="7"/>
      <c r="E26" s="7"/>
    </row>
    <row r="27" spans="1:6" x14ac:dyDescent="0.2">
      <c r="A27" s="6" t="s">
        <v>47</v>
      </c>
      <c r="B27" s="9" t="s">
        <v>48</v>
      </c>
      <c r="C27" s="10">
        <v>17</v>
      </c>
      <c r="D27" s="10" t="s">
        <v>34</v>
      </c>
      <c r="E27" s="11">
        <v>0</v>
      </c>
      <c r="F27" s="10">
        <f>C27*E27</f>
        <v>0</v>
      </c>
    </row>
    <row r="28" spans="1:6" x14ac:dyDescent="0.2">
      <c r="A28" s="12" t="s">
        <v>49</v>
      </c>
      <c r="B28" s="13" t="s">
        <v>50</v>
      </c>
      <c r="C28" s="10">
        <v>21</v>
      </c>
      <c r="D28" s="10" t="s">
        <v>34</v>
      </c>
      <c r="E28" s="11">
        <v>0</v>
      </c>
      <c r="F28" s="10">
        <f>C28*E28</f>
        <v>0</v>
      </c>
    </row>
    <row r="29" spans="1:6" x14ac:dyDescent="0.2">
      <c r="A29" s="12" t="s">
        <v>51</v>
      </c>
      <c r="B29" s="13" t="s">
        <v>52</v>
      </c>
      <c r="C29" s="10">
        <v>25</v>
      </c>
      <c r="D29" s="10" t="s">
        <v>34</v>
      </c>
      <c r="E29" s="11">
        <v>0</v>
      </c>
      <c r="F29" s="10">
        <f>C29*E29</f>
        <v>0</v>
      </c>
    </row>
    <row r="30" spans="1:6" x14ac:dyDescent="0.2">
      <c r="A30" s="12" t="s">
        <v>53</v>
      </c>
      <c r="B30" s="13" t="s">
        <v>54</v>
      </c>
      <c r="C30" s="10">
        <v>545</v>
      </c>
      <c r="D30" s="10" t="s">
        <v>34</v>
      </c>
      <c r="E30" s="11">
        <v>0</v>
      </c>
      <c r="F30" s="10">
        <f>C30*E30</f>
        <v>0</v>
      </c>
    </row>
    <row r="31" spans="1:6" x14ac:dyDescent="0.2">
      <c r="A31" s="12"/>
      <c r="B31" s="16" t="s">
        <v>55</v>
      </c>
      <c r="C31" s="7"/>
      <c r="D31" s="7"/>
      <c r="E31" s="7"/>
    </row>
    <row r="32" spans="1:6" x14ac:dyDescent="0.2">
      <c r="A32" s="6" t="s">
        <v>56</v>
      </c>
      <c r="B32" s="9" t="s">
        <v>57</v>
      </c>
      <c r="C32" s="10">
        <v>17</v>
      </c>
      <c r="D32" s="10" t="s">
        <v>34</v>
      </c>
      <c r="E32" s="11">
        <v>0</v>
      </c>
      <c r="F32" s="10">
        <f>C32*E32</f>
        <v>0</v>
      </c>
    </row>
    <row r="33" spans="1:6" x14ac:dyDescent="0.2">
      <c r="A33" s="12" t="s">
        <v>58</v>
      </c>
      <c r="B33" s="13" t="s">
        <v>59</v>
      </c>
      <c r="C33" s="10">
        <v>21</v>
      </c>
      <c r="D33" s="10" t="s">
        <v>34</v>
      </c>
      <c r="E33" s="11">
        <v>0</v>
      </c>
      <c r="F33" s="10">
        <f>C33*E33</f>
        <v>0</v>
      </c>
    </row>
    <row r="34" spans="1:6" x14ac:dyDescent="0.2">
      <c r="A34" s="12" t="s">
        <v>60</v>
      </c>
      <c r="B34" s="13" t="s">
        <v>61</v>
      </c>
      <c r="C34" s="10">
        <v>25</v>
      </c>
      <c r="D34" s="10" t="s">
        <v>34</v>
      </c>
      <c r="E34" s="11">
        <v>0</v>
      </c>
      <c r="F34" s="10">
        <f>C34*E34</f>
        <v>0</v>
      </c>
    </row>
    <row r="35" spans="1:6" x14ac:dyDescent="0.2">
      <c r="A35" s="12" t="s">
        <v>62</v>
      </c>
      <c r="B35" s="13" t="s">
        <v>63</v>
      </c>
      <c r="C35" s="10">
        <v>545</v>
      </c>
      <c r="D35" s="10" t="s">
        <v>34</v>
      </c>
      <c r="E35" s="11">
        <v>0</v>
      </c>
      <c r="F35" s="10">
        <f>C35*E35</f>
        <v>0</v>
      </c>
    </row>
    <row r="36" spans="1:6" x14ac:dyDescent="0.2">
      <c r="A36" s="12"/>
      <c r="B36" s="14" t="s">
        <v>64</v>
      </c>
      <c r="C36" s="7"/>
      <c r="D36" s="7"/>
      <c r="E36" s="7"/>
    </row>
    <row r="37" spans="1:6" x14ac:dyDescent="0.2">
      <c r="A37" s="6"/>
      <c r="B37" s="15" t="s">
        <v>65</v>
      </c>
      <c r="C37" s="7"/>
      <c r="D37" s="7"/>
      <c r="E37" s="7"/>
    </row>
    <row r="38" spans="1:6" x14ac:dyDescent="0.2">
      <c r="A38" s="6" t="s">
        <v>66</v>
      </c>
      <c r="B38" s="9" t="s">
        <v>67</v>
      </c>
      <c r="C38" s="10">
        <v>608</v>
      </c>
      <c r="D38" s="10" t="s">
        <v>34</v>
      </c>
      <c r="E38" s="11">
        <v>0</v>
      </c>
      <c r="F38" s="10">
        <f>C38*E38</f>
        <v>0</v>
      </c>
    </row>
    <row r="39" spans="1:6" x14ac:dyDescent="0.2">
      <c r="A39" s="12" t="s">
        <v>68</v>
      </c>
      <c r="B39" s="13" t="s">
        <v>69</v>
      </c>
      <c r="C39" s="10">
        <v>80</v>
      </c>
      <c r="D39" s="10" t="s">
        <v>34</v>
      </c>
      <c r="E39" s="11">
        <v>0</v>
      </c>
      <c r="F39" s="10">
        <f>C39*E39</f>
        <v>0</v>
      </c>
    </row>
    <row r="40" spans="1:6" x14ac:dyDescent="0.2">
      <c r="A40" s="12"/>
      <c r="B40" s="14" t="s">
        <v>70</v>
      </c>
      <c r="C40" s="7"/>
      <c r="D40" s="7"/>
      <c r="E40" s="7"/>
    </row>
    <row r="41" spans="1:6" x14ac:dyDescent="0.2">
      <c r="A41" s="6"/>
      <c r="B41" s="4" t="s">
        <v>71</v>
      </c>
      <c r="C41" s="7"/>
      <c r="D41" s="7"/>
      <c r="E41" s="7"/>
    </row>
    <row r="42" spans="1:6" x14ac:dyDescent="0.2">
      <c r="A42" s="6"/>
      <c r="B42" s="15" t="s">
        <v>72</v>
      </c>
      <c r="C42" s="7"/>
      <c r="D42" s="7"/>
      <c r="E42" s="7"/>
    </row>
    <row r="43" spans="1:6" x14ac:dyDescent="0.2">
      <c r="A43" s="6" t="s">
        <v>73</v>
      </c>
      <c r="B43" s="9" t="s">
        <v>74</v>
      </c>
      <c r="C43" s="10">
        <v>10</v>
      </c>
      <c r="D43" s="10" t="s">
        <v>20</v>
      </c>
      <c r="E43" s="11">
        <v>0</v>
      </c>
      <c r="F43" s="10">
        <f>C43*E43</f>
        <v>0</v>
      </c>
    </row>
    <row r="44" spans="1:6" x14ac:dyDescent="0.2">
      <c r="A44" s="12"/>
      <c r="B44" s="16" t="s">
        <v>75</v>
      </c>
      <c r="C44" s="7"/>
      <c r="D44" s="7"/>
      <c r="E44" s="7"/>
    </row>
    <row r="45" spans="1:6" x14ac:dyDescent="0.2">
      <c r="A45" s="6" t="s">
        <v>76</v>
      </c>
      <c r="B45" s="9" t="s">
        <v>77</v>
      </c>
      <c r="C45" s="10">
        <v>2</v>
      </c>
      <c r="D45" s="10" t="s">
        <v>20</v>
      </c>
      <c r="E45" s="11">
        <v>0</v>
      </c>
      <c r="F45" s="10">
        <f>C45*E45</f>
        <v>0</v>
      </c>
    </row>
    <row r="46" spans="1:6" x14ac:dyDescent="0.2">
      <c r="A46" s="12" t="s">
        <v>78</v>
      </c>
      <c r="B46" s="13" t="s">
        <v>79</v>
      </c>
      <c r="C46" s="10">
        <v>6</v>
      </c>
      <c r="D46" s="10" t="s">
        <v>20</v>
      </c>
      <c r="E46" s="11">
        <v>0</v>
      </c>
      <c r="F46" s="10">
        <f>C46*E46</f>
        <v>0</v>
      </c>
    </row>
    <row r="47" spans="1:6" x14ac:dyDescent="0.2">
      <c r="A47" s="12"/>
      <c r="B47" s="16" t="s">
        <v>80</v>
      </c>
      <c r="C47" s="7"/>
      <c r="D47" s="7"/>
      <c r="E47" s="7"/>
    </row>
    <row r="48" spans="1:6" x14ac:dyDescent="0.2">
      <c r="A48" s="6" t="s">
        <v>81</v>
      </c>
      <c r="B48" s="9" t="s">
        <v>82</v>
      </c>
      <c r="C48" s="10">
        <v>2</v>
      </c>
      <c r="D48" s="10" t="s">
        <v>20</v>
      </c>
      <c r="E48" s="11">
        <v>0</v>
      </c>
      <c r="F48" s="10">
        <f>C48*E48</f>
        <v>0</v>
      </c>
    </row>
    <row r="49" spans="1:6" x14ac:dyDescent="0.2">
      <c r="A49" s="12" t="s">
        <v>83</v>
      </c>
      <c r="B49" s="13" t="s">
        <v>84</v>
      </c>
      <c r="C49" s="10">
        <v>11</v>
      </c>
      <c r="D49" s="10" t="s">
        <v>20</v>
      </c>
      <c r="E49" s="11">
        <v>0</v>
      </c>
      <c r="F49" s="10">
        <f>C49*E49</f>
        <v>0</v>
      </c>
    </row>
    <row r="50" spans="1:6" x14ac:dyDescent="0.2">
      <c r="A50" s="12"/>
      <c r="B50" s="16" t="s">
        <v>85</v>
      </c>
      <c r="C50" s="7"/>
      <c r="D50" s="7"/>
      <c r="E50" s="7"/>
    </row>
    <row r="51" spans="1:6" x14ac:dyDescent="0.2">
      <c r="A51" s="6" t="s">
        <v>86</v>
      </c>
      <c r="B51" s="9" t="s">
        <v>87</v>
      </c>
      <c r="C51" s="10">
        <v>71</v>
      </c>
      <c r="D51" s="10" t="s">
        <v>20</v>
      </c>
      <c r="E51" s="11">
        <v>0</v>
      </c>
      <c r="F51" s="10">
        <f>C51*E51</f>
        <v>0</v>
      </c>
    </row>
    <row r="52" spans="1:6" x14ac:dyDescent="0.2">
      <c r="A52" s="12"/>
      <c r="B52" s="16" t="s">
        <v>88</v>
      </c>
      <c r="C52" s="7"/>
      <c r="D52" s="7"/>
      <c r="E52" s="7"/>
    </row>
    <row r="53" spans="1:6" x14ac:dyDescent="0.2">
      <c r="A53" s="6" t="s">
        <v>89</v>
      </c>
      <c r="B53" s="9" t="s">
        <v>90</v>
      </c>
      <c r="C53" s="10">
        <v>2</v>
      </c>
      <c r="D53" s="10" t="s">
        <v>20</v>
      </c>
      <c r="E53" s="11">
        <v>0</v>
      </c>
      <c r="F53" s="10">
        <f>C53*E53</f>
        <v>0</v>
      </c>
    </row>
    <row r="54" spans="1:6" x14ac:dyDescent="0.2">
      <c r="A54" s="12" t="s">
        <v>91</v>
      </c>
      <c r="B54" s="13" t="s">
        <v>92</v>
      </c>
      <c r="C54" s="10">
        <v>1</v>
      </c>
      <c r="D54" s="10" t="s">
        <v>20</v>
      </c>
      <c r="E54" s="11">
        <v>0</v>
      </c>
      <c r="F54" s="10">
        <f>C54*E54</f>
        <v>0</v>
      </c>
    </row>
    <row r="55" spans="1:6" x14ac:dyDescent="0.2">
      <c r="A55" s="12"/>
      <c r="B55" s="14" t="s">
        <v>93</v>
      </c>
      <c r="C55" s="7"/>
      <c r="D55" s="7"/>
      <c r="E55" s="7"/>
    </row>
    <row r="56" spans="1:6" x14ac:dyDescent="0.2">
      <c r="A56" s="6"/>
      <c r="B56" s="15" t="s">
        <v>94</v>
      </c>
      <c r="C56" s="7"/>
      <c r="D56" s="7"/>
      <c r="E56" s="7"/>
    </row>
    <row r="57" spans="1:6" x14ac:dyDescent="0.2">
      <c r="A57" s="6" t="s">
        <v>95</v>
      </c>
      <c r="B57" s="9" t="s">
        <v>96</v>
      </c>
      <c r="C57" s="10">
        <v>5</v>
      </c>
      <c r="D57" s="10" t="s">
        <v>20</v>
      </c>
      <c r="E57" s="11">
        <v>0</v>
      </c>
      <c r="F57" s="10">
        <f>C57*E57</f>
        <v>0</v>
      </c>
    </row>
    <row r="58" spans="1:6" x14ac:dyDescent="0.2">
      <c r="A58" s="12" t="s">
        <v>97</v>
      </c>
      <c r="B58" s="13" t="s">
        <v>98</v>
      </c>
      <c r="C58" s="10">
        <v>3</v>
      </c>
      <c r="D58" s="10" t="s">
        <v>20</v>
      </c>
      <c r="E58" s="11">
        <v>0</v>
      </c>
      <c r="F58" s="10">
        <f>C58*E58</f>
        <v>0</v>
      </c>
    </row>
    <row r="59" spans="1:6" x14ac:dyDescent="0.2">
      <c r="A59" s="12" t="s">
        <v>99</v>
      </c>
      <c r="B59" s="13" t="s">
        <v>100</v>
      </c>
      <c r="C59" s="10">
        <v>9</v>
      </c>
      <c r="D59" s="10" t="s">
        <v>20</v>
      </c>
      <c r="E59" s="11">
        <v>0</v>
      </c>
      <c r="F59" s="10">
        <f>C59*E59</f>
        <v>0</v>
      </c>
    </row>
    <row r="60" spans="1:6" x14ac:dyDescent="0.2">
      <c r="A60" s="12"/>
      <c r="B60" s="14" t="s">
        <v>101</v>
      </c>
      <c r="C60" s="7"/>
      <c r="D60" s="7"/>
      <c r="E60" s="7"/>
    </row>
    <row r="61" spans="1:6" x14ac:dyDescent="0.2">
      <c r="A61" s="6"/>
      <c r="B61" s="15" t="s">
        <v>94</v>
      </c>
      <c r="C61" s="7"/>
      <c r="D61" s="7"/>
      <c r="E61" s="7"/>
    </row>
    <row r="62" spans="1:6" x14ac:dyDescent="0.2">
      <c r="A62" s="6" t="s">
        <v>102</v>
      </c>
      <c r="B62" s="9" t="s">
        <v>103</v>
      </c>
      <c r="C62" s="10">
        <v>2</v>
      </c>
      <c r="D62" s="10" t="s">
        <v>20</v>
      </c>
      <c r="E62" s="11">
        <v>0</v>
      </c>
      <c r="F62" s="10">
        <f>C62*E62</f>
        <v>0</v>
      </c>
    </row>
    <row r="63" spans="1:6" x14ac:dyDescent="0.2">
      <c r="A63" s="12"/>
      <c r="B63" s="16" t="s">
        <v>104</v>
      </c>
      <c r="C63" s="7"/>
      <c r="D63" s="7"/>
      <c r="E63" s="7"/>
    </row>
    <row r="64" spans="1:6" x14ac:dyDescent="0.2">
      <c r="A64" s="6" t="s">
        <v>105</v>
      </c>
      <c r="B64" s="9" t="s">
        <v>106</v>
      </c>
      <c r="C64" s="10">
        <v>6</v>
      </c>
      <c r="D64" s="10" t="s">
        <v>20</v>
      </c>
      <c r="E64" s="11">
        <v>0</v>
      </c>
      <c r="F64" s="10">
        <f>C64*E64</f>
        <v>0</v>
      </c>
    </row>
    <row r="65" spans="1:6" x14ac:dyDescent="0.2">
      <c r="A65" s="12"/>
      <c r="B65" s="16" t="s">
        <v>107</v>
      </c>
      <c r="C65" s="7"/>
      <c r="D65" s="7"/>
      <c r="E65" s="7"/>
    </row>
    <row r="66" spans="1:6" x14ac:dyDescent="0.2">
      <c r="A66" s="6"/>
      <c r="B66" s="15" t="s">
        <v>108</v>
      </c>
      <c r="C66" s="7"/>
      <c r="D66" s="7"/>
      <c r="E66" s="7"/>
    </row>
    <row r="67" spans="1:6" x14ac:dyDescent="0.2">
      <c r="A67" s="6" t="s">
        <v>109</v>
      </c>
      <c r="B67" s="9" t="s">
        <v>110</v>
      </c>
      <c r="C67" s="10">
        <v>1</v>
      </c>
      <c r="D67" s="10" t="s">
        <v>20</v>
      </c>
      <c r="E67" s="11">
        <v>0</v>
      </c>
      <c r="F67" s="10">
        <f>C67*E67</f>
        <v>0</v>
      </c>
    </row>
    <row r="68" spans="1:6" x14ac:dyDescent="0.2">
      <c r="A68" s="12" t="s">
        <v>111</v>
      </c>
      <c r="B68" s="13" t="s">
        <v>112</v>
      </c>
      <c r="C68" s="10">
        <v>1</v>
      </c>
      <c r="D68" s="10" t="s">
        <v>20</v>
      </c>
      <c r="E68" s="11">
        <v>0</v>
      </c>
      <c r="F68" s="10">
        <f>C68*E68</f>
        <v>0</v>
      </c>
    </row>
    <row r="69" spans="1:6" x14ac:dyDescent="0.2">
      <c r="A69" s="12"/>
      <c r="B69" s="16" t="s">
        <v>113</v>
      </c>
      <c r="C69" s="7"/>
      <c r="D69" s="7"/>
      <c r="E69" s="7"/>
    </row>
    <row r="70" spans="1:6" x14ac:dyDescent="0.2">
      <c r="A70" s="6"/>
      <c r="B70" s="4" t="s">
        <v>114</v>
      </c>
      <c r="C70" s="7"/>
      <c r="D70" s="7"/>
      <c r="E70" s="7"/>
    </row>
    <row r="71" spans="1:6" x14ac:dyDescent="0.2">
      <c r="A71" s="6" t="s">
        <v>115</v>
      </c>
      <c r="B71" s="9" t="s">
        <v>110</v>
      </c>
      <c r="C71" s="10">
        <v>1</v>
      </c>
      <c r="D71" s="10" t="s">
        <v>20</v>
      </c>
      <c r="E71" s="11">
        <v>0</v>
      </c>
      <c r="F71" s="10">
        <f>C71*E71</f>
        <v>0</v>
      </c>
    </row>
    <row r="72" spans="1:6" x14ac:dyDescent="0.2">
      <c r="A72" s="12" t="s">
        <v>116</v>
      </c>
      <c r="B72" s="13" t="s">
        <v>117</v>
      </c>
      <c r="C72" s="10">
        <v>3</v>
      </c>
      <c r="D72" s="10" t="s">
        <v>20</v>
      </c>
      <c r="E72" s="11">
        <v>0</v>
      </c>
      <c r="F72" s="10">
        <f>C72*E72</f>
        <v>0</v>
      </c>
    </row>
    <row r="73" spans="1:6" x14ac:dyDescent="0.2">
      <c r="A73" s="12"/>
      <c r="B73" s="14" t="s">
        <v>118</v>
      </c>
      <c r="C73" s="7"/>
      <c r="D73" s="7"/>
      <c r="E73" s="7"/>
    </row>
    <row r="74" spans="1:6" x14ac:dyDescent="0.2">
      <c r="A74" s="6" t="s">
        <v>119</v>
      </c>
      <c r="B74" s="9" t="s">
        <v>110</v>
      </c>
      <c r="C74" s="10">
        <v>1</v>
      </c>
      <c r="D74" s="10" t="s">
        <v>20</v>
      </c>
      <c r="E74" s="11">
        <v>0</v>
      </c>
      <c r="F74" s="10">
        <f>C74*E74</f>
        <v>0</v>
      </c>
    </row>
    <row r="75" spans="1:6" x14ac:dyDescent="0.2">
      <c r="A75" s="12" t="s">
        <v>120</v>
      </c>
      <c r="B75" s="13" t="s">
        <v>121</v>
      </c>
      <c r="C75" s="10">
        <v>2</v>
      </c>
      <c r="D75" s="10" t="s">
        <v>20</v>
      </c>
      <c r="E75" s="11">
        <v>0</v>
      </c>
      <c r="F75" s="10">
        <f>C75*E75</f>
        <v>0</v>
      </c>
    </row>
    <row r="76" spans="1:6" x14ac:dyDescent="0.2">
      <c r="A76" s="12"/>
      <c r="B76" s="14" t="s">
        <v>93</v>
      </c>
      <c r="C76" s="7"/>
      <c r="D76" s="7"/>
      <c r="E76" s="7"/>
    </row>
    <row r="77" spans="1:6" x14ac:dyDescent="0.2">
      <c r="A77" s="6"/>
      <c r="B77" s="15" t="s">
        <v>122</v>
      </c>
      <c r="C77" s="7"/>
      <c r="D77" s="7"/>
      <c r="E77" s="7"/>
    </row>
    <row r="78" spans="1:6" x14ac:dyDescent="0.2">
      <c r="A78" s="6" t="s">
        <v>123</v>
      </c>
      <c r="B78" s="9" t="s">
        <v>124</v>
      </c>
      <c r="C78" s="10">
        <v>7</v>
      </c>
      <c r="D78" s="10" t="s">
        <v>20</v>
      </c>
      <c r="E78" s="11">
        <v>0</v>
      </c>
      <c r="F78" s="10">
        <f>C78*E78</f>
        <v>0</v>
      </c>
    </row>
    <row r="79" spans="1:6" x14ac:dyDescent="0.2">
      <c r="A79" s="12"/>
      <c r="B79" s="14" t="s">
        <v>125</v>
      </c>
      <c r="C79" s="7"/>
      <c r="D79" s="7"/>
      <c r="E79" s="7"/>
    </row>
    <row r="80" spans="1:6" x14ac:dyDescent="0.2">
      <c r="A80" s="6"/>
      <c r="B80" s="15" t="s">
        <v>126</v>
      </c>
      <c r="C80" s="7"/>
      <c r="D80" s="7"/>
      <c r="E80" s="7"/>
    </row>
    <row r="81" spans="1:6" x14ac:dyDescent="0.2">
      <c r="A81" s="6" t="s">
        <v>127</v>
      </c>
      <c r="B81" s="9" t="s">
        <v>128</v>
      </c>
      <c r="C81" s="10">
        <v>146</v>
      </c>
      <c r="D81" s="10" t="s">
        <v>20</v>
      </c>
      <c r="E81" s="11">
        <v>0</v>
      </c>
      <c r="F81" s="10">
        <f>C81*E81</f>
        <v>0</v>
      </c>
    </row>
    <row r="82" spans="1:6" x14ac:dyDescent="0.2">
      <c r="A82" s="12"/>
      <c r="B82" s="16" t="s">
        <v>72</v>
      </c>
      <c r="C82" s="7"/>
      <c r="D82" s="7"/>
      <c r="E82" s="7"/>
    </row>
    <row r="83" spans="1:6" x14ac:dyDescent="0.2">
      <c r="A83" s="6" t="s">
        <v>129</v>
      </c>
      <c r="B83" s="9" t="s">
        <v>74</v>
      </c>
      <c r="C83" s="10">
        <v>10</v>
      </c>
      <c r="D83" s="10" t="s">
        <v>20</v>
      </c>
      <c r="E83" s="11">
        <v>0</v>
      </c>
      <c r="F83" s="10">
        <f>C83*E83</f>
        <v>0</v>
      </c>
    </row>
    <row r="84" spans="1:6" x14ac:dyDescent="0.2">
      <c r="A84" s="12"/>
      <c r="B84" s="16" t="s">
        <v>75</v>
      </c>
      <c r="C84" s="7"/>
      <c r="D84" s="7"/>
      <c r="E84" s="7"/>
    </row>
    <row r="85" spans="1:6" x14ac:dyDescent="0.2">
      <c r="A85" s="6" t="s">
        <v>130</v>
      </c>
      <c r="B85" s="9" t="s">
        <v>77</v>
      </c>
      <c r="C85" s="10">
        <v>2</v>
      </c>
      <c r="D85" s="10" t="s">
        <v>20</v>
      </c>
      <c r="E85" s="11">
        <v>0</v>
      </c>
      <c r="F85" s="10">
        <f>C85*E85</f>
        <v>0</v>
      </c>
    </row>
    <row r="86" spans="1:6" x14ac:dyDescent="0.2">
      <c r="A86" s="12" t="s">
        <v>131</v>
      </c>
      <c r="B86" s="13" t="s">
        <v>79</v>
      </c>
      <c r="C86" s="10">
        <v>6</v>
      </c>
      <c r="D86" s="10" t="s">
        <v>20</v>
      </c>
      <c r="E86" s="11">
        <v>0</v>
      </c>
      <c r="F86" s="10">
        <f>C86*E86</f>
        <v>0</v>
      </c>
    </row>
    <row r="87" spans="1:6" x14ac:dyDescent="0.2">
      <c r="A87" s="12"/>
      <c r="B87" s="16" t="s">
        <v>80</v>
      </c>
      <c r="C87" s="7"/>
      <c r="D87" s="7"/>
      <c r="E87" s="7"/>
    </row>
    <row r="88" spans="1:6" x14ac:dyDescent="0.2">
      <c r="A88" s="6" t="s">
        <v>132</v>
      </c>
      <c r="B88" s="9" t="s">
        <v>82</v>
      </c>
      <c r="C88" s="10">
        <v>2</v>
      </c>
      <c r="D88" s="10" t="s">
        <v>20</v>
      </c>
      <c r="E88" s="11">
        <v>0</v>
      </c>
      <c r="F88" s="10">
        <f>C88*E88</f>
        <v>0</v>
      </c>
    </row>
    <row r="89" spans="1:6" x14ac:dyDescent="0.2">
      <c r="A89" s="12" t="s">
        <v>133</v>
      </c>
      <c r="B89" s="13" t="s">
        <v>84</v>
      </c>
      <c r="C89" s="10">
        <v>11</v>
      </c>
      <c r="D89" s="10" t="s">
        <v>20</v>
      </c>
      <c r="E89" s="11">
        <v>0</v>
      </c>
      <c r="F89" s="10">
        <f>C89*E89</f>
        <v>0</v>
      </c>
    </row>
    <row r="90" spans="1:6" x14ac:dyDescent="0.2">
      <c r="A90" s="12"/>
      <c r="B90" s="16" t="s">
        <v>85</v>
      </c>
      <c r="C90" s="7"/>
      <c r="D90" s="7"/>
      <c r="E90" s="7"/>
    </row>
    <row r="91" spans="1:6" x14ac:dyDescent="0.2">
      <c r="A91" s="6" t="s">
        <v>134</v>
      </c>
      <c r="B91" s="9" t="s">
        <v>87</v>
      </c>
      <c r="C91" s="10">
        <v>71</v>
      </c>
      <c r="D91" s="10" t="s">
        <v>20</v>
      </c>
      <c r="E91" s="11">
        <v>0</v>
      </c>
      <c r="F91" s="10">
        <f>C91*E91</f>
        <v>0</v>
      </c>
    </row>
    <row r="92" spans="1:6" x14ac:dyDescent="0.2">
      <c r="A92" s="12"/>
      <c r="B92" s="16" t="s">
        <v>88</v>
      </c>
      <c r="C92" s="7"/>
      <c r="D92" s="7"/>
      <c r="E92" s="7"/>
    </row>
    <row r="93" spans="1:6" x14ac:dyDescent="0.2">
      <c r="A93" s="6" t="s">
        <v>135</v>
      </c>
      <c r="B93" s="9" t="s">
        <v>90</v>
      </c>
      <c r="C93" s="10">
        <v>2</v>
      </c>
      <c r="D93" s="10" t="s">
        <v>20</v>
      </c>
      <c r="E93" s="11">
        <v>0</v>
      </c>
      <c r="F93" s="10">
        <f>C93*E93</f>
        <v>0</v>
      </c>
    </row>
    <row r="94" spans="1:6" x14ac:dyDescent="0.2">
      <c r="A94" s="12" t="s">
        <v>136</v>
      </c>
      <c r="B94" s="13" t="s">
        <v>92</v>
      </c>
      <c r="C94" s="10">
        <v>1</v>
      </c>
      <c r="D94" s="10" t="s">
        <v>20</v>
      </c>
      <c r="E94" s="11">
        <v>0</v>
      </c>
      <c r="F94" s="10">
        <f>C94*E94</f>
        <v>0</v>
      </c>
    </row>
    <row r="95" spans="1:6" x14ac:dyDescent="0.2">
      <c r="A95" s="12"/>
      <c r="B95" s="14" t="s">
        <v>93</v>
      </c>
      <c r="C95" s="7"/>
      <c r="D95" s="7"/>
      <c r="E95" s="7"/>
    </row>
    <row r="96" spans="1:6" x14ac:dyDescent="0.2">
      <c r="A96" s="6"/>
      <c r="B96" s="15" t="s">
        <v>94</v>
      </c>
      <c r="C96" s="7"/>
      <c r="D96" s="7"/>
      <c r="E96" s="7"/>
    </row>
    <row r="97" spans="1:6" x14ac:dyDescent="0.2">
      <c r="A97" s="6" t="s">
        <v>137</v>
      </c>
      <c r="B97" s="9" t="s">
        <v>96</v>
      </c>
      <c r="C97" s="10">
        <v>5</v>
      </c>
      <c r="D97" s="10" t="s">
        <v>20</v>
      </c>
      <c r="E97" s="11">
        <v>0</v>
      </c>
      <c r="F97" s="10">
        <f>C97*E97</f>
        <v>0</v>
      </c>
    </row>
    <row r="98" spans="1:6" x14ac:dyDescent="0.2">
      <c r="A98" s="12" t="s">
        <v>138</v>
      </c>
      <c r="B98" s="13" t="s">
        <v>98</v>
      </c>
      <c r="C98" s="10">
        <v>3</v>
      </c>
      <c r="D98" s="10" t="s">
        <v>20</v>
      </c>
      <c r="E98" s="11">
        <v>0</v>
      </c>
      <c r="F98" s="10">
        <f>C98*E98</f>
        <v>0</v>
      </c>
    </row>
    <row r="99" spans="1:6" x14ac:dyDescent="0.2">
      <c r="A99" s="12" t="s">
        <v>139</v>
      </c>
      <c r="B99" s="13" t="s">
        <v>100</v>
      </c>
      <c r="C99" s="10">
        <v>9</v>
      </c>
      <c r="D99" s="10" t="s">
        <v>20</v>
      </c>
      <c r="E99" s="11">
        <v>0</v>
      </c>
      <c r="F99" s="10">
        <f>C99*E99</f>
        <v>0</v>
      </c>
    </row>
    <row r="100" spans="1:6" x14ac:dyDescent="0.2">
      <c r="A100" s="12"/>
      <c r="B100" s="14" t="s">
        <v>101</v>
      </c>
      <c r="C100" s="7"/>
      <c r="D100" s="7"/>
      <c r="E100" s="7"/>
    </row>
    <row r="101" spans="1:6" x14ac:dyDescent="0.2">
      <c r="A101" s="6"/>
      <c r="B101" s="15" t="s">
        <v>94</v>
      </c>
      <c r="C101" s="7"/>
      <c r="D101" s="7"/>
      <c r="E101" s="7"/>
    </row>
    <row r="102" spans="1:6" x14ac:dyDescent="0.2">
      <c r="A102" s="6" t="s">
        <v>140</v>
      </c>
      <c r="B102" s="9" t="s">
        <v>103</v>
      </c>
      <c r="C102" s="10">
        <v>2</v>
      </c>
      <c r="D102" s="10" t="s">
        <v>20</v>
      </c>
      <c r="E102" s="11">
        <v>0</v>
      </c>
      <c r="F102" s="10">
        <f>C102*E102</f>
        <v>0</v>
      </c>
    </row>
    <row r="103" spans="1:6" x14ac:dyDescent="0.2">
      <c r="A103" s="12"/>
      <c r="B103" s="16" t="s">
        <v>104</v>
      </c>
      <c r="C103" s="7"/>
      <c r="D103" s="7"/>
      <c r="E103" s="7"/>
    </row>
    <row r="104" spans="1:6" x14ac:dyDescent="0.2">
      <c r="A104" s="6" t="s">
        <v>141</v>
      </c>
      <c r="B104" s="9" t="s">
        <v>106</v>
      </c>
      <c r="C104" s="10">
        <v>6</v>
      </c>
      <c r="D104" s="10" t="s">
        <v>20</v>
      </c>
      <c r="E104" s="11">
        <v>0</v>
      </c>
      <c r="F104" s="10">
        <f>C104*E104</f>
        <v>0</v>
      </c>
    </row>
    <row r="105" spans="1:6" x14ac:dyDescent="0.2">
      <c r="A105" s="12"/>
      <c r="B105" s="16" t="s">
        <v>107</v>
      </c>
      <c r="C105" s="7"/>
      <c r="D105" s="7"/>
      <c r="E105" s="7"/>
    </row>
    <row r="106" spans="1:6" x14ac:dyDescent="0.2">
      <c r="A106" s="6"/>
      <c r="B106" s="15" t="s">
        <v>108</v>
      </c>
      <c r="C106" s="7"/>
      <c r="D106" s="7"/>
      <c r="E106" s="7"/>
    </row>
    <row r="107" spans="1:6" x14ac:dyDescent="0.2">
      <c r="A107" s="6" t="s">
        <v>142</v>
      </c>
      <c r="B107" s="9" t="s">
        <v>110</v>
      </c>
      <c r="C107" s="10">
        <v>1</v>
      </c>
      <c r="D107" s="10" t="s">
        <v>20</v>
      </c>
      <c r="E107" s="11">
        <v>0</v>
      </c>
      <c r="F107" s="10">
        <f>C107*E107</f>
        <v>0</v>
      </c>
    </row>
    <row r="108" spans="1:6" x14ac:dyDescent="0.2">
      <c r="A108" s="12" t="s">
        <v>143</v>
      </c>
      <c r="B108" s="13" t="s">
        <v>112</v>
      </c>
      <c r="C108" s="10">
        <v>1</v>
      </c>
      <c r="D108" s="10" t="s">
        <v>20</v>
      </c>
      <c r="E108" s="11">
        <v>0</v>
      </c>
      <c r="F108" s="10">
        <f>C108*E108</f>
        <v>0</v>
      </c>
    </row>
    <row r="109" spans="1:6" x14ac:dyDescent="0.2">
      <c r="A109" s="12"/>
      <c r="B109" s="16" t="s">
        <v>113</v>
      </c>
      <c r="C109" s="7"/>
      <c r="D109" s="7"/>
      <c r="E109" s="7"/>
    </row>
    <row r="110" spans="1:6" x14ac:dyDescent="0.2">
      <c r="A110" s="6"/>
      <c r="B110" s="4" t="s">
        <v>114</v>
      </c>
      <c r="C110" s="7"/>
      <c r="D110" s="7"/>
      <c r="E110" s="7"/>
    </row>
    <row r="111" spans="1:6" x14ac:dyDescent="0.2">
      <c r="A111" s="6" t="s">
        <v>144</v>
      </c>
      <c r="B111" s="9" t="s">
        <v>110</v>
      </c>
      <c r="C111" s="10">
        <v>1</v>
      </c>
      <c r="D111" s="10" t="s">
        <v>20</v>
      </c>
      <c r="E111" s="11">
        <v>0</v>
      </c>
      <c r="F111" s="10">
        <f>C111*E111</f>
        <v>0</v>
      </c>
    </row>
    <row r="112" spans="1:6" x14ac:dyDescent="0.2">
      <c r="A112" s="12" t="s">
        <v>145</v>
      </c>
      <c r="B112" s="13" t="s">
        <v>117</v>
      </c>
      <c r="C112" s="10">
        <v>3</v>
      </c>
      <c r="D112" s="10" t="s">
        <v>20</v>
      </c>
      <c r="E112" s="11">
        <v>0</v>
      </c>
      <c r="F112" s="10">
        <f>C112*E112</f>
        <v>0</v>
      </c>
    </row>
    <row r="113" spans="1:6" x14ac:dyDescent="0.2">
      <c r="A113" s="12"/>
      <c r="B113" s="14" t="s">
        <v>118</v>
      </c>
      <c r="C113" s="7"/>
      <c r="D113" s="7"/>
      <c r="E113" s="7"/>
    </row>
    <row r="114" spans="1:6" x14ac:dyDescent="0.2">
      <c r="A114" s="6" t="s">
        <v>146</v>
      </c>
      <c r="B114" s="9" t="s">
        <v>110</v>
      </c>
      <c r="C114" s="10">
        <v>1</v>
      </c>
      <c r="D114" s="10" t="s">
        <v>20</v>
      </c>
      <c r="E114" s="11">
        <v>0</v>
      </c>
      <c r="F114" s="10">
        <f>C114*E114</f>
        <v>0</v>
      </c>
    </row>
    <row r="115" spans="1:6" x14ac:dyDescent="0.2">
      <c r="A115" s="12" t="s">
        <v>147</v>
      </c>
      <c r="B115" s="13" t="s">
        <v>121</v>
      </c>
      <c r="C115" s="10">
        <v>2</v>
      </c>
      <c r="D115" s="10" t="s">
        <v>20</v>
      </c>
      <c r="E115" s="11">
        <v>0</v>
      </c>
      <c r="F115" s="10">
        <f>C115*E115</f>
        <v>0</v>
      </c>
    </row>
    <row r="116" spans="1:6" x14ac:dyDescent="0.2">
      <c r="A116" s="12"/>
      <c r="B116" s="14" t="s">
        <v>93</v>
      </c>
      <c r="C116" s="7"/>
      <c r="D116" s="7"/>
      <c r="E116" s="7"/>
    </row>
    <row r="117" spans="1:6" x14ac:dyDescent="0.2">
      <c r="A117" s="6"/>
      <c r="B117" s="15" t="s">
        <v>122</v>
      </c>
      <c r="C117" s="7"/>
      <c r="D117" s="7"/>
      <c r="E117" s="7"/>
    </row>
    <row r="118" spans="1:6" x14ac:dyDescent="0.2">
      <c r="A118" s="6" t="s">
        <v>148</v>
      </c>
      <c r="B118" s="9" t="s">
        <v>124</v>
      </c>
      <c r="C118" s="10">
        <v>7</v>
      </c>
      <c r="D118" s="10" t="s">
        <v>20</v>
      </c>
      <c r="E118" s="11">
        <v>0</v>
      </c>
      <c r="F118" s="10">
        <f>C118*E118</f>
        <v>0</v>
      </c>
    </row>
    <row r="119" spans="1:6" x14ac:dyDescent="0.2">
      <c r="A119" s="12"/>
      <c r="B119" s="14" t="s">
        <v>149</v>
      </c>
      <c r="C119" s="7"/>
      <c r="D119" s="7"/>
      <c r="E119" s="7"/>
    </row>
    <row r="120" spans="1:6" x14ac:dyDescent="0.2">
      <c r="A120" s="6"/>
      <c r="B120" s="4" t="s">
        <v>150</v>
      </c>
      <c r="C120" s="7"/>
      <c r="D120" s="7"/>
      <c r="E120" s="7"/>
    </row>
    <row r="121" spans="1:6" x14ac:dyDescent="0.2">
      <c r="A121" s="6" t="s">
        <v>151</v>
      </c>
      <c r="B121" s="9" t="s">
        <v>152</v>
      </c>
      <c r="C121" s="10">
        <v>52</v>
      </c>
      <c r="D121" s="10" t="s">
        <v>34</v>
      </c>
      <c r="E121" s="11">
        <v>0</v>
      </c>
      <c r="F121" s="10">
        <f>C121*E121</f>
        <v>0</v>
      </c>
    </row>
    <row r="122" spans="1:6" x14ac:dyDescent="0.2">
      <c r="A122" s="12"/>
      <c r="B122" s="14" t="s">
        <v>153</v>
      </c>
      <c r="C122" s="7"/>
      <c r="D122" s="7"/>
      <c r="E122" s="7"/>
    </row>
    <row r="123" spans="1:6" x14ac:dyDescent="0.2">
      <c r="A123" s="6" t="s">
        <v>154</v>
      </c>
      <c r="B123" s="9" t="s">
        <v>155</v>
      </c>
      <c r="C123" s="10">
        <v>545</v>
      </c>
      <c r="D123" s="10" t="s">
        <v>34</v>
      </c>
      <c r="E123" s="11">
        <v>0</v>
      </c>
      <c r="F123" s="10">
        <f>C123*E123</f>
        <v>0</v>
      </c>
    </row>
    <row r="124" spans="1:6" x14ac:dyDescent="0.2">
      <c r="A124" s="12" t="s">
        <v>156</v>
      </c>
      <c r="B124" s="13" t="s">
        <v>157</v>
      </c>
      <c r="C124" s="10">
        <v>172</v>
      </c>
      <c r="D124" s="10" t="s">
        <v>158</v>
      </c>
      <c r="E124" s="11">
        <v>0</v>
      </c>
      <c r="F124" s="10">
        <f>C124*E124</f>
        <v>0</v>
      </c>
    </row>
    <row r="125" spans="1:6" x14ac:dyDescent="0.2">
      <c r="A125" s="12"/>
      <c r="B125" s="14" t="s">
        <v>93</v>
      </c>
      <c r="C125" s="7"/>
      <c r="D125" s="7"/>
      <c r="E125" s="7"/>
    </row>
    <row r="126" spans="1:6" x14ac:dyDescent="0.2">
      <c r="A126" s="6" t="s">
        <v>159</v>
      </c>
      <c r="B126" s="9" t="s">
        <v>155</v>
      </c>
      <c r="C126" s="10">
        <v>82</v>
      </c>
      <c r="D126" s="10" t="s">
        <v>34</v>
      </c>
      <c r="E126" s="11">
        <v>0</v>
      </c>
      <c r="F126" s="10">
        <f>C126*E126</f>
        <v>0</v>
      </c>
    </row>
    <row r="127" spans="1:6" x14ac:dyDescent="0.2">
      <c r="A127" s="12" t="s">
        <v>160</v>
      </c>
      <c r="B127" s="13" t="s">
        <v>161</v>
      </c>
      <c r="C127" s="10">
        <v>68</v>
      </c>
      <c r="D127" s="10" t="s">
        <v>158</v>
      </c>
      <c r="E127" s="11">
        <v>0</v>
      </c>
      <c r="F127" s="10">
        <f>C127*E127</f>
        <v>0</v>
      </c>
    </row>
    <row r="128" spans="1:6" x14ac:dyDescent="0.2">
      <c r="A128" s="12"/>
      <c r="B128" s="14" t="s">
        <v>101</v>
      </c>
      <c r="C128" s="7"/>
      <c r="D128" s="7"/>
      <c r="E128" s="7"/>
    </row>
    <row r="129" spans="1:6" x14ac:dyDescent="0.2">
      <c r="A129" s="6" t="s">
        <v>162</v>
      </c>
      <c r="B129" s="9" t="s">
        <v>155</v>
      </c>
      <c r="C129" s="10">
        <v>10</v>
      </c>
      <c r="D129" s="10" t="s">
        <v>34</v>
      </c>
      <c r="E129" s="11">
        <v>0</v>
      </c>
      <c r="F129" s="10">
        <f>C129*E129</f>
        <v>0</v>
      </c>
    </row>
    <row r="130" spans="1:6" x14ac:dyDescent="0.2">
      <c r="A130" s="12" t="s">
        <v>163</v>
      </c>
      <c r="B130" s="13" t="s">
        <v>157</v>
      </c>
      <c r="C130" s="10">
        <v>13</v>
      </c>
      <c r="D130" s="10" t="s">
        <v>158</v>
      </c>
      <c r="E130" s="11">
        <v>0</v>
      </c>
      <c r="F130" s="10">
        <f>C130*E130</f>
        <v>0</v>
      </c>
    </row>
    <row r="131" spans="1:6" x14ac:dyDescent="0.2">
      <c r="A131" s="12"/>
      <c r="B131" s="14" t="s">
        <v>164</v>
      </c>
      <c r="C131" s="7"/>
      <c r="D131" s="7"/>
      <c r="E131" s="7"/>
    </row>
    <row r="132" spans="1:6" ht="38.25" x14ac:dyDescent="0.2">
      <c r="A132" s="6" t="s">
        <v>165</v>
      </c>
      <c r="B132" s="9" t="s">
        <v>166</v>
      </c>
      <c r="C132" s="10">
        <v>146</v>
      </c>
      <c r="D132" s="10" t="s">
        <v>167</v>
      </c>
      <c r="E132" s="11">
        <v>0</v>
      </c>
      <c r="F132" s="10">
        <f>C132*E132</f>
        <v>0</v>
      </c>
    </row>
    <row r="133" spans="1:6" ht="25.5" x14ac:dyDescent="0.2">
      <c r="A133" s="12" t="s">
        <v>168</v>
      </c>
      <c r="B133" s="13" t="s">
        <v>169</v>
      </c>
      <c r="C133" s="10">
        <v>14</v>
      </c>
      <c r="D133" s="10" t="s">
        <v>158</v>
      </c>
      <c r="E133" s="11">
        <v>0</v>
      </c>
      <c r="F133" s="10">
        <f>C133*E133</f>
        <v>0</v>
      </c>
    </row>
    <row r="134" spans="1:6" x14ac:dyDescent="0.2">
      <c r="A134" s="12" t="s">
        <v>170</v>
      </c>
      <c r="B134" s="13" t="s">
        <v>171</v>
      </c>
      <c r="C134" s="10">
        <v>10</v>
      </c>
      <c r="D134" s="10" t="s">
        <v>158</v>
      </c>
      <c r="E134" s="11">
        <v>0</v>
      </c>
      <c r="F134" s="10">
        <f>C134*E134</f>
        <v>0</v>
      </c>
    </row>
    <row r="135" spans="1:6" ht="25.5" x14ac:dyDescent="0.2">
      <c r="A135" s="12" t="s">
        <v>172</v>
      </c>
      <c r="B135" s="13" t="s">
        <v>173</v>
      </c>
      <c r="C135" s="10">
        <v>18</v>
      </c>
      <c r="D135" s="10" t="s">
        <v>158</v>
      </c>
      <c r="E135" s="11">
        <v>0</v>
      </c>
      <c r="F135" s="10">
        <f>C135*E135</f>
        <v>0</v>
      </c>
    </row>
    <row r="136" spans="1:6" x14ac:dyDescent="0.2">
      <c r="A136" s="12"/>
      <c r="B136" s="14" t="s">
        <v>174</v>
      </c>
      <c r="C136" s="7"/>
      <c r="D136" s="7"/>
      <c r="E136" s="7"/>
    </row>
    <row r="137" spans="1:6" ht="25.5" x14ac:dyDescent="0.2">
      <c r="A137" s="6" t="s">
        <v>175</v>
      </c>
      <c r="B137" s="9" t="s">
        <v>176</v>
      </c>
      <c r="C137" s="10">
        <v>1</v>
      </c>
      <c r="D137" s="10" t="s">
        <v>177</v>
      </c>
      <c r="E137" s="11">
        <v>0</v>
      </c>
      <c r="F137" s="10">
        <f>C137*E137</f>
        <v>0</v>
      </c>
    </row>
    <row r="138" spans="1:6" x14ac:dyDescent="0.2">
      <c r="B138" s="18" t="s">
        <v>6</v>
      </c>
      <c r="F138" s="19">
        <f>SUM(F2:F137)</f>
        <v>0</v>
      </c>
    </row>
  </sheetData>
  <mergeCells count="1">
    <mergeCell ref="A1:F1"/>
  </mergeCells>
  <pageMargins left="0.74803149606299213" right="0.74803149606299213" top="0.98425196850393704" bottom="0.98425196850393704" header="0.51181102362204722" footer="0.51181102362204722"/>
  <pageSetup scale="73" fitToHeight="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6DC5DD4C-E4D2-48E3-92D8-25D841CC26AE}"/>
</file>

<file path=customXml/itemProps2.xml><?xml version="1.0" encoding="utf-8"?>
<ds:datastoreItem xmlns:ds="http://schemas.openxmlformats.org/officeDocument/2006/customXml" ds:itemID="{028B4FAF-A0C0-45D3-A66F-C72425DFCD2C}"/>
</file>

<file path=customXml/itemProps3.xml><?xml version="1.0" encoding="utf-8"?>
<ds:datastoreItem xmlns:ds="http://schemas.openxmlformats.org/officeDocument/2006/customXml" ds:itemID="{5DD80CFF-972C-43D7-95A5-6976F00DA6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T06-CONCRETE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Beatty</dc:creator>
  <cp:lastModifiedBy>Van Herwaarde, Robert</cp:lastModifiedBy>
  <cp:lastPrinted>2026-04-12T23:54:21Z</cp:lastPrinted>
  <dcterms:created xsi:type="dcterms:W3CDTF">2026-04-10T00:13:43Z</dcterms:created>
  <dcterms:modified xsi:type="dcterms:W3CDTF">2026-04-12T23:54:23Z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