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N:\Estimating\3. Tenders\2. Current\Q1849 Rocky TAFE Consoli\BOQ\Building 34\"/>
    </mc:Choice>
  </mc:AlternateContent>
  <xr:revisionPtr revIDLastSave="0" documentId="13_ncr:1_{27FA8B3F-2A0B-4841-9BD9-D6F19C9AAFEB}" xr6:coauthVersionLast="47" xr6:coauthVersionMax="47" xr10:uidLastSave="{00000000-0000-0000-0000-000000000000}"/>
  <bookViews>
    <workbookView xWindow="-120" yWindow="-120" windowWidth="29040" windowHeight="15720" xr2:uid="{0C7CC03A-6529-479A-9441-F3E2C47A4372}"/>
  </bookViews>
  <sheets>
    <sheet name="T37-EXTERIOR EL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F31" i="1"/>
  <c r="F29" i="1"/>
  <c r="F28" i="1"/>
  <c r="F27" i="1"/>
  <c r="F26" i="1"/>
  <c r="F25" i="1"/>
  <c r="F24" i="1"/>
  <c r="F23" i="1"/>
  <c r="F20" i="1"/>
  <c r="F17" i="1"/>
  <c r="F15" i="1"/>
  <c r="F14" i="1"/>
  <c r="F13" i="1"/>
  <c r="F12" i="1"/>
  <c r="F10" i="1"/>
  <c r="F34" i="1" s="1"/>
</calcChain>
</file>

<file path=xl/sharedStrings.xml><?xml version="1.0" encoding="utf-8"?>
<sst xmlns="http://schemas.openxmlformats.org/spreadsheetml/2006/main" count="77" uniqueCount="62">
  <si>
    <t>EXTERIOR ELEMENTS</t>
  </si>
  <si>
    <t>Code</t>
  </si>
  <si>
    <t>Description</t>
  </si>
  <si>
    <t>Quantity</t>
  </si>
  <si>
    <t>Unit</t>
  </si>
  <si>
    <t>Rate</t>
  </si>
  <si>
    <t>Total</t>
  </si>
  <si>
    <t>GENERAL CLARIFICATIONS</t>
  </si>
  <si>
    <t>T37.1</t>
  </si>
  <si>
    <t>Generally refer drawing CQU-ROK-034-GN-ARC-21-01</t>
  </si>
  <si>
    <t>Note</t>
  </si>
  <si>
    <t>MEASUREMENT NOTE</t>
  </si>
  <si>
    <t>T37.2</t>
  </si>
  <si>
    <t>Due to the lack of sufficient information to distinguish between paving types PA1 and PA2, both types have been measured collectively. All quantities related to paving works have therefore been taken together under a single item.</t>
  </si>
  <si>
    <t>T37.3</t>
  </si>
  <si>
    <t>Tactile tiles are not properly located on the staircase. Therefore, measurements have been taken and allowed only for the landing areas, where installation is feasible.</t>
  </si>
  <si>
    <t>ROADS, FOOTPATHS AND PAVED AREAS</t>
  </si>
  <si>
    <t>External Pavements</t>
  </si>
  <si>
    <t>T37.4</t>
  </si>
  <si>
    <t>Insitu Coloured Concrete with Aggregate,full depth coloured Concrete, 2mm Light Abrasive finish, Aggregate: Hanson 5-7mm 
Blue Gold 50%; to connection pathway, integrated ramp, other area, [PA1/PA2]</t>
  </si>
  <si>
    <t>m2</t>
  </si>
  <si>
    <t>Stairs</t>
  </si>
  <si>
    <t>T37.5</t>
  </si>
  <si>
    <t>Stairs - Insitu concrete stairs including compacted sub-grade and 50 mm lean concrete blinding, insitu natural concrete with aggregate finish [PA3], s/s handrail, as per Landscape drawing CQU-ROK-034-GN-ARC-21-01</t>
  </si>
  <si>
    <t>T37.6</t>
  </si>
  <si>
    <t>Stair Nosing - Recessed Super Visual Abrasive Stair Tread Nosing, code: AB-FA501S,  Aluminium 6063-T5, Black Anodized (20 micron) finish</t>
  </si>
  <si>
    <t>m</t>
  </si>
  <si>
    <t>T37.7</t>
  </si>
  <si>
    <t>Stairs - Insitu concrete stairs including compacted sub-grade and 50 mm lean concrete blinding, insitu natural concrete with aggregate finish [PA3], s/s handrail, as per Landscape drawing CQU-ROK-034-GN-ARC-21-01, [staircase leading to building 36]</t>
  </si>
  <si>
    <t>T37.8</t>
  </si>
  <si>
    <t>Stair Nosing - Recessed Super Visual Abrasive Stair Tread Nosing, code: AB-FA501S,  Aluminium 6063-T5, Black Anodized (20 micron) finish, [staircase leading to building 36]</t>
  </si>
  <si>
    <t>Tactile Ground Surface Indicators</t>
  </si>
  <si>
    <t>T37.9</t>
  </si>
  <si>
    <t>Tactile  to staircase [approximate area]</t>
  </si>
  <si>
    <t>LANDSCAPING AND IMPROVEMENTS</t>
  </si>
  <si>
    <t>Garden Beds</t>
  </si>
  <si>
    <t>T37.10</t>
  </si>
  <si>
    <t>Garden Bed, including mulch, topsoil, cultivated sub-grade as per Landscape drawing, CQU-ROK-034-GN-ARC-21-01 [GB]</t>
  </si>
  <si>
    <t>FURNITURE</t>
  </si>
  <si>
    <t>Formed reinforced concrete bench seats, cast in-situ to required shape and dimensions, including formwork, steel reinforcement, concrete, surface finishing, curing, and all associated works complete in accordance with drawings and specifications.</t>
  </si>
  <si>
    <t>T37.11</t>
  </si>
  <si>
    <t>Square shaped: 410mm x 410mm x height TBC</t>
  </si>
  <si>
    <t>no</t>
  </si>
  <si>
    <t>T37.12</t>
  </si>
  <si>
    <t>Rectangular shaped: 530mm x 440mm x height TBC</t>
  </si>
  <si>
    <t>T37.13</t>
  </si>
  <si>
    <t>Straight: 2100mm x 530mm x height TBC</t>
  </si>
  <si>
    <t>T37.14</t>
  </si>
  <si>
    <t>Straight: 2620mm x 530mm x height TBC</t>
  </si>
  <si>
    <t>T37.15</t>
  </si>
  <si>
    <t>Straight: 3450mm x 450mm x height TBC</t>
  </si>
  <si>
    <t>T37.16</t>
  </si>
  <si>
    <t>Irregular shaped: 3600mm x 450mm x height TBC</t>
  </si>
  <si>
    <t>T37.17</t>
  </si>
  <si>
    <t>L-shaped: 3900mm x 450mm x height TBC</t>
  </si>
  <si>
    <t>TIERED SEATING/ UMBRELLAS</t>
  </si>
  <si>
    <t>T37.18</t>
  </si>
  <si>
    <t>Tiered seating and umbrellas,Interweaving bench, walkway, ramp and stair design as per drawings, including all associated structural and finishing works, complete, to outdoor alfresco area</t>
  </si>
  <si>
    <t>ADDITIONAL SCOPE</t>
  </si>
  <si>
    <t>T37.19</t>
  </si>
  <si>
    <t>The Tenderer shall detail any additional scope of work and its associated costs which is believed to be not covered in the preceding measurement / items</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</si>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</sst>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Calibri"/>
    </font>
    <font>
      <b/>
      <sz val="10"/>
      <name val="Calibri"/>
    </font>
    <font>
      <sz val="10"/>
      <name val="Calibri"/>
    </font>
    <font>
      <u/>
      <sz val="10"/>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xf>
    <xf numFmtId="3" fontId="2" fillId="0" borderId="1" xfId="0" applyNumberFormat="1" applyFont="1" applyBorder="1" applyAlignment="1">
      <alignment horizontal="left" vertical="center" wrapText="1"/>
    </xf>
    <xf numFmtId="3" fontId="3"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31D40-8D3E-44C1-81A6-8C575B277380}">
  <sheetPr>
    <pageSetUpPr fitToPage="1"/>
  </sheetPr>
  <dimension ref="A1:F34"/>
  <sheetViews>
    <sheetView tabSelected="1" workbookViewId="0">
      <selection sqref="A1:XFD1048576"/>
    </sheetView>
  </sheetViews>
  <sheetFormatPr defaultColWidth="9.140625" defaultRowHeight="12.75" x14ac:dyDescent="0.2"/>
  <cols>
    <col min="1" max="1" width="10.5703125" style="16" customWidth="1"/>
    <col min="2" max="2" width="70.5703125" style="19" customWidth="1"/>
    <col min="3" max="6" width="10.5703125" style="8" customWidth="1"/>
    <col min="7" max="16384" width="9.140625" style="2"/>
  </cols>
  <sheetData>
    <row r="1" spans="1:6" ht="15.75" x14ac:dyDescent="0.2">
      <c r="A1" s="1" t="s">
        <v>0</v>
      </c>
      <c r="B1" s="1"/>
      <c r="C1" s="1"/>
      <c r="D1" s="1"/>
      <c r="E1" s="1"/>
      <c r="F1" s="1"/>
    </row>
    <row r="2" spans="1:6" x14ac:dyDescent="0.2">
      <c r="A2" s="3" t="s">
        <v>1</v>
      </c>
      <c r="B2" s="4" t="s">
        <v>2</v>
      </c>
      <c r="C2" s="5" t="s">
        <v>3</v>
      </c>
      <c r="D2" s="5" t="s">
        <v>4</v>
      </c>
      <c r="E2" s="5" t="s">
        <v>5</v>
      </c>
      <c r="F2" s="5" t="s">
        <v>6</v>
      </c>
    </row>
    <row r="3" spans="1:6" x14ac:dyDescent="0.2">
      <c r="A3" s="6"/>
      <c r="B3" s="4" t="s">
        <v>7</v>
      </c>
      <c r="C3" s="7"/>
      <c r="D3" s="7"/>
      <c r="E3" s="7"/>
    </row>
    <row r="4" spans="1:6" x14ac:dyDescent="0.2">
      <c r="A4" s="6" t="s">
        <v>8</v>
      </c>
      <c r="B4" s="9" t="s">
        <v>9</v>
      </c>
      <c r="C4" s="7"/>
      <c r="D4" s="7" t="s">
        <v>10</v>
      </c>
      <c r="E4" s="7"/>
    </row>
    <row r="5" spans="1:6" x14ac:dyDescent="0.2">
      <c r="A5" s="6"/>
      <c r="B5" s="4" t="s">
        <v>11</v>
      </c>
      <c r="C5" s="7"/>
      <c r="D5" s="7"/>
      <c r="E5" s="7"/>
    </row>
    <row r="6" spans="1:6" ht="38.25" x14ac:dyDescent="0.2">
      <c r="A6" s="6" t="s">
        <v>12</v>
      </c>
      <c r="B6" s="9" t="s">
        <v>13</v>
      </c>
      <c r="C6" s="7"/>
      <c r="D6" s="7" t="s">
        <v>10</v>
      </c>
      <c r="E6" s="7"/>
    </row>
    <row r="7" spans="1:6" ht="25.5" x14ac:dyDescent="0.2">
      <c r="A7" s="6" t="s">
        <v>14</v>
      </c>
      <c r="B7" s="9" t="s">
        <v>15</v>
      </c>
      <c r="C7" s="7"/>
      <c r="D7" s="7" t="s">
        <v>10</v>
      </c>
      <c r="E7" s="7"/>
    </row>
    <row r="8" spans="1:6" x14ac:dyDescent="0.2">
      <c r="A8" s="6"/>
      <c r="B8" s="4" t="s">
        <v>16</v>
      </c>
      <c r="C8" s="7"/>
      <c r="D8" s="7"/>
      <c r="E8" s="7"/>
    </row>
    <row r="9" spans="1:6" x14ac:dyDescent="0.2">
      <c r="A9" s="6"/>
      <c r="B9" s="4" t="s">
        <v>17</v>
      </c>
      <c r="C9" s="7"/>
      <c r="D9" s="7"/>
      <c r="E9" s="7"/>
    </row>
    <row r="10" spans="1:6" ht="38.25" x14ac:dyDescent="0.2">
      <c r="A10" s="6" t="s">
        <v>18</v>
      </c>
      <c r="B10" s="9" t="s">
        <v>19</v>
      </c>
      <c r="C10" s="10">
        <v>289</v>
      </c>
      <c r="D10" s="10" t="s">
        <v>20</v>
      </c>
      <c r="E10" s="11">
        <v>0</v>
      </c>
      <c r="F10" s="10">
        <f>C10*E10</f>
        <v>0</v>
      </c>
    </row>
    <row r="11" spans="1:6" x14ac:dyDescent="0.2">
      <c r="A11" s="12"/>
      <c r="B11" s="13" t="s">
        <v>21</v>
      </c>
      <c r="C11" s="7"/>
      <c r="D11" s="7"/>
      <c r="E11" s="7"/>
    </row>
    <row r="12" spans="1:6" ht="38.25" x14ac:dyDescent="0.2">
      <c r="A12" s="6" t="s">
        <v>22</v>
      </c>
      <c r="B12" s="9" t="s">
        <v>23</v>
      </c>
      <c r="C12" s="10">
        <v>8</v>
      </c>
      <c r="D12" s="10" t="s">
        <v>20</v>
      </c>
      <c r="E12" s="11">
        <v>0</v>
      </c>
      <c r="F12" s="10">
        <f>C12*E12</f>
        <v>0</v>
      </c>
    </row>
    <row r="13" spans="1:6" ht="25.5" x14ac:dyDescent="0.2">
      <c r="A13" s="12" t="s">
        <v>24</v>
      </c>
      <c r="B13" s="14" t="s">
        <v>25</v>
      </c>
      <c r="C13" s="10">
        <v>25</v>
      </c>
      <c r="D13" s="10" t="s">
        <v>26</v>
      </c>
      <c r="E13" s="11">
        <v>0</v>
      </c>
      <c r="F13" s="10">
        <f>C13*E13</f>
        <v>0</v>
      </c>
    </row>
    <row r="14" spans="1:6" ht="51" x14ac:dyDescent="0.2">
      <c r="A14" s="12" t="s">
        <v>27</v>
      </c>
      <c r="B14" s="14" t="s">
        <v>28</v>
      </c>
      <c r="C14" s="10">
        <v>8</v>
      </c>
      <c r="D14" s="10" t="s">
        <v>20</v>
      </c>
      <c r="E14" s="11">
        <v>0</v>
      </c>
      <c r="F14" s="10">
        <f>C14*E14</f>
        <v>0</v>
      </c>
    </row>
    <row r="15" spans="1:6" ht="38.25" x14ac:dyDescent="0.2">
      <c r="A15" s="12" t="s">
        <v>29</v>
      </c>
      <c r="B15" s="14" t="s">
        <v>30</v>
      </c>
      <c r="C15" s="10">
        <v>25</v>
      </c>
      <c r="D15" s="10" t="s">
        <v>26</v>
      </c>
      <c r="E15" s="11">
        <v>0</v>
      </c>
      <c r="F15" s="10">
        <f>C15*E15</f>
        <v>0</v>
      </c>
    </row>
    <row r="16" spans="1:6" x14ac:dyDescent="0.2">
      <c r="A16" s="12"/>
      <c r="B16" s="13" t="s">
        <v>31</v>
      </c>
      <c r="C16" s="7"/>
      <c r="D16" s="7"/>
      <c r="E16" s="7"/>
    </row>
    <row r="17" spans="1:6" x14ac:dyDescent="0.2">
      <c r="A17" s="6" t="s">
        <v>32</v>
      </c>
      <c r="B17" s="9" t="s">
        <v>33</v>
      </c>
      <c r="C17" s="10">
        <v>3</v>
      </c>
      <c r="D17" s="10" t="s">
        <v>20</v>
      </c>
      <c r="E17" s="11">
        <v>0</v>
      </c>
      <c r="F17" s="10">
        <f>C17*E17</f>
        <v>0</v>
      </c>
    </row>
    <row r="18" spans="1:6" x14ac:dyDescent="0.2">
      <c r="A18" s="12"/>
      <c r="B18" s="13" t="s">
        <v>34</v>
      </c>
      <c r="C18" s="7"/>
      <c r="D18" s="7"/>
      <c r="E18" s="7"/>
    </row>
    <row r="19" spans="1:6" x14ac:dyDescent="0.2">
      <c r="A19" s="6"/>
      <c r="B19" s="4" t="s">
        <v>35</v>
      </c>
      <c r="C19" s="7"/>
      <c r="D19" s="7"/>
      <c r="E19" s="7"/>
    </row>
    <row r="20" spans="1:6" ht="25.5" x14ac:dyDescent="0.2">
      <c r="A20" s="6" t="s">
        <v>36</v>
      </c>
      <c r="B20" s="9" t="s">
        <v>37</v>
      </c>
      <c r="C20" s="10">
        <v>94</v>
      </c>
      <c r="D20" s="10" t="s">
        <v>20</v>
      </c>
      <c r="E20" s="11">
        <v>0</v>
      </c>
      <c r="F20" s="10">
        <f>C20*E20</f>
        <v>0</v>
      </c>
    </row>
    <row r="21" spans="1:6" x14ac:dyDescent="0.2">
      <c r="A21" s="12"/>
      <c r="B21" s="13" t="s">
        <v>38</v>
      </c>
      <c r="C21" s="7"/>
      <c r="D21" s="7"/>
      <c r="E21" s="7"/>
    </row>
    <row r="22" spans="1:6" ht="51" x14ac:dyDescent="0.2">
      <c r="A22" s="6"/>
      <c r="B22" s="15" t="s">
        <v>39</v>
      </c>
      <c r="C22" s="7"/>
      <c r="D22" s="7"/>
      <c r="E22" s="7"/>
    </row>
    <row r="23" spans="1:6" x14ac:dyDescent="0.2">
      <c r="A23" s="6" t="s">
        <v>40</v>
      </c>
      <c r="B23" s="9" t="s">
        <v>41</v>
      </c>
      <c r="C23" s="10">
        <v>4</v>
      </c>
      <c r="D23" s="10" t="s">
        <v>42</v>
      </c>
      <c r="E23" s="11">
        <v>0</v>
      </c>
      <c r="F23" s="10">
        <f t="shared" ref="F23:F29" si="0">C23*E23</f>
        <v>0</v>
      </c>
    </row>
    <row r="24" spans="1:6" x14ac:dyDescent="0.2">
      <c r="A24" s="12" t="s">
        <v>43</v>
      </c>
      <c r="B24" s="14" t="s">
        <v>44</v>
      </c>
      <c r="C24" s="10">
        <v>4</v>
      </c>
      <c r="D24" s="10" t="s">
        <v>42</v>
      </c>
      <c r="E24" s="11">
        <v>0</v>
      </c>
      <c r="F24" s="10">
        <f t="shared" si="0"/>
        <v>0</v>
      </c>
    </row>
    <row r="25" spans="1:6" x14ac:dyDescent="0.2">
      <c r="A25" s="12" t="s">
        <v>45</v>
      </c>
      <c r="B25" s="14" t="s">
        <v>46</v>
      </c>
      <c r="C25" s="10">
        <v>1</v>
      </c>
      <c r="D25" s="10" t="s">
        <v>42</v>
      </c>
      <c r="E25" s="11">
        <v>0</v>
      </c>
      <c r="F25" s="10">
        <f t="shared" si="0"/>
        <v>0</v>
      </c>
    </row>
    <row r="26" spans="1:6" x14ac:dyDescent="0.2">
      <c r="A26" s="12" t="s">
        <v>47</v>
      </c>
      <c r="B26" s="14" t="s">
        <v>48</v>
      </c>
      <c r="C26" s="10">
        <v>1</v>
      </c>
      <c r="D26" s="10" t="s">
        <v>42</v>
      </c>
      <c r="E26" s="11">
        <v>0</v>
      </c>
      <c r="F26" s="10">
        <f t="shared" si="0"/>
        <v>0</v>
      </c>
    </row>
    <row r="27" spans="1:6" x14ac:dyDescent="0.2">
      <c r="A27" s="12" t="s">
        <v>49</v>
      </c>
      <c r="B27" s="14" t="s">
        <v>50</v>
      </c>
      <c r="C27" s="10">
        <v>1</v>
      </c>
      <c r="D27" s="10" t="s">
        <v>42</v>
      </c>
      <c r="E27" s="11">
        <v>0</v>
      </c>
      <c r="F27" s="10">
        <f t="shared" si="0"/>
        <v>0</v>
      </c>
    </row>
    <row r="28" spans="1:6" x14ac:dyDescent="0.2">
      <c r="A28" s="12" t="s">
        <v>51</v>
      </c>
      <c r="B28" s="14" t="s">
        <v>52</v>
      </c>
      <c r="C28" s="10">
        <v>1</v>
      </c>
      <c r="D28" s="10" t="s">
        <v>42</v>
      </c>
      <c r="E28" s="11">
        <v>0</v>
      </c>
      <c r="F28" s="10">
        <f t="shared" si="0"/>
        <v>0</v>
      </c>
    </row>
    <row r="29" spans="1:6" x14ac:dyDescent="0.2">
      <c r="A29" s="12" t="s">
        <v>53</v>
      </c>
      <c r="B29" s="14" t="s">
        <v>54</v>
      </c>
      <c r="C29" s="10">
        <v>1</v>
      </c>
      <c r="D29" s="10" t="s">
        <v>42</v>
      </c>
      <c r="E29" s="11">
        <v>0</v>
      </c>
      <c r="F29" s="10">
        <f t="shared" si="0"/>
        <v>0</v>
      </c>
    </row>
    <row r="30" spans="1:6" x14ac:dyDescent="0.2">
      <c r="A30" s="12"/>
      <c r="B30" s="13" t="s">
        <v>55</v>
      </c>
      <c r="C30" s="7"/>
      <c r="D30" s="7"/>
      <c r="E30" s="7"/>
    </row>
    <row r="31" spans="1:6" ht="38.25" x14ac:dyDescent="0.2">
      <c r="A31" s="6" t="s">
        <v>56</v>
      </c>
      <c r="B31" s="9" t="s">
        <v>57</v>
      </c>
      <c r="C31" s="10">
        <v>53</v>
      </c>
      <c r="D31" s="10" t="s">
        <v>20</v>
      </c>
      <c r="E31" s="11">
        <v>0</v>
      </c>
      <c r="F31" s="10">
        <f>C31*E31</f>
        <v>0</v>
      </c>
    </row>
    <row r="32" spans="1:6" x14ac:dyDescent="0.2">
      <c r="A32" s="12"/>
      <c r="B32" s="13" t="s">
        <v>58</v>
      </c>
      <c r="C32" s="7"/>
      <c r="D32" s="7"/>
      <c r="E32" s="7"/>
    </row>
    <row r="33" spans="1:6" ht="25.5" x14ac:dyDescent="0.2">
      <c r="A33" s="6" t="s">
        <v>59</v>
      </c>
      <c r="B33" s="9" t="s">
        <v>60</v>
      </c>
      <c r="C33" s="10">
        <v>1</v>
      </c>
      <c r="D33" s="10" t="s">
        <v>61</v>
      </c>
      <c r="E33" s="11">
        <v>0</v>
      </c>
      <c r="F33" s="10">
        <f>C33*E33</f>
        <v>0</v>
      </c>
    </row>
    <row r="34" spans="1:6" x14ac:dyDescent="0.2">
      <c r="B34" s="17" t="s">
        <v>6</v>
      </c>
      <c r="F34" s="18">
        <f>SUM(F2:F33)</f>
        <v>0</v>
      </c>
    </row>
  </sheetData>
  <mergeCells count="1">
    <mergeCell ref="A1:F1"/>
  </mergeCells>
  <pageMargins left="0.74803149606299213" right="0.74803149606299213" top="0.98425196850393704" bottom="0.98425196850393704" header="0.51181102362204722" footer="0.51181102362204722"/>
  <pageSetup scale="73" fitToHeight="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9150EE81-2A8A-4DEB-B95A-44F8F127EDF5}"/>
</file>

<file path=customXml/itemProps2.xml><?xml version="1.0" encoding="utf-8"?>
<ds:datastoreItem xmlns:ds="http://schemas.openxmlformats.org/officeDocument/2006/customXml" ds:itemID="{81AF9318-0053-4CBC-A241-30BE6EE91094}"/>
</file>

<file path=customXml/itemProps3.xml><?xml version="1.0" encoding="utf-8"?>
<ds:datastoreItem xmlns:ds="http://schemas.openxmlformats.org/officeDocument/2006/customXml" ds:itemID="{0CC11BC4-45D5-4427-B1C2-9A73317AEE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T37-EXTERIOR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Beatty</dc:creator>
  <cp:lastModifiedBy>Van Herwaarde, Robert</cp:lastModifiedBy>
  <cp:lastPrinted>2026-04-13T23:51:34Z</cp:lastPrinted>
  <dcterms:created xsi:type="dcterms:W3CDTF">2026-04-13T10:22:35Z</dcterms:created>
  <dcterms:modified xsi:type="dcterms:W3CDTF">2026-04-13T23:51:37Z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