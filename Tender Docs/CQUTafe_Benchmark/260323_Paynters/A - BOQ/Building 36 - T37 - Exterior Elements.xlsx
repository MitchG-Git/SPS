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N:\Estimating\3. Tenders\2. Current\Q1849 Rocky TAFE Consoli\BOQ\Building 36\Rockhampton TAFE - ROK036 BoQ's\"/>
    </mc:Choice>
  </mc:AlternateContent>
  <xr:revisionPtr revIDLastSave="0" documentId="13_ncr:1_{98340ACB-C203-47DA-9EF7-4E06DBF7019D}" xr6:coauthVersionLast="47" xr6:coauthVersionMax="47" xr10:uidLastSave="{00000000-0000-0000-0000-000000000000}"/>
  <bookViews>
    <workbookView xWindow="-120" yWindow="-120" windowWidth="29040" windowHeight="15720" xr2:uid="{A78B219D-D7E0-42F0-B65C-5394AE0972F6}"/>
  </bookViews>
  <sheets>
    <sheet name="T37-EXTERIOR ELE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0" i="1" l="1"/>
  <c r="F38" i="1"/>
  <c r="F37" i="1"/>
  <c r="F36" i="1"/>
  <c r="F35" i="1"/>
  <c r="F33" i="1"/>
  <c r="F32" i="1"/>
  <c r="F28" i="1"/>
  <c r="F27" i="1"/>
  <c r="F25" i="1"/>
  <c r="F23" i="1"/>
  <c r="F22" i="1"/>
  <c r="F20" i="1"/>
  <c r="F18" i="1"/>
  <c r="F16" i="1"/>
  <c r="F15" i="1"/>
  <c r="F14" i="1"/>
  <c r="F13" i="1"/>
  <c r="F11" i="1"/>
  <c r="F10" i="1"/>
  <c r="F9" i="1"/>
  <c r="F8" i="1"/>
  <c r="F7" i="1"/>
  <c r="F41" i="1" s="1"/>
</calcChain>
</file>

<file path=xl/sharedStrings.xml><?xml version="1.0" encoding="utf-8"?>
<sst xmlns="http://schemas.openxmlformats.org/spreadsheetml/2006/main" count="94" uniqueCount="74">
  <si>
    <t>EXTERIOR ELEMENTS</t>
  </si>
  <si>
    <t>Code</t>
  </si>
  <si>
    <t>Description</t>
  </si>
  <si>
    <t>Quantity</t>
  </si>
  <si>
    <t>Unit</t>
  </si>
  <si>
    <t>Rate</t>
  </si>
  <si>
    <t>Total</t>
  </si>
  <si>
    <t>GENERAL CLARIFICATIONS</t>
  </si>
  <si>
    <t>T37.1</t>
  </si>
  <si>
    <t>Generally refer drawing CQU-ROK-036-GN-ARC-21-01, CQU-ROK-036-00-ARC-10-00,  C230, C240</t>
  </si>
  <si>
    <t>Note</t>
  </si>
  <si>
    <t>ROADS, FOOTPATHS AND PAVED AREAS</t>
  </si>
  <si>
    <t>External Pavements</t>
  </si>
  <si>
    <t>T37.2</t>
  </si>
  <si>
    <t>Proposed Pavement Type 1 - Compacted subgrade, 100 mm thick Type 2.5 (CBR 15%) subgrade replacement (provisional), 150 mm thick Type 2.5 (CBR 15%) lower course, 125 mm thick Type 2.3 (CBR 45%) subbase, 125 mm thick Type 2.1 (CBR 80%) base and 40 mm thick AC14 dense graded asphalt wearing course to proposed drop-off area and driveway</t>
  </si>
  <si>
    <t>m2</t>
  </si>
  <si>
    <t>T37.3</t>
  </si>
  <si>
    <t>Proposed Pavement Type 3 - Compacted subgrade, 120 mm thick Type 2.3 (CBR 45%) subbase and 180 mm thick 32MPa concrete slab with SL82 mesh top cover including necessary formwork</t>
  </si>
  <si>
    <t>T37.4</t>
  </si>
  <si>
    <t>Proposed Pavement Type 4 - Compacted subgrade, 140 mm thick Type 2.3 (CBR 45%) subbase and 160 mm thick 32MPa concrete slab with SL82 mesh top cover including necessary formwork</t>
  </si>
  <si>
    <t>T37.5</t>
  </si>
  <si>
    <t>Allow for joints</t>
  </si>
  <si>
    <t>T37.6</t>
  </si>
  <si>
    <t>Allow for connection between footpath and proposed driveway</t>
  </si>
  <si>
    <t>m</t>
  </si>
  <si>
    <t>Line marking</t>
  </si>
  <si>
    <t>T37.7</t>
  </si>
  <si>
    <t>Allow for Line marking to new road</t>
  </si>
  <si>
    <t>item</t>
  </si>
  <si>
    <t>T37.8</t>
  </si>
  <si>
    <t>Allow for Line marking to car park, 90mmwide unbroken line</t>
  </si>
  <si>
    <t>T37.9</t>
  </si>
  <si>
    <t>Install disabled symbol in accordance with AS2890.6</t>
  </si>
  <si>
    <t>no</t>
  </si>
  <si>
    <t>T37.10</t>
  </si>
  <si>
    <t>Yellow slip resistant line marking 150-200mm wide, spaced 200-300mm apart at 450</t>
  </si>
  <si>
    <t>Kerbs</t>
  </si>
  <si>
    <t>T37.11</t>
  </si>
  <si>
    <t>150 mm x 300 mm High barrier kerb as per Civil drawing C240 [BKC]</t>
  </si>
  <si>
    <t>Wheel Stops</t>
  </si>
  <si>
    <t>T37.12</t>
  </si>
  <si>
    <t>Wheel stopper 2000mm long</t>
  </si>
  <si>
    <t>Handrails and Balustrades</t>
  </si>
  <si>
    <t>T37.13</t>
  </si>
  <si>
    <t>Steel Balustrades-Material to be confirm,n/a for detailed spec.</t>
  </si>
  <si>
    <t>T37.14</t>
  </si>
  <si>
    <t>External stair Handrails-Material to be confirm,n/a for detailed spec.</t>
  </si>
  <si>
    <t>Tactile Ground Surface Indicators</t>
  </si>
  <si>
    <t>T37.15</t>
  </si>
  <si>
    <t>Tactile; 300x300x15mm size, grip P5 finish, Charcoal colour porcelain tile</t>
  </si>
  <si>
    <t>Stairs</t>
  </si>
  <si>
    <t>T37.16</t>
  </si>
  <si>
    <t>Proprietary maintenance stair – Supply and install industrial modular access stair tower (Product Code: PS300), comprising structural aluminium stair system with stainless steel support brackets, galvanized mild steel base column supports, structural aluminium handrails, including all necessary fixings and associated accessories, complete as per manufacturers specifications</t>
  </si>
  <si>
    <t>T37.17</t>
  </si>
  <si>
    <t>Supply and installation of steel-framed stair at Grid Line Y5, between X13–X21, including treads, risers, handrails, and all necessary fixings and associated accessories, complete in accordance with the manufacturers specifications</t>
  </si>
  <si>
    <t>LANDSCAPING</t>
  </si>
  <si>
    <t>Planter box</t>
  </si>
  <si>
    <t>Supply and construction of planter box, comprising walls in reinforced concrete or masonry/blockwork (measured separately), including internal waterproofing, drainage layer, filter membrane, suitable soil filling, and planting provision, together with all necessary finishes, fixings, and associated accessories, complete in accordance with the drawings and specifications.suitable soil filling, and planting provision, including all necessary finishes, fixings, and associated accessories, complete in accordance with the drawings and specifications.</t>
  </si>
  <si>
    <t>T37.18</t>
  </si>
  <si>
    <t>Soft landscape in planter box; box size 2500mm x 1700mm x height to be confirmed [planter area: 3m2]</t>
  </si>
  <si>
    <t>T37.19</t>
  </si>
  <si>
    <t>Soft landscape in planter box; box size 5550mm x 2040mm x height to be confirmed [planter area: 9m2]</t>
  </si>
  <si>
    <t>Screens</t>
  </si>
  <si>
    <t>T37.20</t>
  </si>
  <si>
    <t>Screening wall for plant space, including all associate works</t>
  </si>
  <si>
    <t>T37.21</t>
  </si>
  <si>
    <t>Extra over for 900x1900mm size single leaf door</t>
  </si>
  <si>
    <t>T37.22</t>
  </si>
  <si>
    <t>MSB enclosure: type to be confirmed, including all associate works</t>
  </si>
  <si>
    <t>T37.23</t>
  </si>
  <si>
    <t>Extra over for 1885x1900mm size double leaf doors</t>
  </si>
  <si>
    <t>ADDITIONAL SCOPE</t>
  </si>
  <si>
    <t>T37.24</t>
  </si>
  <si>
    <t>The Tenderer shall detail any additional scope of work and its associated costs which is believed to be not covered in the preceding measurement /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</si>
</sst>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2"/>
      <name val="Calibri"/>
    </font>
    <font>
      <b/>
      <sz val="10"/>
      <name val="Calibri"/>
    </font>
    <font>
      <sz val="10"/>
      <name val="Calibri"/>
    </font>
    <font>
      <u/>
      <sz val="10"/>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xf>
    <xf numFmtId="0" fontId="0" fillId="0" borderId="1" xfId="0"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xf>
    <xf numFmtId="4" fontId="3" fillId="0" borderId="1" xfId="0" applyNumberFormat="1" applyFont="1" applyBorder="1" applyAlignment="1">
      <alignment horizontal="center" vertical="center"/>
    </xf>
    <xf numFmtId="3" fontId="3" fillId="0" borderId="1" xfId="0" applyNumberFormat="1" applyFont="1" applyBorder="1" applyAlignment="1">
      <alignment horizontal="left" vertical="center"/>
    </xf>
    <xf numFmtId="3" fontId="3" fillId="0" borderId="1" xfId="0" applyNumberFormat="1" applyFont="1" applyBorder="1" applyAlignment="1">
      <alignment horizontal="left" vertical="center" wrapText="1"/>
    </xf>
    <xf numFmtId="3" fontId="2"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vertical="center" wrapText="1"/>
    </xf>
    <xf numFmtId="3" fontId="2" fillId="0" borderId="1" xfId="0" applyNumberFormat="1" applyFont="1" applyBorder="1" applyAlignment="1">
      <alignment horizontal="center"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D3A00-B5F8-4DBF-8E55-A623A562702F}">
  <sheetPr codeName="Sheet24">
    <pageSetUpPr fitToPage="1"/>
  </sheetPr>
  <dimension ref="A1:F41"/>
  <sheetViews>
    <sheetView tabSelected="1" workbookViewId="0">
      <selection sqref="A1:XFD1048576"/>
    </sheetView>
  </sheetViews>
  <sheetFormatPr defaultColWidth="9.140625" defaultRowHeight="12.75" x14ac:dyDescent="0.2"/>
  <cols>
    <col min="1" max="1" width="10.5703125" style="16" customWidth="1"/>
    <col min="2" max="2" width="70.5703125" style="19" customWidth="1"/>
    <col min="3" max="6" width="10.5703125" style="8" customWidth="1"/>
    <col min="7" max="16384" width="9.140625" style="2"/>
  </cols>
  <sheetData>
    <row r="1" spans="1:6" ht="15.75" x14ac:dyDescent="0.2">
      <c r="A1" s="1" t="s">
        <v>0</v>
      </c>
      <c r="B1" s="1"/>
      <c r="C1" s="1"/>
      <c r="D1" s="1"/>
      <c r="E1" s="1"/>
      <c r="F1" s="1"/>
    </row>
    <row r="2" spans="1:6" x14ac:dyDescent="0.2">
      <c r="A2" s="3" t="s">
        <v>1</v>
      </c>
      <c r="B2" s="4" t="s">
        <v>2</v>
      </c>
      <c r="C2" s="5" t="s">
        <v>3</v>
      </c>
      <c r="D2" s="5" t="s">
        <v>4</v>
      </c>
      <c r="E2" s="5" t="s">
        <v>5</v>
      </c>
      <c r="F2" s="5" t="s">
        <v>6</v>
      </c>
    </row>
    <row r="3" spans="1:6" x14ac:dyDescent="0.2">
      <c r="A3" s="6"/>
      <c r="B3" s="4" t="s">
        <v>7</v>
      </c>
      <c r="C3" s="7"/>
      <c r="D3" s="7"/>
      <c r="E3" s="7"/>
    </row>
    <row r="4" spans="1:6" ht="25.5" x14ac:dyDescent="0.2">
      <c r="A4" s="6" t="s">
        <v>8</v>
      </c>
      <c r="B4" s="9" t="s">
        <v>9</v>
      </c>
      <c r="C4" s="7"/>
      <c r="D4" s="7" t="s">
        <v>10</v>
      </c>
      <c r="E4" s="7"/>
    </row>
    <row r="5" spans="1:6" x14ac:dyDescent="0.2">
      <c r="A5" s="6"/>
      <c r="B5" s="4" t="s">
        <v>11</v>
      </c>
      <c r="C5" s="7"/>
      <c r="D5" s="7"/>
      <c r="E5" s="7"/>
    </row>
    <row r="6" spans="1:6" x14ac:dyDescent="0.2">
      <c r="A6" s="6"/>
      <c r="B6" s="4" t="s">
        <v>12</v>
      </c>
      <c r="C6" s="7"/>
      <c r="D6" s="7"/>
      <c r="E6" s="7"/>
    </row>
    <row r="7" spans="1:6" ht="63.75" x14ac:dyDescent="0.2">
      <c r="A7" s="6" t="s">
        <v>13</v>
      </c>
      <c r="B7" s="9" t="s">
        <v>14</v>
      </c>
      <c r="C7" s="10">
        <v>364</v>
      </c>
      <c r="D7" s="10" t="s">
        <v>15</v>
      </c>
      <c r="E7" s="11">
        <v>0</v>
      </c>
      <c r="F7" s="10">
        <f>C7*E7</f>
        <v>0</v>
      </c>
    </row>
    <row r="8" spans="1:6" ht="38.25" x14ac:dyDescent="0.2">
      <c r="A8" s="12" t="s">
        <v>16</v>
      </c>
      <c r="B8" s="13" t="s">
        <v>17</v>
      </c>
      <c r="C8" s="10">
        <v>249</v>
      </c>
      <c r="D8" s="10" t="s">
        <v>15</v>
      </c>
      <c r="E8" s="11">
        <v>0</v>
      </c>
      <c r="F8" s="10">
        <f>C8*E8</f>
        <v>0</v>
      </c>
    </row>
    <row r="9" spans="1:6" ht="38.25" x14ac:dyDescent="0.2">
      <c r="A9" s="12" t="s">
        <v>18</v>
      </c>
      <c r="B9" s="13" t="s">
        <v>19</v>
      </c>
      <c r="C9" s="10">
        <v>302</v>
      </c>
      <c r="D9" s="10" t="s">
        <v>15</v>
      </c>
      <c r="E9" s="11">
        <v>0</v>
      </c>
      <c r="F9" s="10">
        <f>C9*E9</f>
        <v>0</v>
      </c>
    </row>
    <row r="10" spans="1:6" x14ac:dyDescent="0.2">
      <c r="A10" s="12" t="s">
        <v>20</v>
      </c>
      <c r="B10" s="13" t="s">
        <v>21</v>
      </c>
      <c r="C10" s="10">
        <v>915</v>
      </c>
      <c r="D10" s="10" t="s">
        <v>15</v>
      </c>
      <c r="E10" s="11">
        <v>0</v>
      </c>
      <c r="F10" s="10">
        <f>C10*E10</f>
        <v>0</v>
      </c>
    </row>
    <row r="11" spans="1:6" x14ac:dyDescent="0.2">
      <c r="A11" s="12" t="s">
        <v>22</v>
      </c>
      <c r="B11" s="13" t="s">
        <v>23</v>
      </c>
      <c r="C11" s="10">
        <v>24</v>
      </c>
      <c r="D11" s="10" t="s">
        <v>24</v>
      </c>
      <c r="E11" s="11">
        <v>0</v>
      </c>
      <c r="F11" s="10">
        <f>C11*E11</f>
        <v>0</v>
      </c>
    </row>
    <row r="12" spans="1:6" x14ac:dyDescent="0.2">
      <c r="A12" s="12"/>
      <c r="B12" s="14" t="s">
        <v>25</v>
      </c>
      <c r="C12" s="7"/>
      <c r="D12" s="7"/>
      <c r="E12" s="7"/>
    </row>
    <row r="13" spans="1:6" x14ac:dyDescent="0.2">
      <c r="A13" s="6" t="s">
        <v>26</v>
      </c>
      <c r="B13" s="9" t="s">
        <v>27</v>
      </c>
      <c r="C13" s="10">
        <v>1</v>
      </c>
      <c r="D13" s="10" t="s">
        <v>28</v>
      </c>
      <c r="E13" s="11">
        <v>0</v>
      </c>
      <c r="F13" s="10">
        <f>C13*E13</f>
        <v>0</v>
      </c>
    </row>
    <row r="14" spans="1:6" x14ac:dyDescent="0.2">
      <c r="A14" s="12" t="s">
        <v>29</v>
      </c>
      <c r="B14" s="13" t="s">
        <v>30</v>
      </c>
      <c r="C14" s="10">
        <v>43</v>
      </c>
      <c r="D14" s="10" t="s">
        <v>24</v>
      </c>
      <c r="E14" s="11">
        <v>0</v>
      </c>
      <c r="F14" s="10">
        <f>C14*E14</f>
        <v>0</v>
      </c>
    </row>
    <row r="15" spans="1:6" x14ac:dyDescent="0.2">
      <c r="A15" s="12" t="s">
        <v>31</v>
      </c>
      <c r="B15" s="13" t="s">
        <v>32</v>
      </c>
      <c r="C15" s="10">
        <v>1</v>
      </c>
      <c r="D15" s="10" t="s">
        <v>33</v>
      </c>
      <c r="E15" s="11">
        <v>0</v>
      </c>
      <c r="F15" s="10">
        <f>C15*E15</f>
        <v>0</v>
      </c>
    </row>
    <row r="16" spans="1:6" x14ac:dyDescent="0.2">
      <c r="A16" s="12" t="s">
        <v>34</v>
      </c>
      <c r="B16" s="13" t="s">
        <v>35</v>
      </c>
      <c r="C16" s="10">
        <v>13</v>
      </c>
      <c r="D16" s="10" t="s">
        <v>15</v>
      </c>
      <c r="E16" s="11">
        <v>0</v>
      </c>
      <c r="F16" s="10">
        <f>C16*E16</f>
        <v>0</v>
      </c>
    </row>
    <row r="17" spans="1:6" x14ac:dyDescent="0.2">
      <c r="A17" s="12"/>
      <c r="B17" s="14" t="s">
        <v>36</v>
      </c>
      <c r="C17" s="7"/>
      <c r="D17" s="7"/>
      <c r="E17" s="7"/>
    </row>
    <row r="18" spans="1:6" x14ac:dyDescent="0.2">
      <c r="A18" s="6" t="s">
        <v>37</v>
      </c>
      <c r="B18" s="9" t="s">
        <v>38</v>
      </c>
      <c r="C18" s="10">
        <v>22</v>
      </c>
      <c r="D18" s="10" t="s">
        <v>24</v>
      </c>
      <c r="E18" s="11">
        <v>0</v>
      </c>
      <c r="F18" s="10">
        <f>C18*E18</f>
        <v>0</v>
      </c>
    </row>
    <row r="19" spans="1:6" x14ac:dyDescent="0.2">
      <c r="A19" s="12"/>
      <c r="B19" s="14" t="s">
        <v>39</v>
      </c>
      <c r="C19" s="7"/>
      <c r="D19" s="7"/>
      <c r="E19" s="7"/>
    </row>
    <row r="20" spans="1:6" x14ac:dyDescent="0.2">
      <c r="A20" s="6" t="s">
        <v>40</v>
      </c>
      <c r="B20" s="9" t="s">
        <v>41</v>
      </c>
      <c r="C20" s="10">
        <v>5</v>
      </c>
      <c r="D20" s="10" t="s">
        <v>33</v>
      </c>
      <c r="E20" s="11">
        <v>0</v>
      </c>
      <c r="F20" s="10">
        <f>C20*E20</f>
        <v>0</v>
      </c>
    </row>
    <row r="21" spans="1:6" x14ac:dyDescent="0.2">
      <c r="A21" s="12"/>
      <c r="B21" s="14" t="s">
        <v>42</v>
      </c>
      <c r="C21" s="7"/>
      <c r="D21" s="7"/>
      <c r="E21" s="7"/>
    </row>
    <row r="22" spans="1:6" x14ac:dyDescent="0.2">
      <c r="A22" s="6" t="s">
        <v>43</v>
      </c>
      <c r="B22" s="9" t="s">
        <v>44</v>
      </c>
      <c r="C22" s="10">
        <v>11</v>
      </c>
      <c r="D22" s="10" t="s">
        <v>24</v>
      </c>
      <c r="E22" s="11">
        <v>0</v>
      </c>
      <c r="F22" s="10">
        <f>C22*E22</f>
        <v>0</v>
      </c>
    </row>
    <row r="23" spans="1:6" x14ac:dyDescent="0.2">
      <c r="A23" s="12" t="s">
        <v>45</v>
      </c>
      <c r="B23" s="13" t="s">
        <v>46</v>
      </c>
      <c r="C23" s="10">
        <v>4</v>
      </c>
      <c r="D23" s="10" t="s">
        <v>24</v>
      </c>
      <c r="E23" s="11">
        <v>0</v>
      </c>
      <c r="F23" s="10">
        <f>C23*E23</f>
        <v>0</v>
      </c>
    </row>
    <row r="24" spans="1:6" x14ac:dyDescent="0.2">
      <c r="A24" s="12"/>
      <c r="B24" s="14" t="s">
        <v>47</v>
      </c>
      <c r="C24" s="7"/>
      <c r="D24" s="7"/>
      <c r="E24" s="7"/>
    </row>
    <row r="25" spans="1:6" x14ac:dyDescent="0.2">
      <c r="A25" s="6" t="s">
        <v>48</v>
      </c>
      <c r="B25" s="9" t="s">
        <v>49</v>
      </c>
      <c r="C25" s="10">
        <v>6</v>
      </c>
      <c r="D25" s="10" t="s">
        <v>15</v>
      </c>
      <c r="E25" s="11">
        <v>0</v>
      </c>
      <c r="F25" s="10">
        <f>C25*E25</f>
        <v>0</v>
      </c>
    </row>
    <row r="26" spans="1:6" x14ac:dyDescent="0.2">
      <c r="A26" s="12"/>
      <c r="B26" s="14" t="s">
        <v>50</v>
      </c>
      <c r="C26" s="7"/>
      <c r="D26" s="7"/>
      <c r="E26" s="7"/>
    </row>
    <row r="27" spans="1:6" ht="63.75" x14ac:dyDescent="0.2">
      <c r="A27" s="6" t="s">
        <v>51</v>
      </c>
      <c r="B27" s="9" t="s">
        <v>52</v>
      </c>
      <c r="C27" s="10">
        <v>1</v>
      </c>
      <c r="D27" s="10" t="s">
        <v>33</v>
      </c>
      <c r="E27" s="11">
        <v>0</v>
      </c>
      <c r="F27" s="10">
        <f>C27*E27</f>
        <v>0</v>
      </c>
    </row>
    <row r="28" spans="1:6" ht="38.25" x14ac:dyDescent="0.2">
      <c r="A28" s="12" t="s">
        <v>53</v>
      </c>
      <c r="B28" s="13" t="s">
        <v>54</v>
      </c>
      <c r="C28" s="10">
        <v>1</v>
      </c>
      <c r="D28" s="10" t="s">
        <v>33</v>
      </c>
      <c r="E28" s="11">
        <v>0</v>
      </c>
      <c r="F28" s="10">
        <f>C28*E28</f>
        <v>0</v>
      </c>
    </row>
    <row r="29" spans="1:6" x14ac:dyDescent="0.2">
      <c r="A29" s="12"/>
      <c r="B29" s="14" t="s">
        <v>55</v>
      </c>
      <c r="C29" s="7"/>
      <c r="D29" s="7"/>
      <c r="E29" s="7"/>
    </row>
    <row r="30" spans="1:6" x14ac:dyDescent="0.2">
      <c r="A30" s="6"/>
      <c r="B30" s="4" t="s">
        <v>56</v>
      </c>
      <c r="C30" s="7"/>
      <c r="D30" s="7"/>
      <c r="E30" s="7"/>
    </row>
    <row r="31" spans="1:6" ht="89.25" x14ac:dyDescent="0.2">
      <c r="A31" s="6"/>
      <c r="B31" s="15" t="s">
        <v>57</v>
      </c>
      <c r="C31" s="7"/>
      <c r="D31" s="7"/>
      <c r="E31" s="7"/>
    </row>
    <row r="32" spans="1:6" ht="25.5" x14ac:dyDescent="0.2">
      <c r="A32" s="6" t="s">
        <v>58</v>
      </c>
      <c r="B32" s="9" t="s">
        <v>59</v>
      </c>
      <c r="C32" s="10">
        <v>1</v>
      </c>
      <c r="D32" s="10" t="s">
        <v>33</v>
      </c>
      <c r="E32" s="11">
        <v>0</v>
      </c>
      <c r="F32" s="10">
        <f>C32*E32</f>
        <v>0</v>
      </c>
    </row>
    <row r="33" spans="1:6" ht="25.5" x14ac:dyDescent="0.2">
      <c r="A33" s="12" t="s">
        <v>60</v>
      </c>
      <c r="B33" s="13" t="s">
        <v>61</v>
      </c>
      <c r="C33" s="10">
        <v>1</v>
      </c>
      <c r="D33" s="10" t="s">
        <v>33</v>
      </c>
      <c r="E33" s="11">
        <v>0</v>
      </c>
      <c r="F33" s="10">
        <f>C33*E33</f>
        <v>0</v>
      </c>
    </row>
    <row r="34" spans="1:6" x14ac:dyDescent="0.2">
      <c r="A34" s="12"/>
      <c r="B34" s="14" t="s">
        <v>62</v>
      </c>
      <c r="C34" s="7"/>
      <c r="D34" s="7"/>
      <c r="E34" s="7"/>
    </row>
    <row r="35" spans="1:6" x14ac:dyDescent="0.2">
      <c r="A35" s="6" t="s">
        <v>63</v>
      </c>
      <c r="B35" s="9" t="s">
        <v>64</v>
      </c>
      <c r="C35" s="10">
        <v>64</v>
      </c>
      <c r="D35" s="10" t="s">
        <v>15</v>
      </c>
      <c r="E35" s="11">
        <v>0</v>
      </c>
      <c r="F35" s="10">
        <f>C35*E35</f>
        <v>0</v>
      </c>
    </row>
    <row r="36" spans="1:6" x14ac:dyDescent="0.2">
      <c r="A36" s="12" t="s">
        <v>65</v>
      </c>
      <c r="B36" s="13" t="s">
        <v>66</v>
      </c>
      <c r="C36" s="10">
        <v>1</v>
      </c>
      <c r="D36" s="10" t="s">
        <v>33</v>
      </c>
      <c r="E36" s="11">
        <v>0</v>
      </c>
      <c r="F36" s="10">
        <f>C36*E36</f>
        <v>0</v>
      </c>
    </row>
    <row r="37" spans="1:6" x14ac:dyDescent="0.2">
      <c r="A37" s="12" t="s">
        <v>67</v>
      </c>
      <c r="B37" s="13" t="s">
        <v>68</v>
      </c>
      <c r="C37" s="10">
        <v>27</v>
      </c>
      <c r="D37" s="10" t="s">
        <v>15</v>
      </c>
      <c r="E37" s="11">
        <v>0</v>
      </c>
      <c r="F37" s="10">
        <f>C37*E37</f>
        <v>0</v>
      </c>
    </row>
    <row r="38" spans="1:6" x14ac:dyDescent="0.2">
      <c r="A38" s="12" t="s">
        <v>69</v>
      </c>
      <c r="B38" s="13" t="s">
        <v>70</v>
      </c>
      <c r="C38" s="10">
        <v>2</v>
      </c>
      <c r="D38" s="10" t="s">
        <v>33</v>
      </c>
      <c r="E38" s="11">
        <v>0</v>
      </c>
      <c r="F38" s="10">
        <f>C38*E38</f>
        <v>0</v>
      </c>
    </row>
    <row r="39" spans="1:6" x14ac:dyDescent="0.2">
      <c r="A39" s="12"/>
      <c r="B39" s="14" t="s">
        <v>71</v>
      </c>
      <c r="C39" s="7"/>
      <c r="D39" s="7"/>
      <c r="E39" s="7"/>
    </row>
    <row r="40" spans="1:6" ht="25.5" x14ac:dyDescent="0.2">
      <c r="A40" s="6" t="s">
        <v>72</v>
      </c>
      <c r="B40" s="9" t="s">
        <v>73</v>
      </c>
      <c r="C40" s="10">
        <v>1</v>
      </c>
      <c r="D40" s="10" t="s">
        <v>28</v>
      </c>
      <c r="E40" s="11">
        <v>0</v>
      </c>
      <c r="F40" s="10">
        <f>C40*E40</f>
        <v>0</v>
      </c>
    </row>
    <row r="41" spans="1:6" x14ac:dyDescent="0.2">
      <c r="B41" s="17" t="s">
        <v>6</v>
      </c>
      <c r="F41" s="18">
        <f>SUM(F2:F40)</f>
        <v>0</v>
      </c>
    </row>
  </sheetData>
  <mergeCells count="1">
    <mergeCell ref="A1:F1"/>
  </mergeCells>
  <pageMargins left="0.74803149606299213" right="0.74803149606299213" top="0.98425196850393704" bottom="0.98425196850393704" header="0.51181102362204722" footer="0.51181102362204722"/>
  <pageSetup scale="73" fitToHeight="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56BB845D-8BBB-4375-8B59-C2B686291B30}"/>
</file>

<file path=customXml/itemProps2.xml><?xml version="1.0" encoding="utf-8"?>
<ds:datastoreItem xmlns:ds="http://schemas.openxmlformats.org/officeDocument/2006/customXml" ds:itemID="{F0D28BAE-AA1E-4608-882D-5C6C21FA0D7E}"/>
</file>

<file path=customXml/itemProps3.xml><?xml version="1.0" encoding="utf-8"?>
<ds:datastoreItem xmlns:ds="http://schemas.openxmlformats.org/officeDocument/2006/customXml" ds:itemID="{339F77A5-4456-4445-9544-EF6F7F0DC4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T37-EXTERIOR 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Beatty</dc:creator>
  <cp:lastModifiedBy>Van Herwaarde, Robert</cp:lastModifiedBy>
  <cp:lastPrinted>2026-04-13T00:21:37Z</cp:lastPrinted>
  <dcterms:created xsi:type="dcterms:W3CDTF">2026-04-10T00:26:36Z</dcterms:created>
  <dcterms:modified xsi:type="dcterms:W3CDTF">2026-04-13T00:21:45Z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