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33\Rockhampton TAFE - ROK033 BoQ's\"/>
    </mc:Choice>
  </mc:AlternateContent>
  <xr:revisionPtr revIDLastSave="0" documentId="13_ncr:1_{52C5FEE4-8891-4B8D-8954-300C7FF9A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06-CONCRE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4" l="1"/>
  <c r="F72" i="4"/>
  <c r="F71" i="4"/>
  <c r="F70" i="4"/>
  <c r="F67" i="4"/>
  <c r="F64" i="4"/>
  <c r="F61" i="4"/>
  <c r="F59" i="4"/>
  <c r="F58" i="4"/>
  <c r="F56" i="4"/>
  <c r="F54" i="4"/>
  <c r="F52" i="4"/>
  <c r="F51" i="4"/>
  <c r="F48" i="4"/>
  <c r="F45" i="4"/>
  <c r="F43" i="4"/>
  <c r="F42" i="4"/>
  <c r="F40" i="4"/>
  <c r="F38" i="4"/>
  <c r="F34" i="4"/>
  <c r="F33" i="4"/>
  <c r="F31" i="4"/>
  <c r="F30" i="4"/>
  <c r="F29" i="4"/>
  <c r="F27" i="4"/>
  <c r="F26" i="4"/>
  <c r="F25" i="4"/>
  <c r="F22" i="4"/>
  <c r="F19" i="4"/>
  <c r="F18" i="4"/>
  <c r="F17" i="4"/>
  <c r="F15" i="4"/>
  <c r="F13" i="4"/>
  <c r="F11" i="4"/>
  <c r="F10" i="4"/>
  <c r="F75" i="4" s="1"/>
</calcChain>
</file>

<file path=xl/sharedStrings.xml><?xml version="1.0" encoding="utf-8"?>
<sst xmlns="http://schemas.openxmlformats.org/spreadsheetml/2006/main" count="156" uniqueCount="110">
  <si>
    <t>Code</t>
  </si>
  <si>
    <t>Description</t>
  </si>
  <si>
    <t>Total</t>
  </si>
  <si>
    <t>Quantity</t>
  </si>
  <si>
    <t>Unit</t>
  </si>
  <si>
    <t>Rate</t>
  </si>
  <si>
    <t>GENERAL CLARIFICATIONS</t>
  </si>
  <si>
    <t>Note</t>
  </si>
  <si>
    <t>m2</t>
  </si>
  <si>
    <t>m</t>
  </si>
  <si>
    <t>item</t>
  </si>
  <si>
    <t>ADDITIONAL SCOPE</t>
  </si>
  <si>
    <t>The Tenderer shall detail any additional scope of work and its associated costs which is believed to be not covered in the preceding measurement / items</t>
  </si>
  <si>
    <t>WORK MEASURED IN OTHER SECTIONS</t>
  </si>
  <si>
    <t>CONCRETE</t>
  </si>
  <si>
    <t>T06.1</t>
  </si>
  <si>
    <t>Generally refer drawing 00-ST-DR-A00-010-00-01 to 00-ST-DR-A00-010-00-03, 00-ST-DR-A00-020-00-01 and 33-ST-DR-GDL-510-00-00 to 33-ST-DR-Z00-900-00-0</t>
  </si>
  <si>
    <t>T06.2</t>
  </si>
  <si>
    <t>Tanking to lift pit and wash down walls included in T11 TANKING AND WATERPROOFING MEMBRANES</t>
  </si>
  <si>
    <t>T06.3</t>
  </si>
  <si>
    <t>Termite protection measured in T41 Pest Control</t>
  </si>
  <si>
    <t>DETAILED EXCAVATION</t>
  </si>
  <si>
    <t>Pit excavation</t>
  </si>
  <si>
    <t>T06.4</t>
  </si>
  <si>
    <t>Lift pit base</t>
  </si>
  <si>
    <t>m3</t>
  </si>
  <si>
    <t>T06.5</t>
  </si>
  <si>
    <t>Slab on ground</t>
  </si>
  <si>
    <t>Trench excavation</t>
  </si>
  <si>
    <t>T06.6</t>
  </si>
  <si>
    <t>Strip footing</t>
  </si>
  <si>
    <t>Disposal</t>
  </si>
  <si>
    <t>T06.7</t>
  </si>
  <si>
    <t>Disposal of surplus excavated materials</t>
  </si>
  <si>
    <t>Surface Preparation</t>
  </si>
  <si>
    <t>T06.8</t>
  </si>
  <si>
    <t>Bottom of lift pit base</t>
  </si>
  <si>
    <t>T06.9</t>
  </si>
  <si>
    <t>Bottom of strip footing</t>
  </si>
  <si>
    <t>T06.10</t>
  </si>
  <si>
    <t>Bottom of slab</t>
  </si>
  <si>
    <t>FILLING AND HARDCORE</t>
  </si>
  <si>
    <t>Backfill</t>
  </si>
  <si>
    <t>T06.11</t>
  </si>
  <si>
    <t>Approved compacted backfill, material to be confirmed</t>
  </si>
  <si>
    <t>Bedding Layer</t>
  </si>
  <si>
    <t>Sand Bed</t>
  </si>
  <si>
    <t>T06.12</t>
  </si>
  <si>
    <t>50mm thick sand bed to lift pit base</t>
  </si>
  <si>
    <t>T06.13</t>
  </si>
  <si>
    <t>50mm thick sand bed to strip footing</t>
  </si>
  <si>
    <t>T06.14</t>
  </si>
  <si>
    <t>50mm thick sand bed to slab on ground</t>
  </si>
  <si>
    <t>Sub-grade</t>
  </si>
  <si>
    <t>T06.15</t>
  </si>
  <si>
    <t>Approved sub-grade with approved thickness to lift pit base</t>
  </si>
  <si>
    <t>T06.16</t>
  </si>
  <si>
    <t>Approved sub-grade with approved thickness to Strip footing</t>
  </si>
  <si>
    <t>T06.17</t>
  </si>
  <si>
    <t>Approved sub-grade with approved thickness to slab on ground</t>
  </si>
  <si>
    <t>PAPER AND PLASTIC MEMBRANES</t>
  </si>
  <si>
    <t>T06.18</t>
  </si>
  <si>
    <t>0.2 mm Thick 'Fortecon' (or equal approved) damp proof membrane, horizontal, including laps and turn ups &lt; 500mm</t>
  </si>
  <si>
    <t>T06.19</t>
  </si>
  <si>
    <t>0.2 mm Thick 'Fortecon' (or equal approved) damp proof membrane, vertical, including horizontal breaks &lt; 500mm</t>
  </si>
  <si>
    <t>CONCRETE SUPPLY</t>
  </si>
  <si>
    <t>32Mpa Concrete</t>
  </si>
  <si>
    <t>Lift Pit</t>
  </si>
  <si>
    <t>T06.20</t>
  </si>
  <si>
    <t>Lift Pit raft base: PF4 - Size 3900x4800x600mm Deep :[19 m2]</t>
  </si>
  <si>
    <t>Strip Footing</t>
  </si>
  <si>
    <t>T06.21</t>
  </si>
  <si>
    <t>Strip Footing: SF1 - 600x400mm Deep :[4 m]</t>
  </si>
  <si>
    <t>Slab on Ground</t>
  </si>
  <si>
    <t>T06.22</t>
  </si>
  <si>
    <t>150mm thick slab on grade :[31 m2]</t>
  </si>
  <si>
    <t>T06.23</t>
  </si>
  <si>
    <t>450 x 150mm slab thickening to grade slab: ET1 :[25 m]</t>
  </si>
  <si>
    <t>Core Wall</t>
  </si>
  <si>
    <t>T06.24</t>
  </si>
  <si>
    <t>200mm thick Core Wall; CW200 :[23 m2]</t>
  </si>
  <si>
    <t>Mass Concrete</t>
  </si>
  <si>
    <t>Topping</t>
  </si>
  <si>
    <t>T06.25</t>
  </si>
  <si>
    <t>Allow for mass concrete to underside of existing footing; depth to be confirmed</t>
  </si>
  <si>
    <t>CONCRETE PLACE AND FINISH</t>
  </si>
  <si>
    <t>Generally</t>
  </si>
  <si>
    <t>T06.26</t>
  </si>
  <si>
    <t>Allow for concrete pumping</t>
  </si>
  <si>
    <t>T06.27</t>
  </si>
  <si>
    <t>Allow for concrete pumping: mass concrete to underside of existing footing; depth to be confirmed</t>
  </si>
  <si>
    <t>T06.28</t>
  </si>
  <si>
    <t>T06.29</t>
  </si>
  <si>
    <t>T06.30</t>
  </si>
  <si>
    <t>T06.31</t>
  </si>
  <si>
    <t>T06.32</t>
  </si>
  <si>
    <t>T06.33</t>
  </si>
  <si>
    <t>EXPANSION AND SIMILAR JOINTS</t>
  </si>
  <si>
    <t>Joints</t>
  </si>
  <si>
    <t>T06.34</t>
  </si>
  <si>
    <t>Joint; details to be confirmed</t>
  </si>
  <si>
    <t>INTEGRAL FINISHES</t>
  </si>
  <si>
    <t>Surface Finishes</t>
  </si>
  <si>
    <t>T06.35</t>
  </si>
  <si>
    <t>Approved surface finishes, Horizontal</t>
  </si>
  <si>
    <t>T06.36</t>
  </si>
  <si>
    <t>Approved surface finishes,vertical, exceeding 250mm, to wall, side of lift pit base and side of strip footing</t>
  </si>
  <si>
    <t>T06.37</t>
  </si>
  <si>
    <t>Approved surface finishes,0-250mm side</t>
  </si>
  <si>
    <t>T06.38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</si>
</sst>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Calibri"/>
    </font>
    <font>
      <b/>
      <sz val="12"/>
      <name val="Calibri"/>
    </font>
    <font>
      <b/>
      <sz val="10"/>
      <name val="Calibri"/>
    </font>
    <font>
      <sz val="8"/>
      <name val="Arial Unicode MS"/>
    </font>
    <font>
      <u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75"/>
  <sheetViews>
    <sheetView tabSelected="1" workbookViewId="0">
      <selection sqref="A1:XFD1048576"/>
    </sheetView>
  </sheetViews>
  <sheetFormatPr defaultColWidth="9.140625" defaultRowHeight="12.75"/>
  <cols>
    <col min="1" max="1" width="10.5703125" style="18" customWidth="1"/>
    <col min="2" max="2" width="70.5703125" style="21" customWidth="1"/>
    <col min="3" max="6" width="10.5703125" style="8" customWidth="1"/>
    <col min="7" max="16384" width="9.140625" style="2"/>
  </cols>
  <sheetData>
    <row r="1" spans="1:6" ht="15.75">
      <c r="A1" s="1" t="s">
        <v>14</v>
      </c>
      <c r="B1" s="1"/>
      <c r="C1" s="1"/>
      <c r="D1" s="1"/>
      <c r="E1" s="1"/>
      <c r="F1" s="1"/>
    </row>
    <row r="2" spans="1:6">
      <c r="A2" s="3" t="s">
        <v>0</v>
      </c>
      <c r="B2" s="4" t="s">
        <v>1</v>
      </c>
      <c r="C2" s="5" t="s">
        <v>3</v>
      </c>
      <c r="D2" s="5" t="s">
        <v>4</v>
      </c>
      <c r="E2" s="5" t="s">
        <v>5</v>
      </c>
      <c r="F2" s="5" t="s">
        <v>2</v>
      </c>
    </row>
    <row r="3" spans="1:6">
      <c r="A3" s="6"/>
      <c r="B3" s="4" t="s">
        <v>6</v>
      </c>
      <c r="C3" s="7"/>
      <c r="D3" s="7"/>
      <c r="E3" s="7"/>
    </row>
    <row r="4" spans="1:6" ht="25.5">
      <c r="A4" s="6" t="s">
        <v>15</v>
      </c>
      <c r="B4" s="9" t="s">
        <v>16</v>
      </c>
      <c r="C4" s="7"/>
      <c r="D4" s="7" t="s">
        <v>7</v>
      </c>
      <c r="E4" s="7"/>
    </row>
    <row r="5" spans="1:6">
      <c r="A5" s="6"/>
      <c r="B5" s="4" t="s">
        <v>13</v>
      </c>
      <c r="C5" s="7"/>
      <c r="D5" s="7"/>
      <c r="E5" s="7"/>
    </row>
    <row r="6" spans="1:6" ht="25.5">
      <c r="A6" s="6" t="s">
        <v>17</v>
      </c>
      <c r="B6" s="9" t="s">
        <v>18</v>
      </c>
      <c r="C6" s="7"/>
      <c r="D6" s="7" t="s">
        <v>7</v>
      </c>
      <c r="E6" s="7"/>
    </row>
    <row r="7" spans="1:6">
      <c r="A7" s="6" t="s">
        <v>19</v>
      </c>
      <c r="B7" s="9" t="s">
        <v>20</v>
      </c>
      <c r="C7" s="7"/>
      <c r="D7" s="7" t="s">
        <v>7</v>
      </c>
      <c r="E7" s="7"/>
    </row>
    <row r="8" spans="1:6">
      <c r="A8" s="6"/>
      <c r="B8" s="4" t="s">
        <v>21</v>
      </c>
      <c r="C8" s="7"/>
      <c r="D8" s="7"/>
      <c r="E8" s="7"/>
    </row>
    <row r="9" spans="1:6">
      <c r="A9" s="6"/>
      <c r="B9" s="4" t="s">
        <v>22</v>
      </c>
      <c r="C9" s="7"/>
      <c r="D9" s="7"/>
      <c r="E9" s="7"/>
    </row>
    <row r="10" spans="1:6">
      <c r="A10" s="6" t="s">
        <v>23</v>
      </c>
      <c r="B10" s="9" t="s">
        <v>24</v>
      </c>
      <c r="C10" s="10">
        <v>46</v>
      </c>
      <c r="D10" s="10" t="s">
        <v>25</v>
      </c>
      <c r="E10" s="11">
        <v>0</v>
      </c>
      <c r="F10" s="10">
        <f>C10*E10</f>
        <v>0</v>
      </c>
    </row>
    <row r="11" spans="1:6">
      <c r="A11" s="12" t="s">
        <v>26</v>
      </c>
      <c r="B11" s="13" t="s">
        <v>27</v>
      </c>
      <c r="C11" s="10">
        <v>5</v>
      </c>
      <c r="D11" s="10" t="s">
        <v>25</v>
      </c>
      <c r="E11" s="11">
        <v>0</v>
      </c>
      <c r="F11" s="10">
        <f>C11*E11</f>
        <v>0</v>
      </c>
    </row>
    <row r="12" spans="1:6">
      <c r="A12" s="12"/>
      <c r="B12" s="14" t="s">
        <v>28</v>
      </c>
      <c r="C12" s="7"/>
      <c r="D12" s="7"/>
      <c r="E12" s="7"/>
    </row>
    <row r="13" spans="1:6">
      <c r="A13" s="6" t="s">
        <v>29</v>
      </c>
      <c r="B13" s="9" t="s">
        <v>30</v>
      </c>
      <c r="C13" s="10">
        <v>1</v>
      </c>
      <c r="D13" s="10" t="s">
        <v>25</v>
      </c>
      <c r="E13" s="11">
        <v>0</v>
      </c>
      <c r="F13" s="10">
        <f>C13*E13</f>
        <v>0</v>
      </c>
    </row>
    <row r="14" spans="1:6">
      <c r="A14" s="12"/>
      <c r="B14" s="14" t="s">
        <v>31</v>
      </c>
      <c r="C14" s="7"/>
      <c r="D14" s="7"/>
      <c r="E14" s="7"/>
    </row>
    <row r="15" spans="1:6">
      <c r="A15" s="6" t="s">
        <v>32</v>
      </c>
      <c r="B15" s="9" t="s">
        <v>33</v>
      </c>
      <c r="C15" s="10">
        <v>72.8</v>
      </c>
      <c r="D15" s="10" t="s">
        <v>25</v>
      </c>
      <c r="E15" s="11">
        <v>0</v>
      </c>
      <c r="F15" s="10">
        <f>C15*E15</f>
        <v>0</v>
      </c>
    </row>
    <row r="16" spans="1:6">
      <c r="A16" s="12"/>
      <c r="B16" s="14" t="s">
        <v>34</v>
      </c>
      <c r="C16" s="7"/>
      <c r="D16" s="7"/>
      <c r="E16" s="7"/>
    </row>
    <row r="17" spans="1:6">
      <c r="A17" s="6" t="s">
        <v>35</v>
      </c>
      <c r="B17" s="9" t="s">
        <v>36</v>
      </c>
      <c r="C17" s="10">
        <v>19</v>
      </c>
      <c r="D17" s="10" t="s">
        <v>8</v>
      </c>
      <c r="E17" s="11">
        <v>0</v>
      </c>
      <c r="F17" s="10">
        <f>C17*E17</f>
        <v>0</v>
      </c>
    </row>
    <row r="18" spans="1:6">
      <c r="A18" s="12" t="s">
        <v>37</v>
      </c>
      <c r="B18" s="13" t="s">
        <v>38</v>
      </c>
      <c r="C18" s="10">
        <v>2</v>
      </c>
      <c r="D18" s="10" t="s">
        <v>8</v>
      </c>
      <c r="E18" s="11">
        <v>0</v>
      </c>
      <c r="F18" s="10">
        <f>C18*E18</f>
        <v>0</v>
      </c>
    </row>
    <row r="19" spans="1:6">
      <c r="A19" s="12" t="s">
        <v>39</v>
      </c>
      <c r="B19" s="13" t="s">
        <v>40</v>
      </c>
      <c r="C19" s="10">
        <v>31</v>
      </c>
      <c r="D19" s="10" t="s">
        <v>8</v>
      </c>
      <c r="E19" s="11">
        <v>0</v>
      </c>
      <c r="F19" s="10">
        <f>C19*E19</f>
        <v>0</v>
      </c>
    </row>
    <row r="20" spans="1:6">
      <c r="A20" s="12"/>
      <c r="B20" s="14" t="s">
        <v>41</v>
      </c>
      <c r="C20" s="7"/>
      <c r="D20" s="7"/>
      <c r="E20" s="7"/>
    </row>
    <row r="21" spans="1:6">
      <c r="A21" s="6"/>
      <c r="B21" s="4" t="s">
        <v>42</v>
      </c>
      <c r="C21" s="7"/>
      <c r="D21" s="7"/>
      <c r="E21" s="7"/>
    </row>
    <row r="22" spans="1:6">
      <c r="A22" s="6" t="s">
        <v>43</v>
      </c>
      <c r="B22" s="9" t="s">
        <v>44</v>
      </c>
      <c r="C22" s="10">
        <v>12</v>
      </c>
      <c r="D22" s="10" t="s">
        <v>25</v>
      </c>
      <c r="E22" s="11">
        <v>0</v>
      </c>
      <c r="F22" s="10">
        <f>C22*E22</f>
        <v>0</v>
      </c>
    </row>
    <row r="23" spans="1:6">
      <c r="A23" s="12"/>
      <c r="B23" s="14" t="s">
        <v>45</v>
      </c>
      <c r="C23" s="7"/>
      <c r="D23" s="7"/>
      <c r="E23" s="7"/>
    </row>
    <row r="24" spans="1:6">
      <c r="A24" s="6"/>
      <c r="B24" s="4" t="s">
        <v>46</v>
      </c>
      <c r="C24" s="7"/>
      <c r="D24" s="7"/>
      <c r="E24" s="7"/>
    </row>
    <row r="25" spans="1:6">
      <c r="A25" s="6" t="s">
        <v>47</v>
      </c>
      <c r="B25" s="9" t="s">
        <v>48</v>
      </c>
      <c r="C25" s="10">
        <v>19</v>
      </c>
      <c r="D25" s="10" t="s">
        <v>8</v>
      </c>
      <c r="E25" s="11">
        <v>0</v>
      </c>
      <c r="F25" s="10">
        <f>C25*E25</f>
        <v>0</v>
      </c>
    </row>
    <row r="26" spans="1:6">
      <c r="A26" s="12" t="s">
        <v>49</v>
      </c>
      <c r="B26" s="13" t="s">
        <v>50</v>
      </c>
      <c r="C26" s="10">
        <v>2</v>
      </c>
      <c r="D26" s="10" t="s">
        <v>8</v>
      </c>
      <c r="E26" s="11">
        <v>0</v>
      </c>
      <c r="F26" s="10">
        <f>C26*E26</f>
        <v>0</v>
      </c>
    </row>
    <row r="27" spans="1:6">
      <c r="A27" s="12" t="s">
        <v>51</v>
      </c>
      <c r="B27" s="13" t="s">
        <v>52</v>
      </c>
      <c r="C27" s="10">
        <v>31</v>
      </c>
      <c r="D27" s="10" t="s">
        <v>8</v>
      </c>
      <c r="E27" s="11">
        <v>0</v>
      </c>
      <c r="F27" s="10">
        <f>C27*E27</f>
        <v>0</v>
      </c>
    </row>
    <row r="28" spans="1:6">
      <c r="A28" s="12"/>
      <c r="B28" s="14" t="s">
        <v>53</v>
      </c>
      <c r="C28" s="7"/>
      <c r="D28" s="7"/>
      <c r="E28" s="7"/>
    </row>
    <row r="29" spans="1:6">
      <c r="A29" s="6" t="s">
        <v>54</v>
      </c>
      <c r="B29" s="9" t="s">
        <v>55</v>
      </c>
      <c r="C29" s="10">
        <v>19</v>
      </c>
      <c r="D29" s="10" t="s">
        <v>8</v>
      </c>
      <c r="E29" s="11">
        <v>0</v>
      </c>
      <c r="F29" s="10">
        <f>C29*E29</f>
        <v>0</v>
      </c>
    </row>
    <row r="30" spans="1:6">
      <c r="A30" s="12" t="s">
        <v>56</v>
      </c>
      <c r="B30" s="13" t="s">
        <v>57</v>
      </c>
      <c r="C30" s="10">
        <v>2</v>
      </c>
      <c r="D30" s="10" t="s">
        <v>8</v>
      </c>
      <c r="E30" s="11">
        <v>0</v>
      </c>
      <c r="F30" s="10">
        <f>C30*E30</f>
        <v>0</v>
      </c>
    </row>
    <row r="31" spans="1:6">
      <c r="A31" s="12" t="s">
        <v>58</v>
      </c>
      <c r="B31" s="13" t="s">
        <v>59</v>
      </c>
      <c r="C31" s="10">
        <v>31</v>
      </c>
      <c r="D31" s="10" t="s">
        <v>8</v>
      </c>
      <c r="E31" s="11">
        <v>0</v>
      </c>
      <c r="F31" s="10">
        <f>C31*E31</f>
        <v>0</v>
      </c>
    </row>
    <row r="32" spans="1:6">
      <c r="A32" s="12"/>
      <c r="B32" s="14" t="s">
        <v>60</v>
      </c>
      <c r="C32" s="7"/>
      <c r="D32" s="7"/>
      <c r="E32" s="7"/>
    </row>
    <row r="33" spans="1:6" ht="25.5">
      <c r="A33" s="6" t="s">
        <v>61</v>
      </c>
      <c r="B33" s="9" t="s">
        <v>62</v>
      </c>
      <c r="C33" s="10">
        <v>52</v>
      </c>
      <c r="D33" s="10" t="s">
        <v>8</v>
      </c>
      <c r="E33" s="11">
        <v>0</v>
      </c>
      <c r="F33" s="10">
        <f>C33*E33</f>
        <v>0</v>
      </c>
    </row>
    <row r="34" spans="1:6" ht="25.5">
      <c r="A34" s="12" t="s">
        <v>63</v>
      </c>
      <c r="B34" s="13" t="s">
        <v>64</v>
      </c>
      <c r="C34" s="10">
        <v>36</v>
      </c>
      <c r="D34" s="10" t="s">
        <v>8</v>
      </c>
      <c r="E34" s="11">
        <v>0</v>
      </c>
      <c r="F34" s="10">
        <f>C34*E34</f>
        <v>0</v>
      </c>
    </row>
    <row r="35" spans="1:6">
      <c r="A35" s="12"/>
      <c r="B35" s="14" t="s">
        <v>65</v>
      </c>
      <c r="C35" s="7"/>
      <c r="D35" s="7"/>
      <c r="E35" s="7"/>
    </row>
    <row r="36" spans="1:6">
      <c r="A36" s="6"/>
      <c r="B36" s="4" t="s">
        <v>66</v>
      </c>
      <c r="C36" s="7"/>
      <c r="D36" s="7"/>
      <c r="E36" s="7"/>
    </row>
    <row r="37" spans="1:6">
      <c r="A37" s="6"/>
      <c r="B37" s="15" t="s">
        <v>67</v>
      </c>
      <c r="C37" s="7"/>
      <c r="D37" s="7"/>
      <c r="E37" s="7"/>
    </row>
    <row r="38" spans="1:6">
      <c r="A38" s="6" t="s">
        <v>68</v>
      </c>
      <c r="B38" s="9" t="s">
        <v>69</v>
      </c>
      <c r="C38" s="10">
        <v>12</v>
      </c>
      <c r="D38" s="10" t="s">
        <v>25</v>
      </c>
      <c r="E38" s="11">
        <v>0</v>
      </c>
      <c r="F38" s="16">
        <f>C38*E38</f>
        <v>0</v>
      </c>
    </row>
    <row r="39" spans="1:6">
      <c r="A39" s="12"/>
      <c r="B39" s="17" t="s">
        <v>70</v>
      </c>
      <c r="C39" s="7"/>
      <c r="D39" s="7"/>
      <c r="E39" s="7"/>
    </row>
    <row r="40" spans="1:6">
      <c r="A40" s="6" t="s">
        <v>71</v>
      </c>
      <c r="B40" s="9" t="s">
        <v>72</v>
      </c>
      <c r="C40" s="10">
        <v>1</v>
      </c>
      <c r="D40" s="10" t="s">
        <v>25</v>
      </c>
      <c r="E40" s="11">
        <v>0</v>
      </c>
      <c r="F40" s="16">
        <f>C40*E40</f>
        <v>0</v>
      </c>
    </row>
    <row r="41" spans="1:6">
      <c r="A41" s="12"/>
      <c r="B41" s="17" t="s">
        <v>73</v>
      </c>
      <c r="C41" s="7"/>
      <c r="D41" s="7"/>
      <c r="E41" s="7"/>
    </row>
    <row r="42" spans="1:6">
      <c r="A42" s="6" t="s">
        <v>74</v>
      </c>
      <c r="B42" s="9" t="s">
        <v>75</v>
      </c>
      <c r="C42" s="10">
        <v>5</v>
      </c>
      <c r="D42" s="10" t="s">
        <v>25</v>
      </c>
      <c r="E42" s="11">
        <v>0</v>
      </c>
      <c r="F42" s="16">
        <f>C42*E42</f>
        <v>0</v>
      </c>
    </row>
    <row r="43" spans="1:6">
      <c r="A43" s="12" t="s">
        <v>76</v>
      </c>
      <c r="B43" s="13" t="s">
        <v>77</v>
      </c>
      <c r="C43" s="10">
        <v>2</v>
      </c>
      <c r="D43" s="10" t="s">
        <v>25</v>
      </c>
      <c r="E43" s="11">
        <v>0</v>
      </c>
      <c r="F43" s="16">
        <f>C43*E43</f>
        <v>0</v>
      </c>
    </row>
    <row r="44" spans="1:6">
      <c r="A44" s="12"/>
      <c r="B44" s="17" t="s">
        <v>78</v>
      </c>
      <c r="C44" s="7"/>
      <c r="D44" s="7"/>
      <c r="E44" s="7"/>
    </row>
    <row r="45" spans="1:6">
      <c r="A45" s="6" t="s">
        <v>79</v>
      </c>
      <c r="B45" s="9" t="s">
        <v>80</v>
      </c>
      <c r="C45" s="10">
        <v>5</v>
      </c>
      <c r="D45" s="10" t="s">
        <v>25</v>
      </c>
      <c r="E45" s="11">
        <v>0</v>
      </c>
      <c r="F45" s="16">
        <f>C45*E45</f>
        <v>0</v>
      </c>
    </row>
    <row r="46" spans="1:6">
      <c r="A46" s="12"/>
      <c r="B46" s="14" t="s">
        <v>81</v>
      </c>
      <c r="C46" s="7"/>
      <c r="D46" s="7"/>
      <c r="E46" s="7"/>
    </row>
    <row r="47" spans="1:6">
      <c r="A47" s="6"/>
      <c r="B47" s="15" t="s">
        <v>82</v>
      </c>
      <c r="C47" s="7"/>
      <c r="D47" s="7"/>
      <c r="E47" s="7"/>
    </row>
    <row r="48" spans="1:6">
      <c r="A48" s="6" t="s">
        <v>83</v>
      </c>
      <c r="B48" s="9" t="s">
        <v>84</v>
      </c>
      <c r="C48" s="10">
        <v>19</v>
      </c>
      <c r="D48" s="10" t="s">
        <v>8</v>
      </c>
      <c r="E48" s="11">
        <v>0</v>
      </c>
      <c r="F48" s="10">
        <f>C48*E48</f>
        <v>0</v>
      </c>
    </row>
    <row r="49" spans="1:6">
      <c r="A49" s="12"/>
      <c r="B49" s="14" t="s">
        <v>85</v>
      </c>
      <c r="C49" s="7"/>
      <c r="D49" s="7"/>
      <c r="E49" s="7"/>
    </row>
    <row r="50" spans="1:6">
      <c r="A50" s="6"/>
      <c r="B50" s="15" t="s">
        <v>86</v>
      </c>
      <c r="C50" s="7"/>
      <c r="D50" s="7"/>
      <c r="E50" s="7"/>
    </row>
    <row r="51" spans="1:6">
      <c r="A51" s="6" t="s">
        <v>87</v>
      </c>
      <c r="B51" s="9" t="s">
        <v>88</v>
      </c>
      <c r="C51" s="10">
        <v>25</v>
      </c>
      <c r="D51" s="10" t="s">
        <v>25</v>
      </c>
      <c r="E51" s="11">
        <v>0</v>
      </c>
      <c r="F51" s="10">
        <f>C51*E51</f>
        <v>0</v>
      </c>
    </row>
    <row r="52" spans="1:6" ht="25.5">
      <c r="A52" s="12" t="s">
        <v>89</v>
      </c>
      <c r="B52" s="13" t="s">
        <v>90</v>
      </c>
      <c r="C52" s="10">
        <v>19</v>
      </c>
      <c r="D52" s="10" t="s">
        <v>8</v>
      </c>
      <c r="E52" s="11">
        <v>0</v>
      </c>
      <c r="F52" s="10">
        <f>C52*E52</f>
        <v>0</v>
      </c>
    </row>
    <row r="53" spans="1:6">
      <c r="A53" s="12"/>
      <c r="B53" s="17" t="s">
        <v>67</v>
      </c>
      <c r="C53" s="7"/>
      <c r="D53" s="7"/>
      <c r="E53" s="7"/>
    </row>
    <row r="54" spans="1:6">
      <c r="A54" s="6" t="s">
        <v>91</v>
      </c>
      <c r="B54" s="9" t="s">
        <v>69</v>
      </c>
      <c r="C54" s="10">
        <v>12</v>
      </c>
      <c r="D54" s="10" t="s">
        <v>25</v>
      </c>
      <c r="E54" s="11">
        <v>0</v>
      </c>
      <c r="F54" s="10">
        <f>C54*E54</f>
        <v>0</v>
      </c>
    </row>
    <row r="55" spans="1:6">
      <c r="A55" s="12"/>
      <c r="B55" s="17" t="s">
        <v>70</v>
      </c>
      <c r="C55" s="7"/>
      <c r="D55" s="7"/>
      <c r="E55" s="7"/>
    </row>
    <row r="56" spans="1:6">
      <c r="A56" s="6" t="s">
        <v>92</v>
      </c>
      <c r="B56" s="9" t="s">
        <v>72</v>
      </c>
      <c r="C56" s="10">
        <v>1</v>
      </c>
      <c r="D56" s="10" t="s">
        <v>25</v>
      </c>
      <c r="E56" s="11">
        <v>0</v>
      </c>
      <c r="F56" s="10">
        <f>C56*E56</f>
        <v>0</v>
      </c>
    </row>
    <row r="57" spans="1:6">
      <c r="A57" s="12"/>
      <c r="B57" s="17" t="s">
        <v>73</v>
      </c>
      <c r="C57" s="7"/>
      <c r="D57" s="7"/>
      <c r="E57" s="7"/>
    </row>
    <row r="58" spans="1:6">
      <c r="A58" s="6" t="s">
        <v>93</v>
      </c>
      <c r="B58" s="9" t="s">
        <v>75</v>
      </c>
      <c r="C58" s="10">
        <v>5</v>
      </c>
      <c r="D58" s="10" t="s">
        <v>25</v>
      </c>
      <c r="E58" s="11">
        <v>0</v>
      </c>
      <c r="F58" s="10">
        <f>C58*E58</f>
        <v>0</v>
      </c>
    </row>
    <row r="59" spans="1:6">
      <c r="A59" s="12" t="s">
        <v>94</v>
      </c>
      <c r="B59" s="13" t="s">
        <v>77</v>
      </c>
      <c r="C59" s="10">
        <v>2</v>
      </c>
      <c r="D59" s="10" t="s">
        <v>25</v>
      </c>
      <c r="E59" s="11">
        <v>0</v>
      </c>
      <c r="F59" s="10">
        <f>C59*E59</f>
        <v>0</v>
      </c>
    </row>
    <row r="60" spans="1:6">
      <c r="A60" s="12"/>
      <c r="B60" s="17" t="s">
        <v>78</v>
      </c>
      <c r="C60" s="7"/>
      <c r="D60" s="7"/>
      <c r="E60" s="7"/>
    </row>
    <row r="61" spans="1:6">
      <c r="A61" s="6" t="s">
        <v>95</v>
      </c>
      <c r="B61" s="9" t="s">
        <v>80</v>
      </c>
      <c r="C61" s="10">
        <v>5</v>
      </c>
      <c r="D61" s="10" t="s">
        <v>25</v>
      </c>
      <c r="E61" s="11">
        <v>0</v>
      </c>
      <c r="F61" s="10">
        <f>C61*E61</f>
        <v>0</v>
      </c>
    </row>
    <row r="62" spans="1:6">
      <c r="A62" s="12"/>
      <c r="B62" s="14" t="s">
        <v>81</v>
      </c>
      <c r="C62" s="7"/>
      <c r="D62" s="7"/>
      <c r="E62" s="7"/>
    </row>
    <row r="63" spans="1:6">
      <c r="A63" s="6"/>
      <c r="B63" s="15" t="s">
        <v>82</v>
      </c>
      <c r="C63" s="7"/>
      <c r="D63" s="7"/>
      <c r="E63" s="7"/>
    </row>
    <row r="64" spans="1:6">
      <c r="A64" s="6" t="s">
        <v>96</v>
      </c>
      <c r="B64" s="9" t="s">
        <v>84</v>
      </c>
      <c r="C64" s="10">
        <v>19</v>
      </c>
      <c r="D64" s="10" t="s">
        <v>8</v>
      </c>
      <c r="E64" s="11">
        <v>0</v>
      </c>
      <c r="F64" s="10">
        <f>C64*E64</f>
        <v>0</v>
      </c>
    </row>
    <row r="65" spans="1:6">
      <c r="A65" s="12"/>
      <c r="B65" s="14" t="s">
        <v>97</v>
      </c>
      <c r="C65" s="7"/>
      <c r="D65" s="7"/>
      <c r="E65" s="7"/>
    </row>
    <row r="66" spans="1:6">
      <c r="A66" s="6"/>
      <c r="B66" s="15" t="s">
        <v>98</v>
      </c>
      <c r="C66" s="7"/>
      <c r="D66" s="7"/>
      <c r="E66" s="7"/>
    </row>
    <row r="67" spans="1:6">
      <c r="A67" s="6" t="s">
        <v>99</v>
      </c>
      <c r="B67" s="9" t="s">
        <v>100</v>
      </c>
      <c r="C67" s="10">
        <v>1</v>
      </c>
      <c r="D67" s="10" t="s">
        <v>10</v>
      </c>
      <c r="E67" s="11">
        <v>0</v>
      </c>
      <c r="F67" s="10">
        <f>C67*E67</f>
        <v>0</v>
      </c>
    </row>
    <row r="68" spans="1:6">
      <c r="A68" s="12"/>
      <c r="B68" s="14" t="s">
        <v>101</v>
      </c>
      <c r="C68" s="7"/>
      <c r="D68" s="7"/>
      <c r="E68" s="7"/>
    </row>
    <row r="69" spans="1:6">
      <c r="A69" s="6"/>
      <c r="B69" s="15" t="s">
        <v>102</v>
      </c>
      <c r="C69" s="7"/>
      <c r="D69" s="7"/>
      <c r="E69" s="7"/>
    </row>
    <row r="70" spans="1:6">
      <c r="A70" s="6" t="s">
        <v>103</v>
      </c>
      <c r="B70" s="9" t="s">
        <v>104</v>
      </c>
      <c r="C70" s="10">
        <v>52</v>
      </c>
      <c r="D70" s="10" t="s">
        <v>8</v>
      </c>
      <c r="E70" s="11">
        <v>0</v>
      </c>
      <c r="F70" s="16">
        <f>C70*E70</f>
        <v>0</v>
      </c>
    </row>
    <row r="71" spans="1:6" ht="25.5">
      <c r="A71" s="12" t="s">
        <v>105</v>
      </c>
      <c r="B71" s="13" t="s">
        <v>106</v>
      </c>
      <c r="C71" s="10">
        <v>58</v>
      </c>
      <c r="D71" s="10" t="s">
        <v>8</v>
      </c>
      <c r="E71" s="11">
        <v>0</v>
      </c>
      <c r="F71" s="16">
        <f>C71*E71</f>
        <v>0</v>
      </c>
    </row>
    <row r="72" spans="1:6">
      <c r="A72" s="12" t="s">
        <v>107</v>
      </c>
      <c r="B72" s="13" t="s">
        <v>108</v>
      </c>
      <c r="C72" s="10">
        <v>50</v>
      </c>
      <c r="D72" s="10" t="s">
        <v>9</v>
      </c>
      <c r="E72" s="11">
        <v>0</v>
      </c>
      <c r="F72" s="16">
        <f>C72*E72</f>
        <v>0</v>
      </c>
    </row>
    <row r="73" spans="1:6">
      <c r="A73" s="12"/>
      <c r="B73" s="14" t="s">
        <v>11</v>
      </c>
      <c r="C73" s="7"/>
      <c r="D73" s="7"/>
      <c r="E73" s="7"/>
    </row>
    <row r="74" spans="1:6" ht="25.5">
      <c r="A74" s="6" t="s">
        <v>109</v>
      </c>
      <c r="B74" s="9" t="s">
        <v>12</v>
      </c>
      <c r="C74" s="10">
        <v>1</v>
      </c>
      <c r="D74" s="10" t="s">
        <v>10</v>
      </c>
      <c r="E74" s="11">
        <v>0</v>
      </c>
      <c r="F74" s="10">
        <f>C74*E74</f>
        <v>0</v>
      </c>
    </row>
    <row r="75" spans="1:6">
      <c r="B75" s="19" t="s">
        <v>2</v>
      </c>
      <c r="F75" s="20">
        <f>SUM(F2:F74)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6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51050F79-5539-4549-8F0B-CF33D89E6A7D}"/>
</file>

<file path=customXml/itemProps2.xml><?xml version="1.0" encoding="utf-8"?>
<ds:datastoreItem xmlns:ds="http://schemas.openxmlformats.org/officeDocument/2006/customXml" ds:itemID="{9B5842BB-2F61-4C40-88A6-680AA2837FD4}"/>
</file>

<file path=customXml/itemProps3.xml><?xml version="1.0" encoding="utf-8"?>
<ds:datastoreItem xmlns:ds="http://schemas.openxmlformats.org/officeDocument/2006/customXml" ds:itemID="{C07F3429-E574-4B17-B724-486F4FECB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T06-CONCRETE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Herwaarde, Robert</cp:lastModifiedBy>
  <cp:lastPrinted>2026-04-12T22:50:45Z</cp:lastPrinted>
  <dcterms:modified xsi:type="dcterms:W3CDTF">2026-04-12T22:50:46Z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