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N:\Estimating\3. Tenders\2. Current\Q1849 Rocky TAFE Consoli\BOQ\Building 76\"/>
    </mc:Choice>
  </mc:AlternateContent>
  <xr:revisionPtr revIDLastSave="0" documentId="13_ncr:1_{CC51CAD3-2B21-4264-A1F5-3319A1991108}" xr6:coauthVersionLast="47" xr6:coauthVersionMax="47" xr10:uidLastSave="{00000000-0000-0000-0000-000000000000}"/>
  <bookViews>
    <workbookView xWindow="-120" yWindow="-120" windowWidth="29040" windowHeight="15720" xr2:uid="{54D8DB73-0001-496C-A3C6-F06868B0C54F}"/>
  </bookViews>
  <sheets>
    <sheet name="T06-CONCRE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4" i="1" l="1"/>
  <c r="F43" i="1"/>
  <c r="F41" i="1"/>
  <c r="F40" i="1"/>
  <c r="F39" i="1"/>
  <c r="F36" i="1"/>
  <c r="F33" i="1"/>
  <c r="F31" i="1"/>
  <c r="F28" i="1"/>
  <c r="F24" i="1"/>
  <c r="F23" i="1"/>
  <c r="F21" i="1"/>
  <c r="F19" i="1"/>
  <c r="F15" i="1"/>
  <c r="F13" i="1"/>
  <c r="F11" i="1"/>
</calcChain>
</file>

<file path=xl/sharedStrings.xml><?xml version="1.0" encoding="utf-8"?>
<sst xmlns="http://schemas.openxmlformats.org/spreadsheetml/2006/main" count="87" uniqueCount="70">
  <si>
    <t>CONCRETE</t>
  </si>
  <si>
    <t>Code</t>
  </si>
  <si>
    <t>Description</t>
  </si>
  <si>
    <t>Quantity</t>
  </si>
  <si>
    <t>Unit</t>
  </si>
  <si>
    <t>Rate</t>
  </si>
  <si>
    <t>Total</t>
  </si>
  <si>
    <t>GENERAL CLARIFICATIONS</t>
  </si>
  <si>
    <t>T06.1</t>
  </si>
  <si>
    <t>Refer drawing CQU-ROK-076-GN-ARC-23-01</t>
  </si>
  <si>
    <t>Note</t>
  </si>
  <si>
    <t>WORK MEASURED IN OTHER SECTIONS</t>
  </si>
  <si>
    <t>T06.2</t>
  </si>
  <si>
    <t>Termite protection measured in T41 Pest Control</t>
  </si>
  <si>
    <t>T06.3</t>
  </si>
  <si>
    <t>Blinding concrete has been assumed at 50mm thickness in the absence of detailed information and has been measured accordingly. This shall be subject to verification and adjustment based on final design details.</t>
  </si>
  <si>
    <t>T06.4</t>
  </si>
  <si>
    <t>Slab on ground thickness has not been specified; therefore, an assumed thickness of 150mm with 32 MPa concrete has been adopted for measurement purposes. This is subject to confirmation and adjustment upon receipt of final structural details.</t>
  </si>
  <si>
    <t>DETAILED EXCAVATION</t>
  </si>
  <si>
    <t>Pit excavation</t>
  </si>
  <si>
    <t>T06.5</t>
  </si>
  <si>
    <t>Slab on ground</t>
  </si>
  <si>
    <t>m3</t>
  </si>
  <si>
    <t>Disposal</t>
  </si>
  <si>
    <t>T06.6</t>
  </si>
  <si>
    <t>Disposal of surplus excavated materials</t>
  </si>
  <si>
    <t>Surface Preparation</t>
  </si>
  <si>
    <t>T06.7</t>
  </si>
  <si>
    <t>Bottom of Slab</t>
  </si>
  <si>
    <t>m2</t>
  </si>
  <si>
    <t>FILLING AND HARDCORE</t>
  </si>
  <si>
    <t>Bedding Layer</t>
  </si>
  <si>
    <t>Sand Bed</t>
  </si>
  <si>
    <t>T06.8</t>
  </si>
  <si>
    <t>50mm thick sand bed to Slab on ground</t>
  </si>
  <si>
    <t>Sub-grade</t>
  </si>
  <si>
    <t>T06.9</t>
  </si>
  <si>
    <t>Approved Sub-grade with approved thickness to Slab on ground</t>
  </si>
  <si>
    <t>PAPER AND PLASTIC MEMBRANES</t>
  </si>
  <si>
    <t>T06.10</t>
  </si>
  <si>
    <t>0.2 mm Thick 'Fortecon' (or equal approved) damp proof membrane, horizontal, including laps and turn ups &lt; 500mm</t>
  </si>
  <si>
    <t>T06.11</t>
  </si>
  <si>
    <t>0.2 mm Thick 'Fortecon' (or equal approved) damp proof membrane, vertical, including horizontal breaks &lt; 500mm</t>
  </si>
  <si>
    <t>CONCRETE SUPPLY</t>
  </si>
  <si>
    <t>32Mpa Concrete</t>
  </si>
  <si>
    <t>Slab on Ground</t>
  </si>
  <si>
    <t>T06.12</t>
  </si>
  <si>
    <t>Assumed, 150mm thick slab on ground :[441 m2]</t>
  </si>
  <si>
    <t>CONCRETE PLACE AND FINISH</t>
  </si>
  <si>
    <t>Generally</t>
  </si>
  <si>
    <t>T06.13</t>
  </si>
  <si>
    <t>Allow for concrete pumping</t>
  </si>
  <si>
    <t>T06.14</t>
  </si>
  <si>
    <t>EXPANSION AND SIMILAR JOINTS</t>
  </si>
  <si>
    <t>Joints</t>
  </si>
  <si>
    <t>T06.15</t>
  </si>
  <si>
    <t>Joint; details to be confirmed</t>
  </si>
  <si>
    <t>item</t>
  </si>
  <si>
    <t>INTEGRAL FINISHES</t>
  </si>
  <si>
    <t>Surface Finishes</t>
  </si>
  <si>
    <t>T06.16</t>
  </si>
  <si>
    <t>Approved surface finishes, Horizontal; to slab on ground</t>
  </si>
  <si>
    <t>T06.17</t>
  </si>
  <si>
    <t>Broom finish, Horizontal; to slab on ground</t>
  </si>
  <si>
    <t>T06.18</t>
  </si>
  <si>
    <t>Approved surface finishes,0-250mm side</t>
  </si>
  <si>
    <t>m</t>
  </si>
  <si>
    <t>ADDITIONAL SCOPE</t>
  </si>
  <si>
    <t>T06.19</t>
  </si>
  <si>
    <t>The Tenderer shall detail any additional scope of work and its associated costs which is believed to be not covered in the preceding measurement /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</si>
</sst>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b/>
      <sz val="12"/>
      <name val="Calibri"/>
    </font>
    <font>
      <b/>
      <sz val="10"/>
      <name val="Calibri"/>
    </font>
    <font>
      <sz val="10"/>
      <name val="Calibri"/>
    </font>
    <font>
      <u/>
      <sz val="10"/>
      <name val="Calibri"/>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center"/>
    </xf>
    <xf numFmtId="0" fontId="0" fillId="0" borderId="1" xfId="0" applyBorder="1" applyAlignment="1">
      <alignmen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0" fillId="0" borderId="1" xfId="0" applyBorder="1" applyAlignment="1">
      <alignment horizontal="center" vertical="center"/>
    </xf>
    <xf numFmtId="0" fontId="3" fillId="0" borderId="1" xfId="0" applyFont="1" applyBorder="1" applyAlignment="1">
      <alignment horizontal="left" vertical="center" wrapText="1"/>
    </xf>
    <xf numFmtId="3" fontId="3" fillId="0" borderId="1" xfId="0" applyNumberFormat="1" applyFont="1" applyBorder="1" applyAlignment="1">
      <alignment horizontal="center" vertical="center"/>
    </xf>
    <xf numFmtId="4" fontId="3" fillId="0" borderId="1" xfId="0" applyNumberFormat="1" applyFont="1" applyBorder="1" applyAlignment="1">
      <alignment horizontal="center" vertical="center"/>
    </xf>
    <xf numFmtId="3" fontId="3" fillId="0" borderId="1" xfId="0" applyNumberFormat="1" applyFont="1" applyBorder="1" applyAlignment="1">
      <alignment horizontal="left" vertical="center"/>
    </xf>
    <xf numFmtId="3" fontId="2" fillId="0" borderId="1" xfId="0" applyNumberFormat="1" applyFont="1" applyBorder="1" applyAlignment="1">
      <alignment horizontal="left" vertical="center" wrapText="1"/>
    </xf>
    <xf numFmtId="3" fontId="3"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3" fontId="4" fillId="0" borderId="1" xfId="0" applyNumberFormat="1" applyFont="1" applyBorder="1" applyAlignment="1">
      <alignment horizontal="left" vertical="center" wrapText="1"/>
    </xf>
    <xf numFmtId="0" fontId="0" fillId="0" borderId="1" xfId="0" applyBorder="1" applyAlignment="1">
      <alignment horizontal="left" vertical="center"/>
    </xf>
    <xf numFmtId="0" fontId="2" fillId="0" borderId="1" xfId="0" applyFont="1" applyBorder="1" applyAlignment="1">
      <alignment vertical="center" wrapText="1"/>
    </xf>
    <xf numFmtId="3" fontId="2" fillId="0" borderId="1" xfId="0" applyNumberFormat="1" applyFont="1" applyBorder="1" applyAlignment="1">
      <alignment horizontal="center" vertic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64B3F-6AC3-4CE3-BBBA-FF051798482D}">
  <sheetPr>
    <pageSetUpPr fitToPage="1"/>
  </sheetPr>
  <dimension ref="A1:F44"/>
  <sheetViews>
    <sheetView tabSelected="1" workbookViewId="0">
      <selection sqref="A1:XFD1048576"/>
    </sheetView>
  </sheetViews>
  <sheetFormatPr defaultColWidth="9.140625" defaultRowHeight="12.75" x14ac:dyDescent="0.2"/>
  <cols>
    <col min="1" max="1" width="10.5703125" style="17" customWidth="1"/>
    <col min="2" max="2" width="70.5703125" style="20" customWidth="1"/>
    <col min="3" max="6" width="10.5703125" style="8" customWidth="1"/>
    <col min="7" max="16384" width="9.140625" style="2"/>
  </cols>
  <sheetData>
    <row r="1" spans="1:6" ht="15.75" x14ac:dyDescent="0.2">
      <c r="A1" s="1" t="s">
        <v>0</v>
      </c>
      <c r="B1" s="1"/>
      <c r="C1" s="1"/>
      <c r="D1" s="1"/>
      <c r="E1" s="1"/>
      <c r="F1" s="1"/>
    </row>
    <row r="2" spans="1:6" x14ac:dyDescent="0.2">
      <c r="A2" s="3" t="s">
        <v>1</v>
      </c>
      <c r="B2" s="4" t="s">
        <v>2</v>
      </c>
      <c r="C2" s="5" t="s">
        <v>3</v>
      </c>
      <c r="D2" s="5" t="s">
        <v>4</v>
      </c>
      <c r="E2" s="5" t="s">
        <v>5</v>
      </c>
      <c r="F2" s="5" t="s">
        <v>6</v>
      </c>
    </row>
    <row r="3" spans="1:6" x14ac:dyDescent="0.2">
      <c r="A3" s="6"/>
      <c r="B3" s="4" t="s">
        <v>7</v>
      </c>
      <c r="C3" s="7"/>
      <c r="D3" s="7"/>
      <c r="E3" s="7"/>
    </row>
    <row r="4" spans="1:6" x14ac:dyDescent="0.2">
      <c r="A4" s="6" t="s">
        <v>8</v>
      </c>
      <c r="B4" s="9" t="s">
        <v>9</v>
      </c>
      <c r="C4" s="7"/>
      <c r="D4" s="7" t="s">
        <v>10</v>
      </c>
      <c r="E4" s="7"/>
    </row>
    <row r="5" spans="1:6" x14ac:dyDescent="0.2">
      <c r="A5" s="6"/>
      <c r="B5" s="4" t="s">
        <v>11</v>
      </c>
      <c r="C5" s="7"/>
      <c r="D5" s="7"/>
      <c r="E5" s="7"/>
    </row>
    <row r="6" spans="1:6" x14ac:dyDescent="0.2">
      <c r="A6" s="6" t="s">
        <v>12</v>
      </c>
      <c r="B6" s="9" t="s">
        <v>13</v>
      </c>
      <c r="C6" s="7"/>
      <c r="D6" s="7" t="s">
        <v>10</v>
      </c>
      <c r="E6" s="7"/>
    </row>
    <row r="7" spans="1:6" ht="38.25" x14ac:dyDescent="0.2">
      <c r="A7" s="6" t="s">
        <v>14</v>
      </c>
      <c r="B7" s="9" t="s">
        <v>15</v>
      </c>
      <c r="C7" s="7"/>
      <c r="D7" s="7" t="s">
        <v>10</v>
      </c>
      <c r="E7" s="7"/>
    </row>
    <row r="8" spans="1:6" ht="38.25" x14ac:dyDescent="0.2">
      <c r="A8" s="6" t="s">
        <v>16</v>
      </c>
      <c r="B8" s="9" t="s">
        <v>17</v>
      </c>
      <c r="C8" s="7"/>
      <c r="D8" s="7" t="s">
        <v>10</v>
      </c>
      <c r="E8" s="7"/>
    </row>
    <row r="9" spans="1:6" x14ac:dyDescent="0.2">
      <c r="A9" s="6"/>
      <c r="B9" s="4" t="s">
        <v>18</v>
      </c>
      <c r="C9" s="7"/>
      <c r="D9" s="7"/>
      <c r="E9" s="7"/>
    </row>
    <row r="10" spans="1:6" x14ac:dyDescent="0.2">
      <c r="A10" s="6"/>
      <c r="B10" s="4" t="s">
        <v>19</v>
      </c>
      <c r="C10" s="7"/>
      <c r="D10" s="7"/>
      <c r="E10" s="7"/>
    </row>
    <row r="11" spans="1:6" x14ac:dyDescent="0.2">
      <c r="A11" s="6" t="s">
        <v>20</v>
      </c>
      <c r="B11" s="9" t="s">
        <v>21</v>
      </c>
      <c r="C11" s="10">
        <v>89</v>
      </c>
      <c r="D11" s="10" t="s">
        <v>22</v>
      </c>
      <c r="E11" s="11">
        <v>0</v>
      </c>
      <c r="F11" s="10">
        <f>C11*E11</f>
        <v>0</v>
      </c>
    </row>
    <row r="12" spans="1:6" x14ac:dyDescent="0.2">
      <c r="A12" s="12"/>
      <c r="B12" s="13" t="s">
        <v>23</v>
      </c>
      <c r="C12" s="7"/>
      <c r="D12" s="7"/>
      <c r="E12" s="7"/>
    </row>
    <row r="13" spans="1:6" x14ac:dyDescent="0.2">
      <c r="A13" s="6" t="s">
        <v>24</v>
      </c>
      <c r="B13" s="9" t="s">
        <v>25</v>
      </c>
      <c r="C13" s="10">
        <v>124.6</v>
      </c>
      <c r="D13" s="10" t="s">
        <v>22</v>
      </c>
      <c r="E13" s="11">
        <v>0</v>
      </c>
      <c r="F13" s="10">
        <f>C13*E13</f>
        <v>0</v>
      </c>
    </row>
    <row r="14" spans="1:6" x14ac:dyDescent="0.2">
      <c r="A14" s="12"/>
      <c r="B14" s="13" t="s">
        <v>26</v>
      </c>
      <c r="C14" s="7"/>
      <c r="D14" s="7"/>
      <c r="E14" s="7"/>
    </row>
    <row r="15" spans="1:6" x14ac:dyDescent="0.2">
      <c r="A15" s="6" t="s">
        <v>27</v>
      </c>
      <c r="B15" s="9" t="s">
        <v>28</v>
      </c>
      <c r="C15" s="10">
        <v>441</v>
      </c>
      <c r="D15" s="10" t="s">
        <v>29</v>
      </c>
      <c r="E15" s="11">
        <v>0</v>
      </c>
      <c r="F15" s="10">
        <f>C15*E15</f>
        <v>0</v>
      </c>
    </row>
    <row r="16" spans="1:6" x14ac:dyDescent="0.2">
      <c r="A16" s="12"/>
      <c r="B16" s="13" t="s">
        <v>30</v>
      </c>
      <c r="C16" s="7"/>
      <c r="D16" s="7"/>
      <c r="E16" s="7"/>
    </row>
    <row r="17" spans="1:6" x14ac:dyDescent="0.2">
      <c r="A17" s="6"/>
      <c r="B17" s="4" t="s">
        <v>31</v>
      </c>
      <c r="C17" s="7"/>
      <c r="D17" s="7"/>
      <c r="E17" s="7"/>
    </row>
    <row r="18" spans="1:6" x14ac:dyDescent="0.2">
      <c r="A18" s="6"/>
      <c r="B18" s="4" t="s">
        <v>32</v>
      </c>
      <c r="C18" s="7"/>
      <c r="D18" s="7"/>
      <c r="E18" s="7"/>
    </row>
    <row r="19" spans="1:6" x14ac:dyDescent="0.2">
      <c r="A19" s="6" t="s">
        <v>33</v>
      </c>
      <c r="B19" s="9" t="s">
        <v>34</v>
      </c>
      <c r="C19" s="10">
        <v>441</v>
      </c>
      <c r="D19" s="10" t="s">
        <v>29</v>
      </c>
      <c r="E19" s="11">
        <v>0</v>
      </c>
      <c r="F19" s="10">
        <f>C19*E19</f>
        <v>0</v>
      </c>
    </row>
    <row r="20" spans="1:6" x14ac:dyDescent="0.2">
      <c r="A20" s="12"/>
      <c r="B20" s="13" t="s">
        <v>35</v>
      </c>
      <c r="C20" s="7"/>
      <c r="D20" s="7"/>
      <c r="E20" s="7"/>
    </row>
    <row r="21" spans="1:6" x14ac:dyDescent="0.2">
      <c r="A21" s="6" t="s">
        <v>36</v>
      </c>
      <c r="B21" s="9" t="s">
        <v>37</v>
      </c>
      <c r="C21" s="10">
        <v>441</v>
      </c>
      <c r="D21" s="10" t="s">
        <v>29</v>
      </c>
      <c r="E21" s="11">
        <v>0</v>
      </c>
      <c r="F21" s="10">
        <f>C21*E21</f>
        <v>0</v>
      </c>
    </row>
    <row r="22" spans="1:6" x14ac:dyDescent="0.2">
      <c r="A22" s="12"/>
      <c r="B22" s="13" t="s">
        <v>38</v>
      </c>
      <c r="C22" s="7"/>
      <c r="D22" s="7"/>
      <c r="E22" s="7"/>
    </row>
    <row r="23" spans="1:6" ht="25.5" x14ac:dyDescent="0.2">
      <c r="A23" s="6" t="s">
        <v>39</v>
      </c>
      <c r="B23" s="9" t="s">
        <v>40</v>
      </c>
      <c r="C23" s="10">
        <v>441</v>
      </c>
      <c r="D23" s="10" t="s">
        <v>29</v>
      </c>
      <c r="E23" s="11">
        <v>0</v>
      </c>
      <c r="F23" s="10">
        <f>C23*E23</f>
        <v>0</v>
      </c>
    </row>
    <row r="24" spans="1:6" ht="25.5" x14ac:dyDescent="0.2">
      <c r="A24" s="12" t="s">
        <v>41</v>
      </c>
      <c r="B24" s="14" t="s">
        <v>42</v>
      </c>
      <c r="C24" s="10">
        <v>36</v>
      </c>
      <c r="D24" s="10" t="s">
        <v>29</v>
      </c>
      <c r="E24" s="11">
        <v>0</v>
      </c>
      <c r="F24" s="10">
        <f>C24*E24</f>
        <v>0</v>
      </c>
    </row>
    <row r="25" spans="1:6" x14ac:dyDescent="0.2">
      <c r="A25" s="12"/>
      <c r="B25" s="13" t="s">
        <v>43</v>
      </c>
      <c r="C25" s="7"/>
      <c r="D25" s="7"/>
      <c r="E25" s="7"/>
    </row>
    <row r="26" spans="1:6" x14ac:dyDescent="0.2">
      <c r="A26" s="6"/>
      <c r="B26" s="4" t="s">
        <v>44</v>
      </c>
      <c r="C26" s="7"/>
      <c r="D26" s="7"/>
      <c r="E26" s="7"/>
    </row>
    <row r="27" spans="1:6" x14ac:dyDescent="0.2">
      <c r="A27" s="6"/>
      <c r="B27" s="15" t="s">
        <v>45</v>
      </c>
      <c r="C27" s="7"/>
      <c r="D27" s="7"/>
      <c r="E27" s="7"/>
    </row>
    <row r="28" spans="1:6" x14ac:dyDescent="0.2">
      <c r="A28" s="6" t="s">
        <v>46</v>
      </c>
      <c r="B28" s="9" t="s">
        <v>47</v>
      </c>
      <c r="C28" s="10">
        <v>67</v>
      </c>
      <c r="D28" s="10" t="s">
        <v>22</v>
      </c>
      <c r="E28" s="11">
        <v>0</v>
      </c>
      <c r="F28" s="10">
        <f>C28*E28</f>
        <v>0</v>
      </c>
    </row>
    <row r="29" spans="1:6" x14ac:dyDescent="0.2">
      <c r="A29" s="12"/>
      <c r="B29" s="13" t="s">
        <v>48</v>
      </c>
      <c r="C29" s="7"/>
      <c r="D29" s="7"/>
      <c r="E29" s="7"/>
    </row>
    <row r="30" spans="1:6" x14ac:dyDescent="0.2">
      <c r="A30" s="6"/>
      <c r="B30" s="15" t="s">
        <v>49</v>
      </c>
      <c r="C30" s="7"/>
      <c r="D30" s="7"/>
      <c r="E30" s="7"/>
    </row>
    <row r="31" spans="1:6" x14ac:dyDescent="0.2">
      <c r="A31" s="6" t="s">
        <v>50</v>
      </c>
      <c r="B31" s="9" t="s">
        <v>51</v>
      </c>
      <c r="C31" s="10">
        <v>67</v>
      </c>
      <c r="D31" s="10" t="s">
        <v>22</v>
      </c>
      <c r="E31" s="11">
        <v>0</v>
      </c>
      <c r="F31" s="10">
        <f>C31*E31</f>
        <v>0</v>
      </c>
    </row>
    <row r="32" spans="1:6" x14ac:dyDescent="0.2">
      <c r="A32" s="12"/>
      <c r="B32" s="16" t="s">
        <v>45</v>
      </c>
      <c r="C32" s="7"/>
      <c r="D32" s="7"/>
      <c r="E32" s="7"/>
    </row>
    <row r="33" spans="1:6" x14ac:dyDescent="0.2">
      <c r="A33" s="6" t="s">
        <v>52</v>
      </c>
      <c r="B33" s="9" t="s">
        <v>47</v>
      </c>
      <c r="C33" s="10">
        <v>67</v>
      </c>
      <c r="D33" s="10" t="s">
        <v>22</v>
      </c>
      <c r="E33" s="11">
        <v>0</v>
      </c>
      <c r="F33" s="10">
        <f>C33*E33</f>
        <v>0</v>
      </c>
    </row>
    <row r="34" spans="1:6" x14ac:dyDescent="0.2">
      <c r="A34" s="12"/>
      <c r="B34" s="13" t="s">
        <v>53</v>
      </c>
      <c r="C34" s="7"/>
      <c r="D34" s="7"/>
      <c r="E34" s="7"/>
    </row>
    <row r="35" spans="1:6" x14ac:dyDescent="0.2">
      <c r="A35" s="6"/>
      <c r="B35" s="15" t="s">
        <v>54</v>
      </c>
      <c r="C35" s="7"/>
      <c r="D35" s="7"/>
      <c r="E35" s="7"/>
    </row>
    <row r="36" spans="1:6" x14ac:dyDescent="0.2">
      <c r="A36" s="6" t="s">
        <v>55</v>
      </c>
      <c r="B36" s="9" t="s">
        <v>56</v>
      </c>
      <c r="C36" s="10">
        <v>1</v>
      </c>
      <c r="D36" s="10" t="s">
        <v>57</v>
      </c>
      <c r="E36" s="11">
        <v>0</v>
      </c>
      <c r="F36" s="10">
        <f>C36*E36</f>
        <v>0</v>
      </c>
    </row>
    <row r="37" spans="1:6" x14ac:dyDescent="0.2">
      <c r="A37" s="12"/>
      <c r="B37" s="13" t="s">
        <v>58</v>
      </c>
      <c r="C37" s="7"/>
      <c r="D37" s="7"/>
      <c r="E37" s="7"/>
    </row>
    <row r="38" spans="1:6" x14ac:dyDescent="0.2">
      <c r="A38" s="6"/>
      <c r="B38" s="15" t="s">
        <v>59</v>
      </c>
      <c r="C38" s="7"/>
      <c r="D38" s="7"/>
      <c r="E38" s="7"/>
    </row>
    <row r="39" spans="1:6" x14ac:dyDescent="0.2">
      <c r="A39" s="6" t="s">
        <v>60</v>
      </c>
      <c r="B39" s="9" t="s">
        <v>61</v>
      </c>
      <c r="C39" s="10">
        <v>202</v>
      </c>
      <c r="D39" s="10" t="s">
        <v>29</v>
      </c>
      <c r="E39" s="11">
        <v>0</v>
      </c>
      <c r="F39" s="10">
        <f>C39*E39</f>
        <v>0</v>
      </c>
    </row>
    <row r="40" spans="1:6" x14ac:dyDescent="0.2">
      <c r="A40" s="12" t="s">
        <v>62</v>
      </c>
      <c r="B40" s="14" t="s">
        <v>63</v>
      </c>
      <c r="C40" s="10">
        <v>240</v>
      </c>
      <c r="D40" s="10" t="s">
        <v>29</v>
      </c>
      <c r="E40" s="11">
        <v>0</v>
      </c>
      <c r="F40" s="10">
        <f>C40*E40</f>
        <v>0</v>
      </c>
    </row>
    <row r="41" spans="1:6" x14ac:dyDescent="0.2">
      <c r="A41" s="12" t="s">
        <v>64</v>
      </c>
      <c r="B41" s="14" t="s">
        <v>65</v>
      </c>
      <c r="C41" s="10">
        <v>237</v>
      </c>
      <c r="D41" s="10" t="s">
        <v>66</v>
      </c>
      <c r="E41" s="11">
        <v>0</v>
      </c>
      <c r="F41" s="10">
        <f>C41*E41</f>
        <v>0</v>
      </c>
    </row>
    <row r="42" spans="1:6" x14ac:dyDescent="0.2">
      <c r="A42" s="12"/>
      <c r="B42" s="13" t="s">
        <v>67</v>
      </c>
      <c r="C42" s="7"/>
      <c r="D42" s="7"/>
      <c r="E42" s="7"/>
    </row>
    <row r="43" spans="1:6" ht="25.5" x14ac:dyDescent="0.2">
      <c r="A43" s="6" t="s">
        <v>68</v>
      </c>
      <c r="B43" s="9" t="s">
        <v>69</v>
      </c>
      <c r="C43" s="10">
        <v>1</v>
      </c>
      <c r="D43" s="10" t="s">
        <v>57</v>
      </c>
      <c r="E43" s="11">
        <v>0</v>
      </c>
      <c r="F43" s="10">
        <f>C43*E43</f>
        <v>0</v>
      </c>
    </row>
    <row r="44" spans="1:6" x14ac:dyDescent="0.2">
      <c r="B44" s="18" t="s">
        <v>6</v>
      </c>
      <c r="F44" s="19">
        <f>SUM(F2:F43)</f>
        <v>0</v>
      </c>
    </row>
  </sheetData>
  <mergeCells count="1">
    <mergeCell ref="A1:F1"/>
  </mergeCells>
  <pageMargins left="0.74803149606299213" right="0.74803149606299213" top="0.98425196850393704" bottom="0.98425196850393704" header="0.51181102362204722" footer="0.51181102362204722"/>
  <pageSetup scale="7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D3EBEF7E0ECE45AC780B83940604DE" ma:contentTypeVersion="18" ma:contentTypeDescription="Create a new document." ma:contentTypeScope="" ma:versionID="94c4b01ead9b3c379f90f021926906a6">
  <xsd:schema xmlns:xsd="http://www.w3.org/2001/XMLSchema" xmlns:xs="http://www.w3.org/2001/XMLSchema" xmlns:p="http://schemas.microsoft.com/office/2006/metadata/properties" xmlns:ns2="bc8d7e70-4053-43da-ae2e-3bb26002d663" xmlns:ns3="adfb0090-8606-4b89-a68a-b73ca1d6b587" targetNamespace="http://schemas.microsoft.com/office/2006/metadata/properties" ma:root="true" ma:fieldsID="5807ec22c3239b7e51d951e1e4bc3419" ns2:_="" ns3:_="">
    <xsd:import namespace="bc8d7e70-4053-43da-ae2e-3bb26002d663"/>
    <xsd:import namespace="adfb0090-8606-4b89-a68a-b73ca1d6b5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d7e70-4053-43da-ae2e-3bb26002d6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697eca7-fe3e-4e19-bcb6-e34a1c3ca72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fb0090-8606-4b89-a68a-b73ca1d6b587"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73872c3-afb1-4604-9fb7-5a31e9b76bdf}" ma:internalName="TaxCatchAll" ma:showField="CatchAllData" ma:web="adfb0090-8606-4b89-a68a-b73ca1d6b5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8d7e70-4053-43da-ae2e-3bb26002d663">
      <Terms xmlns="http://schemas.microsoft.com/office/infopath/2007/PartnerControls"/>
    </lcf76f155ced4ddcb4097134ff3c332f>
    <TaxCatchAll xmlns="adfb0090-8606-4b89-a68a-b73ca1d6b587" xsi:nil="true"/>
  </documentManagement>
</p:properties>
</file>

<file path=customXml/itemProps1.xml><?xml version="1.0" encoding="utf-8"?>
<ds:datastoreItem xmlns:ds="http://schemas.openxmlformats.org/officeDocument/2006/customXml" ds:itemID="{D8DC6830-8B74-4ADB-BF93-387C62D4E56E}"/>
</file>

<file path=customXml/itemProps2.xml><?xml version="1.0" encoding="utf-8"?>
<ds:datastoreItem xmlns:ds="http://schemas.openxmlformats.org/officeDocument/2006/customXml" ds:itemID="{11CCE282-7717-44E9-87F3-601BB0AA29AC}"/>
</file>

<file path=customXml/itemProps3.xml><?xml version="1.0" encoding="utf-8"?>
<ds:datastoreItem xmlns:ds="http://schemas.openxmlformats.org/officeDocument/2006/customXml" ds:itemID="{02ADAE21-28B6-4DEA-9F0A-2BC1EF6E1CE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T06-CONCRETE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Liam Beatty</dc:creator>
  <cp:lastModifiedBy>Van Herwaarde, Robert</cp:lastModifiedBy>
  <cp:lastPrinted>2026-04-14T00:01:17Z</cp:lastPrinted>
  <dcterms:created xsi:type="dcterms:W3CDTF">2026-04-13T10:53:07Z</dcterms:created>
  <dcterms:modified xsi:type="dcterms:W3CDTF">2026-04-14T00:01:18Z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0x0101009CD3EBEF7E0ECE45AC780B83940604DE</vt:lpwstr>
  </property>
</Properties>
</file>