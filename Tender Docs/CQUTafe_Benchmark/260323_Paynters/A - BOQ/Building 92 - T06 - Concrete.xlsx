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"/>
    </mc:Choice>
  </mc:AlternateContent>
  <xr:revisionPtr revIDLastSave="0" documentId="13_ncr:1_{D7520225-4D9D-4689-9AAE-A25E0F3F5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06-CONCRET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3" l="1"/>
  <c r="F108" i="3"/>
  <c r="F107" i="3"/>
  <c r="F106" i="3"/>
  <c r="F105" i="3"/>
  <c r="F103" i="3"/>
  <c r="F102" i="3"/>
  <c r="F101" i="3"/>
  <c r="F100" i="3"/>
  <c r="F97" i="3"/>
  <c r="F95" i="3"/>
  <c r="F93" i="3"/>
  <c r="F92" i="3"/>
  <c r="F91" i="3"/>
  <c r="F88" i="3"/>
  <c r="F89" i="3"/>
  <c r="F86" i="3"/>
  <c r="F84" i="3"/>
  <c r="F83" i="3"/>
  <c r="F82" i="3"/>
  <c r="F80" i="3"/>
  <c r="F78" i="3"/>
  <c r="F77" i="3"/>
  <c r="F76" i="3"/>
  <c r="F75" i="3"/>
  <c r="F73" i="3"/>
  <c r="F72" i="3"/>
  <c r="F71" i="3"/>
  <c r="F70" i="3"/>
  <c r="F69" i="3"/>
  <c r="F67" i="3"/>
  <c r="F64" i="3"/>
  <c r="F62" i="3"/>
  <c r="F60" i="3"/>
  <c r="F59" i="3"/>
  <c r="F58" i="3"/>
  <c r="F56" i="3"/>
  <c r="F55" i="3"/>
  <c r="F53" i="3"/>
  <c r="F51" i="3"/>
  <c r="F50" i="3"/>
  <c r="F49" i="3"/>
  <c r="F47" i="3"/>
  <c r="F45" i="3"/>
  <c r="F44" i="3"/>
  <c r="F43" i="3"/>
  <c r="F42" i="3"/>
  <c r="F40" i="3"/>
  <c r="F39" i="3"/>
  <c r="F38" i="3"/>
  <c r="F37" i="3"/>
  <c r="F34" i="3"/>
  <c r="F30" i="3"/>
  <c r="F29" i="3"/>
  <c r="F27" i="3"/>
  <c r="F26" i="3"/>
  <c r="F25" i="3"/>
  <c r="F23" i="3"/>
  <c r="F21" i="3"/>
  <c r="F19" i="3"/>
  <c r="F18" i="3"/>
  <c r="F16" i="3"/>
  <c r="F15" i="3"/>
  <c r="F112" i="3" l="1"/>
</calcChain>
</file>

<file path=xl/sharedStrings.xml><?xml version="1.0" encoding="utf-8"?>
<sst xmlns="http://schemas.openxmlformats.org/spreadsheetml/2006/main" count="261" uniqueCount="159">
  <si>
    <t>Code</t>
  </si>
  <si>
    <t>Description</t>
  </si>
  <si>
    <t>Total</t>
  </si>
  <si>
    <t>Quantity</t>
  </si>
  <si>
    <t>Unit</t>
  </si>
  <si>
    <t>Rate</t>
  </si>
  <si>
    <t>WORK MEASURED IN OTHER SECTIONS</t>
  </si>
  <si>
    <t>Note</t>
  </si>
  <si>
    <t>item</t>
  </si>
  <si>
    <t>m2</t>
  </si>
  <si>
    <t>FILLING AND HARDCORE</t>
  </si>
  <si>
    <t>m3</t>
  </si>
  <si>
    <t>ADDITIONAL SCOPE</t>
  </si>
  <si>
    <t>The Tenderer shall detail any additional scope of work and its associated costs which is believed to be not covered in the preceding measurement / items</t>
  </si>
  <si>
    <t>CONCRETE</t>
  </si>
  <si>
    <t>T06.1</t>
  </si>
  <si>
    <t>Tanking to lift pit and wash down walls included in T11 TANKING AND WATERPROOFING MEMBRANES</t>
  </si>
  <si>
    <t>T06.2</t>
  </si>
  <si>
    <t>External Civil and Landscape concrete slabs included in T37 EXTERIOR ELEMENTS</t>
  </si>
  <si>
    <t>T06.3</t>
  </si>
  <si>
    <t>Termite protection measured in T41 Pest Control</t>
  </si>
  <si>
    <t>MEASUREMENT NOTES</t>
  </si>
  <si>
    <t>T06.4</t>
  </si>
  <si>
    <t>Assumed chemset anchors to structural steel column base plates to be supplied and installed by the structural steel subcontractor</t>
  </si>
  <si>
    <t>T06.5</t>
  </si>
  <si>
    <t>Assumed a 50 mm blinding concrete layer beneath all footings</t>
  </si>
  <si>
    <t>T06.6</t>
  </si>
  <si>
    <t>Allowance for 40% bulking factors</t>
  </si>
  <si>
    <t>T06.7</t>
  </si>
  <si>
    <t>Allowed for concrete encasement to exposed columns in Workshops only as noted on Architectural documents</t>
  </si>
  <si>
    <t>T06.8</t>
  </si>
  <si>
    <t>Concrete wastage; 15% in-ground, 10% above ground</t>
  </si>
  <si>
    <t>DETAILED EXCAVATION</t>
  </si>
  <si>
    <t>Pit excavation</t>
  </si>
  <si>
    <t>T06.9</t>
  </si>
  <si>
    <t>Pad footings :[91 no]</t>
  </si>
  <si>
    <t>T06.10</t>
  </si>
  <si>
    <t>Raft slab on ground :[22 m2]</t>
  </si>
  <si>
    <t>Trench excavation</t>
  </si>
  <si>
    <t>T06.11</t>
  </si>
  <si>
    <t>Ground beams :[648 m]</t>
  </si>
  <si>
    <t>T06.12</t>
  </si>
  <si>
    <t>Strip footings :[73 m]</t>
  </si>
  <si>
    <t>Disposal</t>
  </si>
  <si>
    <t>T06.13</t>
  </si>
  <si>
    <t>Disposal of excavated materials; off site</t>
  </si>
  <si>
    <t>Surface Preparation</t>
  </si>
  <si>
    <t>T06.14</t>
  </si>
  <si>
    <t>Floor slab excavation, including slab thickenings and similar items</t>
  </si>
  <si>
    <t>T06.15</t>
  </si>
  <si>
    <t>Filling in beds, 50 mm thick bedding sand</t>
  </si>
  <si>
    <t>T06.16</t>
  </si>
  <si>
    <t>Compacted backfill to lift pit and wash down retaining walls</t>
  </si>
  <si>
    <t>T06.17</t>
  </si>
  <si>
    <t>100 mm Dia slotted sub soil drainage c/w geofabric sock behind lift pit and wash down retaining walls</t>
  </si>
  <si>
    <t>m</t>
  </si>
  <si>
    <t>PAPER AND PLASTIC MEMBRANES</t>
  </si>
  <si>
    <t>T06.18</t>
  </si>
  <si>
    <t>0.2 mm Thick 'Fortecon' (or equal approved) damp proof membrane, horizontal, including laps and turn ups &lt; 500mm</t>
  </si>
  <si>
    <t>T06.19</t>
  </si>
  <si>
    <t>0.2 mm Thick 'Fortecon' (or equal approved) damp proof membrane, vertical, including horizontal breaks &lt; 500mm</t>
  </si>
  <si>
    <t>CONCRETE SUPPLY</t>
  </si>
  <si>
    <t>15MPa Concrete Xypex Admix C-1000NF Supply</t>
  </si>
  <si>
    <t>Footings</t>
  </si>
  <si>
    <t>T06.20</t>
  </si>
  <si>
    <t>Blinding layer to footing bases :[818 m2]</t>
  </si>
  <si>
    <t>32MPa Concrete Xypex Admix C-1000NF Supply</t>
  </si>
  <si>
    <t>T06.21</t>
  </si>
  <si>
    <t>T06.22</t>
  </si>
  <si>
    <t>Raft slab on ground</t>
  </si>
  <si>
    <t>T06.23</t>
  </si>
  <si>
    <t>T06.24</t>
  </si>
  <si>
    <t>Slabs, ground</t>
  </si>
  <si>
    <t>T06.25</t>
  </si>
  <si>
    <t>125 mm thick including edge thickenings :[1,115 m2]</t>
  </si>
  <si>
    <t>T06.26</t>
  </si>
  <si>
    <t>150 mm thick including edge thickenings :[2,352 m2]</t>
  </si>
  <si>
    <t>T06.27</t>
  </si>
  <si>
    <t>200 mm thick including edge thickenings :[267 m2]</t>
  </si>
  <si>
    <t>T06.28</t>
  </si>
  <si>
    <t>300 mm thick including edge thickenings :[10 m2]</t>
  </si>
  <si>
    <t>Slabs, suspended, reinforced</t>
  </si>
  <si>
    <t>T06.29</t>
  </si>
  <si>
    <t>200 mm thick :[36 m2]</t>
  </si>
  <si>
    <t>Slabs, suspended, post-tensioned</t>
  </si>
  <si>
    <t>T06.30</t>
  </si>
  <si>
    <t>220 mm thick :[50 m2]</t>
  </si>
  <si>
    <t>T06.31</t>
  </si>
  <si>
    <t>270 mm thick :[1,247 m2]</t>
  </si>
  <si>
    <t>T06.32</t>
  </si>
  <si>
    <t>400 mm thick :[48 m2]</t>
  </si>
  <si>
    <t>Lift lids, suspended</t>
  </si>
  <si>
    <t>T06.33</t>
  </si>
  <si>
    <t>200 mm thick :[12 m2]</t>
  </si>
  <si>
    <t>Walls</t>
  </si>
  <si>
    <t>T06.34</t>
  </si>
  <si>
    <t>200 mm thick :[306 m2]</t>
  </si>
  <si>
    <t>T06.35</t>
  </si>
  <si>
    <t>250 mm thick :[21 m2]</t>
  </si>
  <si>
    <t>Columns and beams</t>
  </si>
  <si>
    <t>T06.36</t>
  </si>
  <si>
    <t>Encase isolated steel columns :[20 no]</t>
  </si>
  <si>
    <t>T06.37</t>
  </si>
  <si>
    <t>Isolated columns :[34 no]</t>
  </si>
  <si>
    <t>T06.38</t>
  </si>
  <si>
    <t>Attached beams :[31 m]</t>
  </si>
  <si>
    <t>Stairs</t>
  </si>
  <si>
    <t>T06.39</t>
  </si>
  <si>
    <t>Stairs including landings, strings, beams</t>
  </si>
  <si>
    <t>Plinths</t>
  </si>
  <si>
    <t>T06.40</t>
  </si>
  <si>
    <t>100 mm thick :[8 m2]</t>
  </si>
  <si>
    <t>CONCRETE PLACE AND FINISH</t>
  </si>
  <si>
    <t>Generally</t>
  </si>
  <si>
    <t>T06.41</t>
  </si>
  <si>
    <t>Allow for concrete pumping</t>
  </si>
  <si>
    <t>T06.42</t>
  </si>
  <si>
    <t>T06.43</t>
  </si>
  <si>
    <t>T06.44</t>
  </si>
  <si>
    <t>T06.45</t>
  </si>
  <si>
    <t>T06.46</t>
  </si>
  <si>
    <t>T06.47</t>
  </si>
  <si>
    <t>T06.48</t>
  </si>
  <si>
    <t>T06.49</t>
  </si>
  <si>
    <t>T06.50</t>
  </si>
  <si>
    <t>T06.51</t>
  </si>
  <si>
    <t>T06.52</t>
  </si>
  <si>
    <t>T06.53</t>
  </si>
  <si>
    <t>T06.54</t>
  </si>
  <si>
    <t>T06.55</t>
  </si>
  <si>
    <t>T06.56</t>
  </si>
  <si>
    <t>T06.57</t>
  </si>
  <si>
    <t>T06.58</t>
  </si>
  <si>
    <t>T06.59</t>
  </si>
  <si>
    <t>T06.60</t>
  </si>
  <si>
    <t>T06.61</t>
  </si>
  <si>
    <t>T06.62</t>
  </si>
  <si>
    <t>EXPANSION AND SIMILAR JOINTS</t>
  </si>
  <si>
    <t>Joints</t>
  </si>
  <si>
    <t>T06.63</t>
  </si>
  <si>
    <t>Construction joint (CJ)</t>
  </si>
  <si>
    <t>T06.64</t>
  </si>
  <si>
    <t>Dowelled joint (DJ)</t>
  </si>
  <si>
    <t>T06.65</t>
  </si>
  <si>
    <t>Isolation joint (IJ)</t>
  </si>
  <si>
    <t>T06.66</t>
  </si>
  <si>
    <t>Sawn joint (SJ)</t>
  </si>
  <si>
    <t>INTEGRAL FINISHES</t>
  </si>
  <si>
    <t>T06.67</t>
  </si>
  <si>
    <t>Approved finish to raft slab on ground</t>
  </si>
  <si>
    <t>T06.68</t>
  </si>
  <si>
    <t>Approved finish to slab on ground</t>
  </si>
  <si>
    <t>T06.69</t>
  </si>
  <si>
    <t>Approved finish to suspended slabs</t>
  </si>
  <si>
    <t>T06.70</t>
  </si>
  <si>
    <t>Approved finish to lift lids</t>
  </si>
  <si>
    <t>T06.71</t>
  </si>
  <si>
    <t>Approved finish to plinths</t>
  </si>
  <si>
    <t>T06.72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</si>
</sst>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Calibri"/>
    </font>
    <font>
      <b/>
      <sz val="12"/>
      <name val="Calibri"/>
    </font>
    <font>
      <b/>
      <sz val="10"/>
      <name val="Calibri"/>
    </font>
    <font>
      <u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"/>
  <sheetViews>
    <sheetView tabSelected="1" workbookViewId="0">
      <selection activeCell="A3" sqref="A3"/>
    </sheetView>
  </sheetViews>
  <sheetFormatPr defaultColWidth="9.140625" defaultRowHeight="12.75" x14ac:dyDescent="0.2"/>
  <cols>
    <col min="1" max="1" width="10.5703125" style="7" customWidth="1"/>
    <col min="2" max="2" width="70.5703125" style="8" customWidth="1"/>
    <col min="3" max="6" width="10.5703125" style="11" customWidth="1"/>
    <col min="7" max="16384" width="9.140625" style="6"/>
  </cols>
  <sheetData>
    <row r="1" spans="1:6" ht="15.75" x14ac:dyDescent="0.2">
      <c r="A1" s="15" t="s">
        <v>14</v>
      </c>
      <c r="B1" s="15"/>
      <c r="C1" s="15"/>
      <c r="D1" s="15"/>
      <c r="E1" s="15"/>
      <c r="F1" s="15"/>
    </row>
    <row r="2" spans="1:6" x14ac:dyDescent="0.2">
      <c r="A2" s="3" t="s">
        <v>0</v>
      </c>
      <c r="B2" s="4" t="s">
        <v>1</v>
      </c>
      <c r="C2" s="2" t="s">
        <v>3</v>
      </c>
      <c r="D2" s="2" t="s">
        <v>4</v>
      </c>
      <c r="E2" s="2" t="s">
        <v>5</v>
      </c>
      <c r="F2" s="2" t="s">
        <v>2</v>
      </c>
    </row>
    <row r="3" spans="1:6" x14ac:dyDescent="0.2">
      <c r="A3" s="1"/>
      <c r="B3" s="4" t="s">
        <v>6</v>
      </c>
      <c r="C3" s="13"/>
      <c r="D3" s="13"/>
      <c r="E3" s="13"/>
    </row>
    <row r="4" spans="1:6" ht="25.5" x14ac:dyDescent="0.2">
      <c r="A4" s="1" t="s">
        <v>15</v>
      </c>
      <c r="B4" s="5" t="s">
        <v>16</v>
      </c>
      <c r="C4" s="13"/>
      <c r="D4" s="13" t="s">
        <v>7</v>
      </c>
      <c r="E4" s="13"/>
    </row>
    <row r="5" spans="1:6" x14ac:dyDescent="0.2">
      <c r="A5" s="1" t="s">
        <v>17</v>
      </c>
      <c r="B5" s="5" t="s">
        <v>18</v>
      </c>
      <c r="C5" s="13"/>
      <c r="D5" s="13" t="s">
        <v>7</v>
      </c>
      <c r="E5" s="13"/>
    </row>
    <row r="6" spans="1:6" x14ac:dyDescent="0.2">
      <c r="A6" s="1" t="s">
        <v>19</v>
      </c>
      <c r="B6" s="5" t="s">
        <v>20</v>
      </c>
      <c r="C6" s="13"/>
      <c r="D6" s="13" t="s">
        <v>7</v>
      </c>
      <c r="E6" s="13"/>
    </row>
    <row r="7" spans="1:6" x14ac:dyDescent="0.2">
      <c r="A7" s="1"/>
      <c r="B7" s="4" t="s">
        <v>21</v>
      </c>
      <c r="C7" s="13"/>
      <c r="D7" s="13"/>
      <c r="E7" s="13"/>
    </row>
    <row r="8" spans="1:6" ht="25.5" x14ac:dyDescent="0.2">
      <c r="A8" s="1" t="s">
        <v>22</v>
      </c>
      <c r="B8" s="5" t="s">
        <v>23</v>
      </c>
      <c r="C8" s="13"/>
      <c r="D8" s="13" t="s">
        <v>7</v>
      </c>
      <c r="E8" s="13"/>
    </row>
    <row r="9" spans="1:6" x14ac:dyDescent="0.2">
      <c r="A9" s="1" t="s">
        <v>24</v>
      </c>
      <c r="B9" s="5" t="s">
        <v>25</v>
      </c>
      <c r="C9" s="13"/>
      <c r="D9" s="13" t="s">
        <v>7</v>
      </c>
      <c r="E9" s="13"/>
    </row>
    <row r="10" spans="1:6" x14ac:dyDescent="0.2">
      <c r="A10" s="1" t="s">
        <v>26</v>
      </c>
      <c r="B10" s="5" t="s">
        <v>27</v>
      </c>
      <c r="C10" s="13"/>
      <c r="D10" s="13" t="s">
        <v>7</v>
      </c>
      <c r="E10" s="13"/>
    </row>
    <row r="11" spans="1:6" ht="25.5" x14ac:dyDescent="0.2">
      <c r="A11" s="1" t="s">
        <v>28</v>
      </c>
      <c r="B11" s="5" t="s">
        <v>29</v>
      </c>
      <c r="C11" s="13"/>
      <c r="D11" s="13" t="s">
        <v>7</v>
      </c>
      <c r="E11" s="13"/>
    </row>
    <row r="12" spans="1:6" x14ac:dyDescent="0.2">
      <c r="A12" s="1" t="s">
        <v>30</v>
      </c>
      <c r="B12" s="5" t="s">
        <v>31</v>
      </c>
      <c r="C12" s="13"/>
      <c r="D12" s="13" t="s">
        <v>7</v>
      </c>
      <c r="E12" s="13"/>
    </row>
    <row r="13" spans="1:6" x14ac:dyDescent="0.2">
      <c r="A13" s="1"/>
      <c r="B13" s="4" t="s">
        <v>32</v>
      </c>
      <c r="C13" s="13"/>
      <c r="D13" s="13"/>
      <c r="E13" s="13"/>
    </row>
    <row r="14" spans="1:6" x14ac:dyDescent="0.2">
      <c r="A14" s="1"/>
      <c r="B14" s="4" t="s">
        <v>33</v>
      </c>
      <c r="C14" s="13"/>
      <c r="D14" s="13"/>
      <c r="E14" s="13"/>
    </row>
    <row r="15" spans="1:6" x14ac:dyDescent="0.2">
      <c r="A15" s="1" t="s">
        <v>34</v>
      </c>
      <c r="B15" s="5" t="s">
        <v>35</v>
      </c>
      <c r="C15" s="14">
        <v>448</v>
      </c>
      <c r="D15" s="14" t="s">
        <v>11</v>
      </c>
      <c r="E15" s="13"/>
      <c r="F15" s="14">
        <f>C15*E15</f>
        <v>0</v>
      </c>
    </row>
    <row r="16" spans="1:6" x14ac:dyDescent="0.2">
      <c r="A16" s="1" t="s">
        <v>36</v>
      </c>
      <c r="B16" s="5" t="s">
        <v>37</v>
      </c>
      <c r="C16" s="14">
        <v>14</v>
      </c>
      <c r="D16" s="14" t="s">
        <v>11</v>
      </c>
      <c r="E16" s="13"/>
      <c r="F16" s="14">
        <f>C16*E16</f>
        <v>0</v>
      </c>
    </row>
    <row r="17" spans="1:6" x14ac:dyDescent="0.2">
      <c r="A17" s="1"/>
      <c r="B17" s="4" t="s">
        <v>38</v>
      </c>
      <c r="C17" s="13"/>
      <c r="D17" s="13"/>
      <c r="E17" s="13"/>
    </row>
    <row r="18" spans="1:6" x14ac:dyDescent="0.2">
      <c r="A18" s="1" t="s">
        <v>39</v>
      </c>
      <c r="B18" s="5" t="s">
        <v>40</v>
      </c>
      <c r="C18" s="14">
        <v>148</v>
      </c>
      <c r="D18" s="14" t="s">
        <v>11</v>
      </c>
      <c r="E18" s="13"/>
      <c r="F18" s="14">
        <f t="shared" ref="F18:F19" si="0">C18*E18</f>
        <v>0</v>
      </c>
    </row>
    <row r="19" spans="1:6" x14ac:dyDescent="0.2">
      <c r="A19" s="1" t="s">
        <v>41</v>
      </c>
      <c r="B19" s="5" t="s">
        <v>42</v>
      </c>
      <c r="C19" s="14">
        <v>56</v>
      </c>
      <c r="D19" s="14" t="s">
        <v>11</v>
      </c>
      <c r="E19" s="13"/>
      <c r="F19" s="14">
        <f t="shared" si="0"/>
        <v>0</v>
      </c>
    </row>
    <row r="20" spans="1:6" x14ac:dyDescent="0.2">
      <c r="A20" s="1"/>
      <c r="B20" s="4" t="s">
        <v>43</v>
      </c>
      <c r="C20" s="13"/>
      <c r="D20" s="13"/>
      <c r="E20" s="13"/>
    </row>
    <row r="21" spans="1:6" x14ac:dyDescent="0.2">
      <c r="A21" s="1" t="s">
        <v>44</v>
      </c>
      <c r="B21" s="5" t="s">
        <v>45</v>
      </c>
      <c r="C21" s="14">
        <v>932.4</v>
      </c>
      <c r="D21" s="14" t="s">
        <v>11</v>
      </c>
      <c r="E21" s="13"/>
      <c r="F21" s="14">
        <f>C21*E21</f>
        <v>0</v>
      </c>
    </row>
    <row r="22" spans="1:6" x14ac:dyDescent="0.2">
      <c r="A22" s="1"/>
      <c r="B22" s="4" t="s">
        <v>46</v>
      </c>
      <c r="C22" s="13"/>
      <c r="D22" s="13"/>
      <c r="E22" s="13"/>
    </row>
    <row r="23" spans="1:6" x14ac:dyDescent="0.2">
      <c r="A23" s="1" t="s">
        <v>47</v>
      </c>
      <c r="B23" s="5" t="s">
        <v>48</v>
      </c>
      <c r="C23" s="14">
        <v>3743</v>
      </c>
      <c r="D23" s="14" t="s">
        <v>9</v>
      </c>
      <c r="E23" s="13"/>
      <c r="F23" s="14">
        <f>C23*E23</f>
        <v>0</v>
      </c>
    </row>
    <row r="24" spans="1:6" x14ac:dyDescent="0.2">
      <c r="A24" s="1"/>
      <c r="B24" s="4" t="s">
        <v>10</v>
      </c>
      <c r="C24" s="13"/>
      <c r="D24" s="13"/>
      <c r="E24" s="13"/>
    </row>
    <row r="25" spans="1:6" x14ac:dyDescent="0.2">
      <c r="A25" s="1" t="s">
        <v>49</v>
      </c>
      <c r="B25" s="5" t="s">
        <v>50</v>
      </c>
      <c r="C25" s="14">
        <v>3743</v>
      </c>
      <c r="D25" s="14" t="s">
        <v>9</v>
      </c>
      <c r="E25" s="13"/>
      <c r="F25" s="14">
        <f t="shared" ref="F25:F26" si="1">C25*E25</f>
        <v>0</v>
      </c>
    </row>
    <row r="26" spans="1:6" x14ac:dyDescent="0.2">
      <c r="A26" s="1" t="s">
        <v>51</v>
      </c>
      <c r="B26" s="5" t="s">
        <v>52</v>
      </c>
      <c r="C26" s="14">
        <v>7</v>
      </c>
      <c r="D26" s="14" t="s">
        <v>11</v>
      </c>
      <c r="E26" s="13"/>
      <c r="F26" s="14">
        <f t="shared" si="1"/>
        <v>0</v>
      </c>
    </row>
    <row r="27" spans="1:6" ht="25.5" x14ac:dyDescent="0.2">
      <c r="A27" s="1" t="s">
        <v>53</v>
      </c>
      <c r="B27" s="5" t="s">
        <v>54</v>
      </c>
      <c r="C27" s="14">
        <v>29</v>
      </c>
      <c r="D27" s="14" t="s">
        <v>55</v>
      </c>
      <c r="E27" s="13"/>
      <c r="F27" s="14">
        <f>C27*E27</f>
        <v>0</v>
      </c>
    </row>
    <row r="28" spans="1:6" x14ac:dyDescent="0.2">
      <c r="A28" s="1"/>
      <c r="B28" s="4" t="s">
        <v>56</v>
      </c>
      <c r="C28" s="13"/>
      <c r="D28" s="13"/>
      <c r="E28" s="13"/>
    </row>
    <row r="29" spans="1:6" ht="25.5" x14ac:dyDescent="0.2">
      <c r="A29" s="1" t="s">
        <v>57</v>
      </c>
      <c r="B29" s="5" t="s">
        <v>58</v>
      </c>
      <c r="C29" s="14">
        <v>3743</v>
      </c>
      <c r="D29" s="14" t="s">
        <v>9</v>
      </c>
      <c r="E29" s="13"/>
      <c r="F29" s="14">
        <f t="shared" ref="F29:F30" si="2">C29*E29</f>
        <v>0</v>
      </c>
    </row>
    <row r="30" spans="1:6" ht="25.5" x14ac:dyDescent="0.2">
      <c r="A30" s="1" t="s">
        <v>59</v>
      </c>
      <c r="B30" s="5" t="s">
        <v>60</v>
      </c>
      <c r="C30" s="14">
        <v>1533</v>
      </c>
      <c r="D30" s="14" t="s">
        <v>9</v>
      </c>
      <c r="E30" s="13"/>
      <c r="F30" s="14">
        <f t="shared" si="2"/>
        <v>0</v>
      </c>
    </row>
    <row r="31" spans="1:6" x14ac:dyDescent="0.2">
      <c r="A31" s="1"/>
      <c r="B31" s="4" t="s">
        <v>61</v>
      </c>
      <c r="C31" s="13"/>
      <c r="D31" s="13"/>
      <c r="E31" s="13"/>
    </row>
    <row r="32" spans="1:6" x14ac:dyDescent="0.2">
      <c r="A32" s="1"/>
      <c r="B32" s="4" t="s">
        <v>62</v>
      </c>
      <c r="C32" s="13"/>
      <c r="D32" s="13"/>
      <c r="E32" s="13"/>
    </row>
    <row r="33" spans="1:6" x14ac:dyDescent="0.2">
      <c r="A33" s="1"/>
      <c r="B33" s="10" t="s">
        <v>63</v>
      </c>
      <c r="C33" s="13"/>
      <c r="D33" s="13"/>
      <c r="E33" s="13"/>
    </row>
    <row r="34" spans="1:6" x14ac:dyDescent="0.2">
      <c r="A34" s="1" t="s">
        <v>64</v>
      </c>
      <c r="B34" s="5" t="s">
        <v>65</v>
      </c>
      <c r="C34" s="14">
        <v>41</v>
      </c>
      <c r="D34" s="14" t="s">
        <v>11</v>
      </c>
      <c r="E34" s="13"/>
      <c r="F34" s="14">
        <f>C34*E34</f>
        <v>0</v>
      </c>
    </row>
    <row r="35" spans="1:6" x14ac:dyDescent="0.2">
      <c r="A35" s="1"/>
      <c r="B35" s="4" t="s">
        <v>66</v>
      </c>
      <c r="C35" s="13"/>
      <c r="D35" s="13"/>
      <c r="E35" s="13"/>
    </row>
    <row r="36" spans="1:6" x14ac:dyDescent="0.2">
      <c r="A36" s="1"/>
      <c r="B36" s="10" t="s">
        <v>63</v>
      </c>
      <c r="C36" s="13"/>
      <c r="D36" s="13"/>
      <c r="E36" s="13"/>
    </row>
    <row r="37" spans="1:6" x14ac:dyDescent="0.2">
      <c r="A37" s="1" t="s">
        <v>67</v>
      </c>
      <c r="B37" s="5" t="s">
        <v>35</v>
      </c>
      <c r="C37" s="14">
        <v>424</v>
      </c>
      <c r="D37" s="14" t="s">
        <v>11</v>
      </c>
      <c r="E37" s="13"/>
      <c r="F37" s="14">
        <f t="shared" ref="F37:F40" si="3">C37*E37</f>
        <v>0</v>
      </c>
    </row>
    <row r="38" spans="1:6" x14ac:dyDescent="0.2">
      <c r="A38" s="1" t="s">
        <v>68</v>
      </c>
      <c r="B38" s="5" t="s">
        <v>69</v>
      </c>
      <c r="C38" s="14">
        <v>13</v>
      </c>
      <c r="D38" s="14" t="s">
        <v>11</v>
      </c>
      <c r="E38" s="13"/>
      <c r="F38" s="14">
        <f t="shared" si="3"/>
        <v>0</v>
      </c>
    </row>
    <row r="39" spans="1:6" x14ac:dyDescent="0.2">
      <c r="A39" s="1" t="s">
        <v>70</v>
      </c>
      <c r="B39" s="5" t="s">
        <v>40</v>
      </c>
      <c r="C39" s="14">
        <v>137</v>
      </c>
      <c r="D39" s="14" t="s">
        <v>11</v>
      </c>
      <c r="E39" s="13"/>
      <c r="F39" s="14">
        <f t="shared" si="3"/>
        <v>0</v>
      </c>
    </row>
    <row r="40" spans="1:6" x14ac:dyDescent="0.2">
      <c r="A40" s="1" t="s">
        <v>71</v>
      </c>
      <c r="B40" s="5" t="s">
        <v>42</v>
      </c>
      <c r="C40" s="14">
        <v>52</v>
      </c>
      <c r="D40" s="14" t="s">
        <v>11</v>
      </c>
      <c r="E40" s="13"/>
      <c r="F40" s="14">
        <f t="shared" si="3"/>
        <v>0</v>
      </c>
    </row>
    <row r="41" spans="1:6" x14ac:dyDescent="0.2">
      <c r="A41" s="1"/>
      <c r="B41" s="10" t="s">
        <v>72</v>
      </c>
      <c r="C41" s="13"/>
      <c r="D41" s="13"/>
      <c r="E41" s="13"/>
    </row>
    <row r="42" spans="1:6" x14ac:dyDescent="0.2">
      <c r="A42" s="1" t="s">
        <v>73</v>
      </c>
      <c r="B42" s="5" t="s">
        <v>74</v>
      </c>
      <c r="C42" s="14">
        <v>140</v>
      </c>
      <c r="D42" s="14" t="s">
        <v>11</v>
      </c>
      <c r="E42" s="13"/>
      <c r="F42" s="14">
        <f t="shared" ref="F42:F45" si="4">C42*E42</f>
        <v>0</v>
      </c>
    </row>
    <row r="43" spans="1:6" x14ac:dyDescent="0.2">
      <c r="A43" s="1" t="s">
        <v>75</v>
      </c>
      <c r="B43" s="5" t="s">
        <v>76</v>
      </c>
      <c r="C43" s="14">
        <v>380</v>
      </c>
      <c r="D43" s="14" t="s">
        <v>11</v>
      </c>
      <c r="E43" s="13"/>
      <c r="F43" s="14">
        <f t="shared" si="4"/>
        <v>0</v>
      </c>
    </row>
    <row r="44" spans="1:6" x14ac:dyDescent="0.2">
      <c r="A44" s="1" t="s">
        <v>77</v>
      </c>
      <c r="B44" s="5" t="s">
        <v>78</v>
      </c>
      <c r="C44" s="14">
        <v>54</v>
      </c>
      <c r="D44" s="14" t="s">
        <v>11</v>
      </c>
      <c r="E44" s="13"/>
      <c r="F44" s="14">
        <f t="shared" si="4"/>
        <v>0</v>
      </c>
    </row>
    <row r="45" spans="1:6" x14ac:dyDescent="0.2">
      <c r="A45" s="1" t="s">
        <v>79</v>
      </c>
      <c r="B45" s="5" t="s">
        <v>80</v>
      </c>
      <c r="C45" s="14">
        <v>3</v>
      </c>
      <c r="D45" s="14" t="s">
        <v>11</v>
      </c>
      <c r="E45" s="13"/>
      <c r="F45" s="14">
        <f t="shared" si="4"/>
        <v>0</v>
      </c>
    </row>
    <row r="46" spans="1:6" x14ac:dyDescent="0.2">
      <c r="A46" s="1"/>
      <c r="B46" s="10" t="s">
        <v>81</v>
      </c>
      <c r="C46" s="13"/>
      <c r="D46" s="13"/>
      <c r="E46" s="13"/>
    </row>
    <row r="47" spans="1:6" x14ac:dyDescent="0.2">
      <c r="A47" s="1" t="s">
        <v>82</v>
      </c>
      <c r="B47" s="5" t="s">
        <v>83</v>
      </c>
      <c r="C47" s="14">
        <v>8</v>
      </c>
      <c r="D47" s="14" t="s">
        <v>11</v>
      </c>
      <c r="E47" s="13"/>
      <c r="F47" s="14">
        <f>C47*E47</f>
        <v>0</v>
      </c>
    </row>
    <row r="48" spans="1:6" x14ac:dyDescent="0.2">
      <c r="A48" s="1"/>
      <c r="B48" s="10" t="s">
        <v>84</v>
      </c>
      <c r="C48" s="13"/>
      <c r="D48" s="13"/>
      <c r="E48" s="13"/>
    </row>
    <row r="49" spans="1:6" x14ac:dyDescent="0.2">
      <c r="A49" s="1" t="s">
        <v>85</v>
      </c>
      <c r="B49" s="5" t="s">
        <v>86</v>
      </c>
      <c r="C49" s="14">
        <v>11</v>
      </c>
      <c r="D49" s="14" t="s">
        <v>11</v>
      </c>
      <c r="E49" s="13"/>
      <c r="F49" s="14">
        <f t="shared" ref="F49:F51" si="5">C49*E49</f>
        <v>0</v>
      </c>
    </row>
    <row r="50" spans="1:6" x14ac:dyDescent="0.2">
      <c r="A50" s="1" t="s">
        <v>87</v>
      </c>
      <c r="B50" s="5" t="s">
        <v>88</v>
      </c>
      <c r="C50" s="14">
        <v>337</v>
      </c>
      <c r="D50" s="14" t="s">
        <v>11</v>
      </c>
      <c r="E50" s="13"/>
      <c r="F50" s="14">
        <f t="shared" si="5"/>
        <v>0</v>
      </c>
    </row>
    <row r="51" spans="1:6" x14ac:dyDescent="0.2">
      <c r="A51" s="1" t="s">
        <v>89</v>
      </c>
      <c r="B51" s="5" t="s">
        <v>90</v>
      </c>
      <c r="C51" s="14">
        <v>20</v>
      </c>
      <c r="D51" s="14" t="s">
        <v>11</v>
      </c>
      <c r="E51" s="13"/>
      <c r="F51" s="14">
        <f t="shared" si="5"/>
        <v>0</v>
      </c>
    </row>
    <row r="52" spans="1:6" x14ac:dyDescent="0.2">
      <c r="A52" s="1"/>
      <c r="B52" s="10" t="s">
        <v>91</v>
      </c>
      <c r="C52" s="13"/>
      <c r="D52" s="13"/>
      <c r="E52" s="13"/>
    </row>
    <row r="53" spans="1:6" x14ac:dyDescent="0.2">
      <c r="A53" s="1" t="s">
        <v>92</v>
      </c>
      <c r="B53" s="5" t="s">
        <v>93</v>
      </c>
      <c r="C53" s="14">
        <v>3</v>
      </c>
      <c r="D53" s="14" t="s">
        <v>11</v>
      </c>
      <c r="E53" s="13"/>
      <c r="F53" s="14">
        <f>C53*E53</f>
        <v>0</v>
      </c>
    </row>
    <row r="54" spans="1:6" x14ac:dyDescent="0.2">
      <c r="A54" s="1"/>
      <c r="B54" s="10" t="s">
        <v>94</v>
      </c>
      <c r="C54" s="13"/>
      <c r="D54" s="13"/>
      <c r="E54" s="13"/>
    </row>
    <row r="55" spans="1:6" x14ac:dyDescent="0.2">
      <c r="A55" s="1" t="s">
        <v>95</v>
      </c>
      <c r="B55" s="5" t="s">
        <v>96</v>
      </c>
      <c r="C55" s="14">
        <v>62</v>
      </c>
      <c r="D55" s="14" t="s">
        <v>11</v>
      </c>
      <c r="E55" s="13"/>
      <c r="F55" s="14">
        <f t="shared" ref="F55:F56" si="6">C55*E55</f>
        <v>0</v>
      </c>
    </row>
    <row r="56" spans="1:6" x14ac:dyDescent="0.2">
      <c r="A56" s="1" t="s">
        <v>97</v>
      </c>
      <c r="B56" s="5" t="s">
        <v>98</v>
      </c>
      <c r="C56" s="14">
        <v>6</v>
      </c>
      <c r="D56" s="14" t="s">
        <v>11</v>
      </c>
      <c r="E56" s="13"/>
      <c r="F56" s="14">
        <f t="shared" si="6"/>
        <v>0</v>
      </c>
    </row>
    <row r="57" spans="1:6" x14ac:dyDescent="0.2">
      <c r="A57" s="1"/>
      <c r="B57" s="10" t="s">
        <v>99</v>
      </c>
      <c r="C57" s="13"/>
      <c r="D57" s="13"/>
      <c r="E57" s="13"/>
    </row>
    <row r="58" spans="1:6" x14ac:dyDescent="0.2">
      <c r="A58" s="1" t="s">
        <v>100</v>
      </c>
      <c r="B58" s="5" t="s">
        <v>101</v>
      </c>
      <c r="C58" s="14">
        <v>56</v>
      </c>
      <c r="D58" s="14" t="s">
        <v>11</v>
      </c>
      <c r="E58" s="13"/>
      <c r="F58" s="14">
        <f t="shared" ref="F58:F60" si="7">C58*E58</f>
        <v>0</v>
      </c>
    </row>
    <row r="59" spans="1:6" x14ac:dyDescent="0.2">
      <c r="A59" s="1" t="s">
        <v>102</v>
      </c>
      <c r="B59" s="5" t="s">
        <v>103</v>
      </c>
      <c r="C59" s="14">
        <v>22</v>
      </c>
      <c r="D59" s="14" t="s">
        <v>11</v>
      </c>
      <c r="E59" s="13"/>
      <c r="F59" s="14">
        <f t="shared" si="7"/>
        <v>0</v>
      </c>
    </row>
    <row r="60" spans="1:6" x14ac:dyDescent="0.2">
      <c r="A60" s="1" t="s">
        <v>104</v>
      </c>
      <c r="B60" s="5" t="s">
        <v>105</v>
      </c>
      <c r="C60" s="14">
        <v>10</v>
      </c>
      <c r="D60" s="14" t="s">
        <v>11</v>
      </c>
      <c r="E60" s="13"/>
      <c r="F60" s="14">
        <f t="shared" si="7"/>
        <v>0</v>
      </c>
    </row>
    <row r="61" spans="1:6" x14ac:dyDescent="0.2">
      <c r="A61" s="1"/>
      <c r="B61" s="10" t="s">
        <v>106</v>
      </c>
      <c r="C61" s="13"/>
      <c r="D61" s="13"/>
      <c r="E61" s="13"/>
    </row>
    <row r="62" spans="1:6" x14ac:dyDescent="0.2">
      <c r="A62" s="1" t="s">
        <v>107</v>
      </c>
      <c r="B62" s="5" t="s">
        <v>108</v>
      </c>
      <c r="C62" s="14">
        <v>16</v>
      </c>
      <c r="D62" s="14" t="s">
        <v>11</v>
      </c>
      <c r="E62" s="13"/>
      <c r="F62" s="14">
        <f>C62*E62</f>
        <v>0</v>
      </c>
    </row>
    <row r="63" spans="1:6" x14ac:dyDescent="0.2">
      <c r="A63" s="1"/>
      <c r="B63" s="10" t="s">
        <v>109</v>
      </c>
      <c r="C63" s="13"/>
      <c r="D63" s="13"/>
      <c r="E63" s="13"/>
    </row>
    <row r="64" spans="1:6" x14ac:dyDescent="0.2">
      <c r="A64" s="1" t="s">
        <v>110</v>
      </c>
      <c r="B64" s="5" t="s">
        <v>111</v>
      </c>
      <c r="C64" s="14">
        <v>1</v>
      </c>
      <c r="D64" s="14" t="s">
        <v>11</v>
      </c>
      <c r="E64" s="13"/>
      <c r="F64" s="14">
        <f>C64*E64</f>
        <v>0</v>
      </c>
    </row>
    <row r="65" spans="1:6" x14ac:dyDescent="0.2">
      <c r="A65" s="1"/>
      <c r="B65" s="4" t="s">
        <v>112</v>
      </c>
      <c r="C65" s="13"/>
      <c r="D65" s="13"/>
      <c r="E65" s="13"/>
    </row>
    <row r="66" spans="1:6" x14ac:dyDescent="0.2">
      <c r="A66" s="1"/>
      <c r="B66" s="10" t="s">
        <v>113</v>
      </c>
      <c r="C66" s="13"/>
      <c r="D66" s="13"/>
      <c r="E66" s="13"/>
    </row>
    <row r="67" spans="1:6" x14ac:dyDescent="0.2">
      <c r="A67" s="1" t="s">
        <v>114</v>
      </c>
      <c r="B67" s="5" t="s">
        <v>115</v>
      </c>
      <c r="C67" s="14">
        <v>1796</v>
      </c>
      <c r="D67" s="14" t="s">
        <v>11</v>
      </c>
      <c r="E67" s="13"/>
      <c r="F67" s="14">
        <f>C67*E67</f>
        <v>0</v>
      </c>
    </row>
    <row r="68" spans="1:6" x14ac:dyDescent="0.2">
      <c r="A68" s="1"/>
      <c r="B68" s="10" t="s">
        <v>63</v>
      </c>
      <c r="C68" s="13"/>
      <c r="D68" s="13"/>
      <c r="E68" s="13"/>
    </row>
    <row r="69" spans="1:6" x14ac:dyDescent="0.2">
      <c r="A69" s="1" t="s">
        <v>116</v>
      </c>
      <c r="B69" s="5" t="s">
        <v>65</v>
      </c>
      <c r="C69" s="14">
        <v>41</v>
      </c>
      <c r="D69" s="14" t="s">
        <v>11</v>
      </c>
      <c r="E69" s="13"/>
      <c r="F69" s="14">
        <f t="shared" ref="F69:F73" si="8">C69*E69</f>
        <v>0</v>
      </c>
    </row>
    <row r="70" spans="1:6" x14ac:dyDescent="0.2">
      <c r="A70" s="1" t="s">
        <v>117</v>
      </c>
      <c r="B70" s="5" t="s">
        <v>35</v>
      </c>
      <c r="C70" s="14">
        <v>424</v>
      </c>
      <c r="D70" s="14" t="s">
        <v>11</v>
      </c>
      <c r="E70" s="13"/>
      <c r="F70" s="14">
        <f t="shared" si="8"/>
        <v>0</v>
      </c>
    </row>
    <row r="71" spans="1:6" x14ac:dyDescent="0.2">
      <c r="A71" s="1" t="s">
        <v>118</v>
      </c>
      <c r="B71" s="5" t="s">
        <v>69</v>
      </c>
      <c r="C71" s="14">
        <v>13</v>
      </c>
      <c r="D71" s="14" t="s">
        <v>11</v>
      </c>
      <c r="E71" s="13"/>
      <c r="F71" s="14">
        <f t="shared" si="8"/>
        <v>0</v>
      </c>
    </row>
    <row r="72" spans="1:6" x14ac:dyDescent="0.2">
      <c r="A72" s="1" t="s">
        <v>119</v>
      </c>
      <c r="B72" s="5" t="s">
        <v>40</v>
      </c>
      <c r="C72" s="14">
        <v>137</v>
      </c>
      <c r="D72" s="14" t="s">
        <v>11</v>
      </c>
      <c r="E72" s="13"/>
      <c r="F72" s="14">
        <f t="shared" si="8"/>
        <v>0</v>
      </c>
    </row>
    <row r="73" spans="1:6" x14ac:dyDescent="0.2">
      <c r="A73" s="1" t="s">
        <v>120</v>
      </c>
      <c r="B73" s="5" t="s">
        <v>42</v>
      </c>
      <c r="C73" s="14">
        <v>52</v>
      </c>
      <c r="D73" s="14" t="s">
        <v>11</v>
      </c>
      <c r="E73" s="13"/>
      <c r="F73" s="14">
        <f t="shared" si="8"/>
        <v>0</v>
      </c>
    </row>
    <row r="74" spans="1:6" x14ac:dyDescent="0.2">
      <c r="A74" s="1"/>
      <c r="B74" s="10" t="s">
        <v>72</v>
      </c>
      <c r="C74" s="13"/>
      <c r="D74" s="13"/>
      <c r="E74" s="13"/>
    </row>
    <row r="75" spans="1:6" x14ac:dyDescent="0.2">
      <c r="A75" s="1" t="s">
        <v>121</v>
      </c>
      <c r="B75" s="5" t="s">
        <v>74</v>
      </c>
      <c r="C75" s="14">
        <v>140</v>
      </c>
      <c r="D75" s="14" t="s">
        <v>11</v>
      </c>
      <c r="E75" s="13"/>
      <c r="F75" s="14">
        <f t="shared" ref="F75:F78" si="9">C75*E75</f>
        <v>0</v>
      </c>
    </row>
    <row r="76" spans="1:6" x14ac:dyDescent="0.2">
      <c r="A76" s="1" t="s">
        <v>122</v>
      </c>
      <c r="B76" s="5" t="s">
        <v>76</v>
      </c>
      <c r="C76" s="14">
        <v>380</v>
      </c>
      <c r="D76" s="14" t="s">
        <v>11</v>
      </c>
      <c r="E76" s="13"/>
      <c r="F76" s="14">
        <f t="shared" si="9"/>
        <v>0</v>
      </c>
    </row>
    <row r="77" spans="1:6" x14ac:dyDescent="0.2">
      <c r="A77" s="1" t="s">
        <v>123</v>
      </c>
      <c r="B77" s="5" t="s">
        <v>78</v>
      </c>
      <c r="C77" s="14">
        <v>54</v>
      </c>
      <c r="D77" s="14" t="s">
        <v>11</v>
      </c>
      <c r="E77" s="13"/>
      <c r="F77" s="14">
        <f t="shared" si="9"/>
        <v>0</v>
      </c>
    </row>
    <row r="78" spans="1:6" x14ac:dyDescent="0.2">
      <c r="A78" s="1" t="s">
        <v>124</v>
      </c>
      <c r="B78" s="5" t="s">
        <v>80</v>
      </c>
      <c r="C78" s="14">
        <v>3</v>
      </c>
      <c r="D78" s="14" t="s">
        <v>11</v>
      </c>
      <c r="E78" s="13"/>
      <c r="F78" s="14">
        <f t="shared" si="9"/>
        <v>0</v>
      </c>
    </row>
    <row r="79" spans="1:6" x14ac:dyDescent="0.2">
      <c r="A79" s="1"/>
      <c r="B79" s="10" t="s">
        <v>81</v>
      </c>
      <c r="C79" s="13"/>
      <c r="D79" s="13"/>
      <c r="E79" s="13"/>
    </row>
    <row r="80" spans="1:6" x14ac:dyDescent="0.2">
      <c r="A80" s="1" t="s">
        <v>125</v>
      </c>
      <c r="B80" s="5" t="s">
        <v>83</v>
      </c>
      <c r="C80" s="14">
        <v>8</v>
      </c>
      <c r="D80" s="14" t="s">
        <v>11</v>
      </c>
      <c r="E80" s="13"/>
      <c r="F80" s="14">
        <f>C80*E80</f>
        <v>0</v>
      </c>
    </row>
    <row r="81" spans="1:6" x14ac:dyDescent="0.2">
      <c r="A81" s="1"/>
      <c r="B81" s="10" t="s">
        <v>84</v>
      </c>
      <c r="C81" s="13"/>
      <c r="D81" s="13"/>
      <c r="E81" s="13"/>
    </row>
    <row r="82" spans="1:6" x14ac:dyDescent="0.2">
      <c r="A82" s="1" t="s">
        <v>126</v>
      </c>
      <c r="B82" s="5" t="s">
        <v>86</v>
      </c>
      <c r="C82" s="14">
        <v>11</v>
      </c>
      <c r="D82" s="14" t="s">
        <v>11</v>
      </c>
      <c r="E82" s="13"/>
      <c r="F82" s="14">
        <f t="shared" ref="F82:F84" si="10">C82*E82</f>
        <v>0</v>
      </c>
    </row>
    <row r="83" spans="1:6" x14ac:dyDescent="0.2">
      <c r="A83" s="1" t="s">
        <v>127</v>
      </c>
      <c r="B83" s="5" t="s">
        <v>88</v>
      </c>
      <c r="C83" s="14">
        <v>337</v>
      </c>
      <c r="D83" s="14" t="s">
        <v>11</v>
      </c>
      <c r="E83" s="13"/>
      <c r="F83" s="14">
        <f t="shared" si="10"/>
        <v>0</v>
      </c>
    </row>
    <row r="84" spans="1:6" x14ac:dyDescent="0.2">
      <c r="A84" s="1" t="s">
        <v>128</v>
      </c>
      <c r="B84" s="5" t="s">
        <v>90</v>
      </c>
      <c r="C84" s="14">
        <v>20</v>
      </c>
      <c r="D84" s="14" t="s">
        <v>11</v>
      </c>
      <c r="E84" s="13"/>
      <c r="F84" s="14">
        <f t="shared" si="10"/>
        <v>0</v>
      </c>
    </row>
    <row r="85" spans="1:6" x14ac:dyDescent="0.2">
      <c r="A85" s="1"/>
      <c r="B85" s="10" t="s">
        <v>91</v>
      </c>
      <c r="C85" s="13"/>
      <c r="D85" s="13"/>
      <c r="E85" s="13"/>
    </row>
    <row r="86" spans="1:6" x14ac:dyDescent="0.2">
      <c r="A86" s="1" t="s">
        <v>129</v>
      </c>
      <c r="B86" s="5" t="s">
        <v>93</v>
      </c>
      <c r="C86" s="14">
        <v>3</v>
      </c>
      <c r="D86" s="14" t="s">
        <v>11</v>
      </c>
      <c r="E86" s="13"/>
      <c r="F86" s="14">
        <f>C86*E86</f>
        <v>0</v>
      </c>
    </row>
    <row r="87" spans="1:6" x14ac:dyDescent="0.2">
      <c r="A87" s="1"/>
      <c r="B87" s="10" t="s">
        <v>94</v>
      </c>
      <c r="C87" s="13"/>
      <c r="D87" s="13"/>
      <c r="E87" s="13"/>
    </row>
    <row r="88" spans="1:6" x14ac:dyDescent="0.2">
      <c r="A88" s="1" t="s">
        <v>130</v>
      </c>
      <c r="B88" s="5" t="s">
        <v>96</v>
      </c>
      <c r="C88" s="14">
        <v>62</v>
      </c>
      <c r="D88" s="14" t="s">
        <v>11</v>
      </c>
      <c r="E88" s="13"/>
      <c r="F88" s="14">
        <f>C88*E88</f>
        <v>0</v>
      </c>
    </row>
    <row r="89" spans="1:6" x14ac:dyDescent="0.2">
      <c r="A89" s="1" t="s">
        <v>131</v>
      </c>
      <c r="B89" s="5" t="s">
        <v>98</v>
      </c>
      <c r="C89" s="14">
        <v>6</v>
      </c>
      <c r="D89" s="14" t="s">
        <v>11</v>
      </c>
      <c r="E89" s="13"/>
      <c r="F89" s="14">
        <f>C89*E89</f>
        <v>0</v>
      </c>
    </row>
    <row r="90" spans="1:6" x14ac:dyDescent="0.2">
      <c r="A90" s="1"/>
      <c r="B90" s="10" t="s">
        <v>99</v>
      </c>
      <c r="C90" s="13"/>
      <c r="D90" s="13"/>
      <c r="E90" s="13"/>
    </row>
    <row r="91" spans="1:6" x14ac:dyDescent="0.2">
      <c r="A91" s="1" t="s">
        <v>132</v>
      </c>
      <c r="B91" s="5" t="s">
        <v>101</v>
      </c>
      <c r="C91" s="14">
        <v>56</v>
      </c>
      <c r="D91" s="14" t="s">
        <v>11</v>
      </c>
      <c r="E91" s="13"/>
      <c r="F91" s="14">
        <f t="shared" ref="F91:F93" si="11">C91*E91</f>
        <v>0</v>
      </c>
    </row>
    <row r="92" spans="1:6" x14ac:dyDescent="0.2">
      <c r="A92" s="1" t="s">
        <v>133</v>
      </c>
      <c r="B92" s="5" t="s">
        <v>103</v>
      </c>
      <c r="C92" s="14">
        <v>22</v>
      </c>
      <c r="D92" s="14" t="s">
        <v>11</v>
      </c>
      <c r="E92" s="13"/>
      <c r="F92" s="14">
        <f t="shared" si="11"/>
        <v>0</v>
      </c>
    </row>
    <row r="93" spans="1:6" x14ac:dyDescent="0.2">
      <c r="A93" s="1" t="s">
        <v>134</v>
      </c>
      <c r="B93" s="5" t="s">
        <v>105</v>
      </c>
      <c r="C93" s="14">
        <v>10</v>
      </c>
      <c r="D93" s="14" t="s">
        <v>11</v>
      </c>
      <c r="E93" s="13"/>
      <c r="F93" s="14">
        <f t="shared" si="11"/>
        <v>0</v>
      </c>
    </row>
    <row r="94" spans="1:6" x14ac:dyDescent="0.2">
      <c r="A94" s="1"/>
      <c r="B94" s="10" t="s">
        <v>106</v>
      </c>
      <c r="C94" s="13"/>
      <c r="D94" s="13"/>
      <c r="E94" s="13"/>
    </row>
    <row r="95" spans="1:6" x14ac:dyDescent="0.2">
      <c r="A95" s="1" t="s">
        <v>135</v>
      </c>
      <c r="B95" s="5" t="s">
        <v>108</v>
      </c>
      <c r="C95" s="14">
        <v>16</v>
      </c>
      <c r="D95" s="14" t="s">
        <v>11</v>
      </c>
      <c r="E95" s="13"/>
      <c r="F95" s="14">
        <f>C95*E95</f>
        <v>0</v>
      </c>
    </row>
    <row r="96" spans="1:6" x14ac:dyDescent="0.2">
      <c r="A96" s="1"/>
      <c r="B96" s="10" t="s">
        <v>109</v>
      </c>
      <c r="C96" s="13"/>
      <c r="D96" s="13"/>
      <c r="E96" s="13"/>
    </row>
    <row r="97" spans="1:6" x14ac:dyDescent="0.2">
      <c r="A97" s="1" t="s">
        <v>136</v>
      </c>
      <c r="B97" s="5" t="s">
        <v>111</v>
      </c>
      <c r="C97" s="14">
        <v>1</v>
      </c>
      <c r="D97" s="14" t="s">
        <v>11</v>
      </c>
      <c r="E97" s="13"/>
      <c r="F97" s="14">
        <f>C97*E97</f>
        <v>0</v>
      </c>
    </row>
    <row r="98" spans="1:6" x14ac:dyDescent="0.2">
      <c r="A98" s="1"/>
      <c r="B98" s="4" t="s">
        <v>137</v>
      </c>
      <c r="C98" s="13"/>
      <c r="D98" s="13"/>
      <c r="E98" s="13"/>
    </row>
    <row r="99" spans="1:6" x14ac:dyDescent="0.2">
      <c r="A99" s="1"/>
      <c r="B99" s="10" t="s">
        <v>138</v>
      </c>
      <c r="C99" s="13"/>
      <c r="D99" s="13"/>
      <c r="E99" s="13"/>
    </row>
    <row r="100" spans="1:6" x14ac:dyDescent="0.2">
      <c r="A100" s="1" t="s">
        <v>139</v>
      </c>
      <c r="B100" s="5" t="s">
        <v>140</v>
      </c>
      <c r="C100" s="14">
        <v>34</v>
      </c>
      <c r="D100" s="14" t="s">
        <v>55</v>
      </c>
      <c r="E100" s="13"/>
      <c r="F100" s="14">
        <f t="shared" ref="F100:F103" si="12">C100*E100</f>
        <v>0</v>
      </c>
    </row>
    <row r="101" spans="1:6" x14ac:dyDescent="0.2">
      <c r="A101" s="1" t="s">
        <v>141</v>
      </c>
      <c r="B101" s="5" t="s">
        <v>142</v>
      </c>
      <c r="C101" s="14">
        <v>167</v>
      </c>
      <c r="D101" s="14" t="s">
        <v>55</v>
      </c>
      <c r="E101" s="13"/>
      <c r="F101" s="14">
        <f t="shared" si="12"/>
        <v>0</v>
      </c>
    </row>
    <row r="102" spans="1:6" x14ac:dyDescent="0.2">
      <c r="A102" s="1" t="s">
        <v>143</v>
      </c>
      <c r="B102" s="5" t="s">
        <v>144</v>
      </c>
      <c r="C102" s="14">
        <v>94</v>
      </c>
      <c r="D102" s="14" t="s">
        <v>55</v>
      </c>
      <c r="E102" s="13"/>
      <c r="F102" s="14">
        <f t="shared" si="12"/>
        <v>0</v>
      </c>
    </row>
    <row r="103" spans="1:6" x14ac:dyDescent="0.2">
      <c r="A103" s="1" t="s">
        <v>145</v>
      </c>
      <c r="B103" s="5" t="s">
        <v>146</v>
      </c>
      <c r="C103" s="14">
        <v>559</v>
      </c>
      <c r="D103" s="14" t="s">
        <v>55</v>
      </c>
      <c r="E103" s="13"/>
      <c r="F103" s="14">
        <f t="shared" si="12"/>
        <v>0</v>
      </c>
    </row>
    <row r="104" spans="1:6" x14ac:dyDescent="0.2">
      <c r="A104" s="1"/>
      <c r="B104" s="4" t="s">
        <v>147</v>
      </c>
      <c r="C104" s="13"/>
      <c r="D104" s="13"/>
      <c r="E104" s="13"/>
    </row>
    <row r="105" spans="1:6" x14ac:dyDescent="0.2">
      <c r="A105" s="1" t="s">
        <v>148</v>
      </c>
      <c r="B105" s="5" t="s">
        <v>149</v>
      </c>
      <c r="C105" s="14">
        <v>22</v>
      </c>
      <c r="D105" s="14" t="s">
        <v>9</v>
      </c>
      <c r="E105" s="13"/>
      <c r="F105" s="14">
        <f t="shared" ref="F105:F109" si="13">C105*E105</f>
        <v>0</v>
      </c>
    </row>
    <row r="106" spans="1:6" x14ac:dyDescent="0.2">
      <c r="A106" s="1" t="s">
        <v>150</v>
      </c>
      <c r="B106" s="5" t="s">
        <v>151</v>
      </c>
      <c r="C106" s="14">
        <v>3743</v>
      </c>
      <c r="D106" s="14" t="s">
        <v>9</v>
      </c>
      <c r="E106" s="13"/>
      <c r="F106" s="14">
        <f t="shared" si="13"/>
        <v>0</v>
      </c>
    </row>
    <row r="107" spans="1:6" x14ac:dyDescent="0.2">
      <c r="A107" s="1" t="s">
        <v>152</v>
      </c>
      <c r="B107" s="5" t="s">
        <v>153</v>
      </c>
      <c r="C107" s="14">
        <v>1380</v>
      </c>
      <c r="D107" s="14" t="s">
        <v>9</v>
      </c>
      <c r="E107" s="13"/>
      <c r="F107" s="14">
        <f t="shared" si="13"/>
        <v>0</v>
      </c>
    </row>
    <row r="108" spans="1:6" x14ac:dyDescent="0.2">
      <c r="A108" s="1" t="s">
        <v>154</v>
      </c>
      <c r="B108" s="5" t="s">
        <v>155</v>
      </c>
      <c r="C108" s="14">
        <v>12</v>
      </c>
      <c r="D108" s="14" t="s">
        <v>9</v>
      </c>
      <c r="E108" s="13"/>
      <c r="F108" s="14">
        <f t="shared" si="13"/>
        <v>0</v>
      </c>
    </row>
    <row r="109" spans="1:6" x14ac:dyDescent="0.2">
      <c r="A109" s="1" t="s">
        <v>156</v>
      </c>
      <c r="B109" s="5" t="s">
        <v>157</v>
      </c>
      <c r="C109" s="14">
        <v>8</v>
      </c>
      <c r="D109" s="14" t="s">
        <v>9</v>
      </c>
      <c r="E109" s="13"/>
      <c r="F109" s="14">
        <f t="shared" si="13"/>
        <v>0</v>
      </c>
    </row>
    <row r="110" spans="1:6" x14ac:dyDescent="0.2">
      <c r="A110" s="1"/>
      <c r="B110" s="4" t="s">
        <v>12</v>
      </c>
      <c r="C110" s="13"/>
      <c r="D110" s="13"/>
      <c r="E110" s="13"/>
    </row>
    <row r="111" spans="1:6" ht="25.5" x14ac:dyDescent="0.2">
      <c r="A111" s="1" t="s">
        <v>158</v>
      </c>
      <c r="B111" s="5" t="s">
        <v>13</v>
      </c>
      <c r="C111" s="13"/>
      <c r="D111" s="13" t="s">
        <v>8</v>
      </c>
      <c r="E111" s="13"/>
    </row>
    <row r="112" spans="1:6" x14ac:dyDescent="0.2">
      <c r="B112" s="9" t="s">
        <v>2</v>
      </c>
      <c r="F112" s="12">
        <f>SUM(F2:F111)</f>
        <v>0</v>
      </c>
    </row>
  </sheetData>
  <mergeCells count="1">
    <mergeCell ref="A1:F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499740E1-895C-42BE-969E-AFE8E7FB6160}"/>
</file>

<file path=customXml/itemProps2.xml><?xml version="1.0" encoding="utf-8"?>
<ds:datastoreItem xmlns:ds="http://schemas.openxmlformats.org/officeDocument/2006/customXml" ds:itemID="{B389AF52-25B2-495C-AE3D-4E043C85B1AA}"/>
</file>

<file path=customXml/itemProps3.xml><?xml version="1.0" encoding="utf-8"?>
<ds:datastoreItem xmlns:ds="http://schemas.openxmlformats.org/officeDocument/2006/customXml" ds:itemID="{335820AA-7786-408C-B472-87839249C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T06-CONCRETE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Herwaarde, Robert</dc:creator>
  <cp:lastModifiedBy>Van Herwaarde, Robert</cp:lastModifiedBy>
  <dcterms:created xsi:type="dcterms:W3CDTF">2026-03-30T04:32:22Z</dcterms:created>
  <dcterms:modified xsi:type="dcterms:W3CDTF">2026-03-30T05:00:57Z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