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92\"/>
    </mc:Choice>
  </mc:AlternateContent>
  <xr:revisionPtr revIDLastSave="0" documentId="8_{2643F28E-30C2-4957-B688-4421F0D84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37-EXTERIOR ELEMENTS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0" l="1"/>
  <c r="F101" i="10"/>
  <c r="F99" i="10"/>
  <c r="F98" i="10"/>
  <c r="F97" i="10"/>
  <c r="F96" i="10"/>
  <c r="F95" i="10"/>
  <c r="F94" i="10"/>
  <c r="F92" i="10"/>
  <c r="F91" i="10"/>
  <c r="F90" i="10"/>
  <c r="F89" i="10"/>
  <c r="F87" i="10"/>
  <c r="F86" i="10"/>
  <c r="F85" i="10"/>
  <c r="F84" i="10"/>
  <c r="F82" i="10"/>
  <c r="F81" i="10"/>
  <c r="F80" i="10"/>
  <c r="F79" i="10"/>
  <c r="F78" i="10"/>
  <c r="F77" i="10"/>
  <c r="F76" i="10"/>
  <c r="F74" i="10"/>
  <c r="F73" i="10"/>
  <c r="F72" i="10"/>
  <c r="F71" i="10"/>
  <c r="F70" i="10"/>
  <c r="F69" i="10"/>
  <c r="F67" i="10"/>
  <c r="F66" i="10"/>
  <c r="F65" i="10"/>
  <c r="F64" i="10"/>
  <c r="F63" i="10"/>
  <c r="F62" i="10"/>
  <c r="F61" i="10"/>
  <c r="F59" i="10"/>
  <c r="F58" i="10"/>
  <c r="F57" i="10"/>
  <c r="F56" i="10"/>
  <c r="F54" i="10"/>
  <c r="F50" i="10"/>
  <c r="F49" i="10"/>
  <c r="F47" i="10"/>
  <c r="F45" i="10"/>
  <c r="F42" i="10"/>
  <c r="F40" i="10"/>
  <c r="F38" i="10"/>
  <c r="F37" i="10"/>
  <c r="F36" i="10"/>
  <c r="F35" i="10"/>
  <c r="F34" i="10"/>
  <c r="F31" i="10"/>
  <c r="F29" i="10"/>
  <c r="F27" i="10"/>
  <c r="F26" i="10"/>
  <c r="F23" i="10"/>
  <c r="F21" i="10"/>
  <c r="F19" i="10"/>
  <c r="F17" i="10"/>
  <c r="F16" i="10"/>
  <c r="F15" i="10"/>
  <c r="F14" i="10"/>
  <c r="F13" i="10"/>
  <c r="F10" i="10"/>
  <c r="F9" i="10"/>
  <c r="F8" i="10"/>
  <c r="F7" i="10"/>
  <c r="F6" i="10"/>
  <c r="F5" i="10"/>
  <c r="F104" i="10" l="1"/>
</calcChain>
</file>

<file path=xl/sharedStrings.xml><?xml version="1.0" encoding="utf-8"?>
<sst xmlns="http://schemas.openxmlformats.org/spreadsheetml/2006/main" count="252" uniqueCount="184">
  <si>
    <t>Code</t>
  </si>
  <si>
    <t>Description</t>
  </si>
  <si>
    <t>Total</t>
  </si>
  <si>
    <t>Quantity</t>
  </si>
  <si>
    <t>Unit</t>
  </si>
  <si>
    <t>Rate</t>
  </si>
  <si>
    <t>Note</t>
  </si>
  <si>
    <t>item</t>
  </si>
  <si>
    <t>m2</t>
  </si>
  <si>
    <t>m3</t>
  </si>
  <si>
    <t>ADDITIONAL SCOPE</t>
  </si>
  <si>
    <t>The Tenderer shall detail any additional scope of work and its associated costs which is believed to be not covered in the preceding measurement / items</t>
  </si>
  <si>
    <t>m</t>
  </si>
  <si>
    <t>Stairs</t>
  </si>
  <si>
    <t>Edges</t>
  </si>
  <si>
    <t>no</t>
  </si>
  <si>
    <t>EXTERIOR ELEMENTS</t>
  </si>
  <si>
    <t>ROADS, FOOTPATHS AND PAVED AREAS</t>
  </si>
  <si>
    <t>External Pavements</t>
  </si>
  <si>
    <t>T37.1</t>
  </si>
  <si>
    <t>Concrete Crossover - 175 mm Thick concrete crossover with SL92 reinforcing fabric and necessary formwork as per Rockhampton Regional Council STD drawing CMDG-R-42</t>
  </si>
  <si>
    <t>T37.2</t>
  </si>
  <si>
    <t>Pavement Type 1 - 125 mm Deep pedestrian grade insitu coloured concrete CCS Prairie with light acid wash finish [PA1]</t>
  </si>
  <si>
    <t>T37.3</t>
  </si>
  <si>
    <t>Pavement Type 2 - 125 mm Deep pedestrian grade insitu coloured concrete CCS Paperbark with light acid wash finish [PA2]</t>
  </si>
  <si>
    <t>T37.4</t>
  </si>
  <si>
    <t>Pavement Type 3 - 125 mm Deep pedestrian grade insitu concrete with light acid wash finish [PA3]</t>
  </si>
  <si>
    <t>T37.5</t>
  </si>
  <si>
    <t>Tie into existing pavement</t>
  </si>
  <si>
    <t>T37.6</t>
  </si>
  <si>
    <t>Allow for joints</t>
  </si>
  <si>
    <t>External Road Pavements</t>
  </si>
  <si>
    <t>T37.7</t>
  </si>
  <si>
    <t>T37.8</t>
  </si>
  <si>
    <t>Proposed Pavement Type 2 - Compacted subgrade, varying depth imported CBR 10%, 125 mm thick Type 2.3 (CBR 45%) subbase, 125 mm thick Type 2.1 (CBR 80%) base and 50 mm thick AC14 dense graded asphalt wearing course</t>
  </si>
  <si>
    <t>T37.9</t>
  </si>
  <si>
    <t>Proposed Pavement Type 3 - Compacted subgrade, 120 mm thick Type 2.3 (CBR 45%) subbase and 180 mm thick 32MPa concrete slab with SL82 mesh top cover including necessary formwork</t>
  </si>
  <si>
    <t>T37.10</t>
  </si>
  <si>
    <t>Tie in to existing pavement as per Granular Pavement Joint Detail on Civil drawing C140</t>
  </si>
  <si>
    <t>T37.11</t>
  </si>
  <si>
    <t>Allow for joints not shown</t>
  </si>
  <si>
    <t>Linemarking</t>
  </si>
  <si>
    <t>T37.12</t>
  </si>
  <si>
    <t>Allow for linemarking to new road</t>
  </si>
  <si>
    <t>Kerb Ramps</t>
  </si>
  <si>
    <t>T37.13</t>
  </si>
  <si>
    <t>Pedestrian kerb ramp</t>
  </si>
  <si>
    <t>Kerbs</t>
  </si>
  <si>
    <t>T37.14</t>
  </si>
  <si>
    <t>150 mm x 300 mm High barrier kerb as per Civil drawing C140 [BK]</t>
  </si>
  <si>
    <t>T37.15</t>
  </si>
  <si>
    <t>Stairs - Insitu coloured concrete stairs including compacted subgrade and 50 mm lean concrete blinding as per Landscape drawing 725-0085-L-00-DR903 [STR]</t>
  </si>
  <si>
    <t>T37.16</t>
  </si>
  <si>
    <t>Stair Nosing - Latham SB Series Bevelled 765SB stair nosing with Suregrip colour strip [SN]</t>
  </si>
  <si>
    <t>Handrails and Balustrades</t>
  </si>
  <si>
    <t>T37.17</t>
  </si>
  <si>
    <t>42.16 mm OD SS316L Stainless steel handrail including 42.16 mm OD SS316L stainless steel stanchions, 15 mm OD SS316L stainless steel stanchion to handrail connection, SS316L 60 x 150 x 10 mm thick stainless steel base plates and M12 x 90 mm Dynabolt Plus Sleeve Hexhead bolt fixings as per Landscape drawing 725-0085-L-00-DR903 [HR]</t>
  </si>
  <si>
    <t>Tactile Ground Surface Indicators</t>
  </si>
  <si>
    <t>T37.18</t>
  </si>
  <si>
    <t>Tactiles Type 1 Warning [TGSI]</t>
  </si>
  <si>
    <t>BOUNDARY WALLS, FENCING AND GATES</t>
  </si>
  <si>
    <t>Blockwork Walls</t>
  </si>
  <si>
    <t>T37.19</t>
  </si>
  <si>
    <t>Wall Type 2 - 390 x 190 x 390 mm cored fill 200 Series split faced blockwork wall with N12-400 horizontal and N12-400 vertical reinforcement as per Landscape drawing 725-0085-L-00-DR901</t>
  </si>
  <si>
    <t>T37.20</t>
  </si>
  <si>
    <t>Concrete capping to blockwork walls as per Landscape drawing 725-0085-L-00-DR901</t>
  </si>
  <si>
    <t>T37.21</t>
  </si>
  <si>
    <t>Concrete footing to blockwork walls as per Landscape drawing 725-0085-L-00-DR901</t>
  </si>
  <si>
    <t>T37.22</t>
  </si>
  <si>
    <t>20 mm Dia drainage medium wrapped in Bidim A14 geofabric or similar to rear of retaining wall</t>
  </si>
  <si>
    <t>T37.23</t>
  </si>
  <si>
    <t>100 mm Slotted ag. pipe in filter sock</t>
  </si>
  <si>
    <t>Retaining walls</t>
  </si>
  <si>
    <t>T37.24</t>
  </si>
  <si>
    <t>Retaining wall shown on Civil documents not detailed [RW2]</t>
  </si>
  <si>
    <t>Precast Walls</t>
  </si>
  <si>
    <t>T37.25</t>
  </si>
  <si>
    <t>Wall Type 1 - Concrete plinth with prefabricated seat attached as per Landscape drawing 725-0085-L-00-DR902</t>
  </si>
  <si>
    <t>LANDSCAPING AND IMPROVEMENTS</t>
  </si>
  <si>
    <t>T37.26</t>
  </si>
  <si>
    <t>100 x 100 mm Concrete formed edge with trowelled finish [E1]</t>
  </si>
  <si>
    <t>Turf</t>
  </si>
  <si>
    <t>T37.27</t>
  </si>
  <si>
    <t>Turf Type 1 - Cynodon dactylon couch grass laid over 150 mm thick imported organic topsoil, 150 mm cultivated subgrade and 150 mm subgrade RIP as per Landscape drawing 725-0085-L-00-DR905 [TU1]</t>
  </si>
  <si>
    <t>Garden Beds</t>
  </si>
  <si>
    <t>T37.28</t>
  </si>
  <si>
    <t>Garden Bed Type 1 - 100 mm thick mulch type 1, 300 mm topsoil and 200 mm cultivated subgrade as per Landscape drawing 725-0085-L-00-DR905 [GB1]</t>
  </si>
  <si>
    <t>T37.29</t>
  </si>
  <si>
    <t>Make good existing garden bed</t>
  </si>
  <si>
    <t>Trees and Planting</t>
  </si>
  <si>
    <t>Refer to Planting Schedule on Landscape drawing 725-0085-L-00-DR103</t>
  </si>
  <si>
    <t>Tree Protection</t>
  </si>
  <si>
    <t>T37.30</t>
  </si>
  <si>
    <t>Retain existing tree and protect pending Arborist review, allow 1 m dia mulch ring</t>
  </si>
  <si>
    <t>Tree Mix 1 - Feature Trees [TM1]</t>
  </si>
  <si>
    <t>T37.31</t>
  </si>
  <si>
    <t>100L Kauri Pine; 5 m high with 1 m spread [AGA rob]</t>
  </si>
  <si>
    <t>T37.32</t>
  </si>
  <si>
    <t>100L Red Flowering Gum; 2 m high with 1 m spread [COR fic]</t>
  </si>
  <si>
    <t>T37.33</t>
  </si>
  <si>
    <t>100L Hills Weeping Fig; 2.5 m high with 1.5 m spread [FIC mic]</t>
  </si>
  <si>
    <t>T37.34</t>
  </si>
  <si>
    <t>Allow for HDPE Global Synthetics root barrier to trees adjacent wall type 2</t>
  </si>
  <si>
    <t>Tree Mix 2 - Shade Trees [TM2]</t>
  </si>
  <si>
    <t>T37.35</t>
  </si>
  <si>
    <t>100L Ivory Curl; 2 m high with 1.5 m spread [BUC cel]</t>
  </si>
  <si>
    <t>T37.36</t>
  </si>
  <si>
    <t>100L Tuckeroo; 2 m high with 1.5 m spread [CUP ana]</t>
  </si>
  <si>
    <t>T37.37</t>
  </si>
  <si>
    <t>100L Eumundi Quandong; 2 m high with 1 m spread [ELA eum]</t>
  </si>
  <si>
    <t>T37.38</t>
  </si>
  <si>
    <t>100L Weeping Paperbark; 3 m high with 1.5 m spread [MEL leu]</t>
  </si>
  <si>
    <t>T37.39</t>
  </si>
  <si>
    <t>100L Water Gum; 2 m high with 1.5 m spread [TRI lau]</t>
  </si>
  <si>
    <t>T37.40</t>
  </si>
  <si>
    <t>100L Weeping Lilly Pilly; 3 m high with 2 m spread [WAT flo]</t>
  </si>
  <si>
    <t>T37.41</t>
  </si>
  <si>
    <t>Allow for HDPE Global Synthetics roo barrier to trees adjacent wall type 2</t>
  </si>
  <si>
    <t>Specimen Mix 1 - Feature Specimens [SM1]</t>
  </si>
  <si>
    <t>T37.42</t>
  </si>
  <si>
    <t>200 mm Conjevoi Lily [ALO bri]</t>
  </si>
  <si>
    <t>T37.43</t>
  </si>
  <si>
    <t>200 mm Gymea Lily [DOR exc]</t>
  </si>
  <si>
    <t>T37.44</t>
  </si>
  <si>
    <t>300 mm Giant Bromeliad [ALC spp]</t>
  </si>
  <si>
    <t>T37.45</t>
  </si>
  <si>
    <t>300 mm Board Leaved Palm Lily [COR pet]</t>
  </si>
  <si>
    <t>T37.46</t>
  </si>
  <si>
    <t>300 mm Cardboard Palm [ZAM fur]</t>
  </si>
  <si>
    <t>T37.47</t>
  </si>
  <si>
    <t>25L Grass Tree [XAN aus]</t>
  </si>
  <si>
    <t>Planting Mix 1 - Feature Plants [PM1]</t>
  </si>
  <si>
    <t>T37.48</t>
  </si>
  <si>
    <t>140 mm Pig Face [CAR gla]</t>
  </si>
  <si>
    <t>T37.49</t>
  </si>
  <si>
    <t>140 mm Grevillea Royal Mantle [GRE poo]</t>
  </si>
  <si>
    <t>T37.50</t>
  </si>
  <si>
    <t>140 mm Lily Turf [LIR mus]</t>
  </si>
  <si>
    <t>T37.51</t>
  </si>
  <si>
    <t>140 mm Coastal Boobialla [MYO ell]</t>
  </si>
  <si>
    <t>T37.52</t>
  </si>
  <si>
    <t>200 mm Native Ginger [ALP cae]</t>
  </si>
  <si>
    <t>T37.53</t>
  </si>
  <si>
    <t>200 mm Swamp Lily [CRI ped]</t>
  </si>
  <si>
    <t>T37.54</t>
  </si>
  <si>
    <t>200 mm Xanadu [PHI xan]</t>
  </si>
  <si>
    <t>Planting Mix 2 - Screening Mix [PM2]</t>
  </si>
  <si>
    <t>T37.55</t>
  </si>
  <si>
    <t>140 mm Mat Rush [LOM hys]</t>
  </si>
  <si>
    <t>T37.56</t>
  </si>
  <si>
    <t>200 mm Kingaroy Bottle Brush [CAL for]</t>
  </si>
  <si>
    <t>T37.57</t>
  </si>
  <si>
    <t>200 mm White Banks Grevillea [GRE ban]</t>
  </si>
  <si>
    <t>T37.58</t>
  </si>
  <si>
    <t>200 mm Robyn Gordon Grevillea [GRE rob]</t>
  </si>
  <si>
    <t>Planting Mix 3 - Shrubs [PM3]</t>
  </si>
  <si>
    <t>T37.59</t>
  </si>
  <si>
    <t>140 mm Dwarf Banksia [BAN obl]</t>
  </si>
  <si>
    <t>T37.60</t>
  </si>
  <si>
    <t>140 mm Little John [CAL vim]</t>
  </si>
  <si>
    <t>T37.61</t>
  </si>
  <si>
    <t>140 mm Honey Mrtyle 'Pink Lace'</t>
  </si>
  <si>
    <t>T37.62</t>
  </si>
  <si>
    <t>140 mm Coastal Rosemary [WES fru]</t>
  </si>
  <si>
    <t>Planting Mix 4 - Grasses &amp; Groundcovers [PM4]</t>
  </si>
  <si>
    <t>T37.63</t>
  </si>
  <si>
    <t>140 mm Greenwave [CAS glu]</t>
  </si>
  <si>
    <t>T37.64</t>
  </si>
  <si>
    <t>140 mm Yellow Buttons [CHR api]</t>
  </si>
  <si>
    <t>T37.65</t>
  </si>
  <si>
    <t>140 mm Blue Flax Lily [DIA cae]</t>
  </si>
  <si>
    <t>T37.66</t>
  </si>
  <si>
    <t>140 mm Gevillea Cooroora Cascade [GRE hyp]</t>
  </si>
  <si>
    <t>T37.67</t>
  </si>
  <si>
    <t>140 mm Mat Rush [LOM con]</t>
  </si>
  <si>
    <t>T37.68</t>
  </si>
  <si>
    <t>140 mm Creeping Boobialla [MYO par]</t>
  </si>
  <si>
    <t>FURNITURE</t>
  </si>
  <si>
    <t>T37.69</t>
  </si>
  <si>
    <t>Street &amp; Garden drinking fountain Flight FLT8 [DF]</t>
  </si>
  <si>
    <t>T37.70</t>
  </si>
  <si>
    <t>125 mm Deep pedestrian grade insitu coloured concrete footpath to match Landscape [PA1, PA2]</t>
  </si>
  <si>
    <t>D&amp;C concrete slab including finish, falls and drainage</t>
  </si>
  <si>
    <t>Barrier kerb and channel [BKC]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</si>
</sst>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Calibri"/>
    </font>
    <font>
      <b/>
      <sz val="12"/>
      <name val="Calibri"/>
    </font>
    <font>
      <b/>
      <sz val="10"/>
      <name val="Calibri"/>
    </font>
    <font>
      <i/>
      <sz val="10"/>
      <name val="Calibri"/>
    </font>
    <font>
      <u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04"/>
  <sheetViews>
    <sheetView tabSelected="1" workbookViewId="0">
      <selection activeCell="H15" sqref="H15"/>
    </sheetView>
  </sheetViews>
  <sheetFormatPr defaultColWidth="9.140625" defaultRowHeight="12.75" x14ac:dyDescent="0.2"/>
  <cols>
    <col min="1" max="1" width="10.5703125" style="13" customWidth="1"/>
    <col min="2" max="2" width="70.5703125" style="16" customWidth="1"/>
    <col min="3" max="6" width="10.5703125" style="7" customWidth="1"/>
    <col min="7" max="16384" width="9.140625" style="1"/>
  </cols>
  <sheetData>
    <row r="1" spans="1:6" ht="15.75" x14ac:dyDescent="0.2">
      <c r="A1" s="17" t="s">
        <v>16</v>
      </c>
      <c r="B1" s="17"/>
      <c r="C1" s="17"/>
      <c r="D1" s="17"/>
      <c r="E1" s="17"/>
      <c r="F1" s="17"/>
    </row>
    <row r="2" spans="1:6" x14ac:dyDescent="0.2">
      <c r="A2" s="2" t="s">
        <v>0</v>
      </c>
      <c r="B2" s="3" t="s">
        <v>1</v>
      </c>
      <c r="C2" s="4" t="s">
        <v>3</v>
      </c>
      <c r="D2" s="4" t="s">
        <v>4</v>
      </c>
      <c r="E2" s="4" t="s">
        <v>5</v>
      </c>
      <c r="F2" s="4" t="s">
        <v>2</v>
      </c>
    </row>
    <row r="3" spans="1:6" x14ac:dyDescent="0.2">
      <c r="A3" s="5"/>
      <c r="B3" s="3" t="s">
        <v>17</v>
      </c>
      <c r="C3" s="6"/>
      <c r="D3" s="6"/>
      <c r="E3" s="6"/>
    </row>
    <row r="4" spans="1:6" x14ac:dyDescent="0.2">
      <c r="A4" s="5"/>
      <c r="B4" s="3" t="s">
        <v>18</v>
      </c>
      <c r="C4" s="6"/>
      <c r="D4" s="6"/>
      <c r="E4" s="6"/>
    </row>
    <row r="5" spans="1:6" ht="38.25" x14ac:dyDescent="0.2">
      <c r="A5" s="5" t="s">
        <v>19</v>
      </c>
      <c r="B5" s="8" t="s">
        <v>20</v>
      </c>
      <c r="C5" s="9">
        <v>324</v>
      </c>
      <c r="D5" s="9" t="s">
        <v>8</v>
      </c>
      <c r="E5" s="6"/>
      <c r="F5" s="9">
        <f t="shared" ref="F5:F11" si="0">C5*E5</f>
        <v>0</v>
      </c>
    </row>
    <row r="6" spans="1:6" ht="25.5" x14ac:dyDescent="0.2">
      <c r="A6" s="5" t="s">
        <v>21</v>
      </c>
      <c r="B6" s="8" t="s">
        <v>22</v>
      </c>
      <c r="C6" s="9">
        <v>118</v>
      </c>
      <c r="D6" s="9" t="s">
        <v>8</v>
      </c>
      <c r="E6" s="6"/>
      <c r="F6" s="9">
        <f t="shared" si="0"/>
        <v>0</v>
      </c>
    </row>
    <row r="7" spans="1:6" ht="25.5" x14ac:dyDescent="0.2">
      <c r="A7" s="5" t="s">
        <v>23</v>
      </c>
      <c r="B7" s="8" t="s">
        <v>24</v>
      </c>
      <c r="C7" s="9">
        <v>56</v>
      </c>
      <c r="D7" s="9" t="s">
        <v>8</v>
      </c>
      <c r="E7" s="6"/>
      <c r="F7" s="9">
        <f t="shared" si="0"/>
        <v>0</v>
      </c>
    </row>
    <row r="8" spans="1:6" ht="25.5" x14ac:dyDescent="0.2">
      <c r="A8" s="5" t="s">
        <v>25</v>
      </c>
      <c r="B8" s="8" t="s">
        <v>26</v>
      </c>
      <c r="C8" s="9">
        <v>564</v>
      </c>
      <c r="D8" s="9" t="s">
        <v>8</v>
      </c>
      <c r="E8" s="6"/>
      <c r="F8" s="9">
        <f t="shared" si="0"/>
        <v>0</v>
      </c>
    </row>
    <row r="9" spans="1:6" x14ac:dyDescent="0.2">
      <c r="A9" s="5" t="s">
        <v>27</v>
      </c>
      <c r="B9" s="8" t="s">
        <v>28</v>
      </c>
      <c r="C9" s="9">
        <v>20</v>
      </c>
      <c r="D9" s="9" t="s">
        <v>12</v>
      </c>
      <c r="E9" s="6"/>
      <c r="F9" s="9">
        <f t="shared" si="0"/>
        <v>0</v>
      </c>
    </row>
    <row r="10" spans="1:6" x14ac:dyDescent="0.2">
      <c r="A10" s="5" t="s">
        <v>29</v>
      </c>
      <c r="B10" s="8" t="s">
        <v>30</v>
      </c>
      <c r="C10" s="9">
        <v>1060</v>
      </c>
      <c r="D10" s="9" t="s">
        <v>8</v>
      </c>
      <c r="E10" s="6"/>
      <c r="F10" s="9">
        <f t="shared" si="0"/>
        <v>0</v>
      </c>
    </row>
    <row r="11" spans="1:6" ht="25.5" x14ac:dyDescent="0.2">
      <c r="A11" s="5"/>
      <c r="B11" s="19" t="s">
        <v>181</v>
      </c>
      <c r="C11" s="18">
        <v>89</v>
      </c>
      <c r="D11" s="18" t="s">
        <v>8</v>
      </c>
      <c r="E11" s="20"/>
      <c r="F11" s="18">
        <f t="shared" si="0"/>
        <v>0</v>
      </c>
    </row>
    <row r="12" spans="1:6" x14ac:dyDescent="0.2">
      <c r="A12" s="5"/>
      <c r="B12" s="3" t="s">
        <v>31</v>
      </c>
      <c r="C12" s="6"/>
      <c r="D12" s="6"/>
      <c r="E12" s="6"/>
    </row>
    <row r="13" spans="1:6" x14ac:dyDescent="0.2">
      <c r="A13" s="5" t="s">
        <v>32</v>
      </c>
      <c r="B13" s="19" t="s">
        <v>182</v>
      </c>
      <c r="C13" s="18">
        <v>487</v>
      </c>
      <c r="D13" s="18" t="s">
        <v>8</v>
      </c>
      <c r="E13" s="20"/>
      <c r="F13" s="18">
        <f>C13*E13</f>
        <v>0</v>
      </c>
    </row>
    <row r="14" spans="1:6" ht="38.25" x14ac:dyDescent="0.2">
      <c r="A14" s="5" t="s">
        <v>33</v>
      </c>
      <c r="B14" s="19" t="s">
        <v>34</v>
      </c>
      <c r="C14" s="18">
        <v>665</v>
      </c>
      <c r="D14" s="18" t="s">
        <v>8</v>
      </c>
      <c r="E14" s="20"/>
      <c r="F14" s="18">
        <f>C14*E14</f>
        <v>0</v>
      </c>
    </row>
    <row r="15" spans="1:6" ht="38.25" x14ac:dyDescent="0.2">
      <c r="A15" s="5" t="s">
        <v>35</v>
      </c>
      <c r="B15" s="8" t="s">
        <v>36</v>
      </c>
      <c r="C15" s="9">
        <v>254</v>
      </c>
      <c r="D15" s="9" t="s">
        <v>8</v>
      </c>
      <c r="E15" s="6"/>
      <c r="F15" s="9">
        <f>C15*E15</f>
        <v>0</v>
      </c>
    </row>
    <row r="16" spans="1:6" ht="25.5" x14ac:dyDescent="0.2">
      <c r="A16" s="5" t="s">
        <v>37</v>
      </c>
      <c r="B16" s="8" t="s">
        <v>38</v>
      </c>
      <c r="C16" s="9">
        <v>16</v>
      </c>
      <c r="D16" s="9" t="s">
        <v>12</v>
      </c>
      <c r="E16" s="6"/>
      <c r="F16" s="9">
        <f>C16*E16</f>
        <v>0</v>
      </c>
    </row>
    <row r="17" spans="1:6" x14ac:dyDescent="0.2">
      <c r="A17" s="5" t="s">
        <v>39</v>
      </c>
      <c r="B17" s="8" t="s">
        <v>40</v>
      </c>
      <c r="C17" s="9">
        <v>977</v>
      </c>
      <c r="D17" s="9" t="s">
        <v>8</v>
      </c>
      <c r="E17" s="6"/>
      <c r="F17" s="9">
        <f>C17*E17</f>
        <v>0</v>
      </c>
    </row>
    <row r="18" spans="1:6" x14ac:dyDescent="0.2">
      <c r="A18" s="5"/>
      <c r="B18" s="3" t="s">
        <v>41</v>
      </c>
      <c r="C18" s="6"/>
      <c r="D18" s="6"/>
      <c r="E18" s="6"/>
    </row>
    <row r="19" spans="1:6" x14ac:dyDescent="0.2">
      <c r="A19" s="5" t="s">
        <v>42</v>
      </c>
      <c r="B19" s="8" t="s">
        <v>43</v>
      </c>
      <c r="C19" s="9">
        <v>1</v>
      </c>
      <c r="D19" s="9" t="s">
        <v>7</v>
      </c>
      <c r="E19" s="6"/>
      <c r="F19" s="9">
        <f>C19*E19</f>
        <v>0</v>
      </c>
    </row>
    <row r="20" spans="1:6" x14ac:dyDescent="0.2">
      <c r="A20" s="5"/>
      <c r="B20" s="3" t="s">
        <v>44</v>
      </c>
      <c r="C20" s="6"/>
      <c r="D20" s="6"/>
      <c r="E20" s="6"/>
    </row>
    <row r="21" spans="1:6" x14ac:dyDescent="0.2">
      <c r="A21" s="5" t="s">
        <v>45</v>
      </c>
      <c r="B21" s="8" t="s">
        <v>46</v>
      </c>
      <c r="C21" s="9">
        <v>1</v>
      </c>
      <c r="D21" s="9" t="s">
        <v>15</v>
      </c>
      <c r="E21" s="6"/>
      <c r="F21" s="9">
        <f>C21*E21</f>
        <v>0</v>
      </c>
    </row>
    <row r="22" spans="1:6" x14ac:dyDescent="0.2">
      <c r="A22" s="5"/>
      <c r="B22" s="3" t="s">
        <v>47</v>
      </c>
      <c r="C22" s="6"/>
      <c r="D22" s="6"/>
      <c r="E22" s="6"/>
    </row>
    <row r="23" spans="1:6" x14ac:dyDescent="0.2">
      <c r="A23" s="5" t="s">
        <v>48</v>
      </c>
      <c r="B23" s="19" t="s">
        <v>49</v>
      </c>
      <c r="C23" s="18">
        <v>214</v>
      </c>
      <c r="D23" s="18" t="s">
        <v>12</v>
      </c>
      <c r="E23" s="20"/>
      <c r="F23" s="18">
        <f>C23*E23</f>
        <v>0</v>
      </c>
    </row>
    <row r="24" spans="1:6" x14ac:dyDescent="0.2">
      <c r="A24" s="5"/>
      <c r="B24" s="19" t="s">
        <v>183</v>
      </c>
      <c r="C24" s="18">
        <v>73</v>
      </c>
      <c r="D24" s="18" t="s">
        <v>12</v>
      </c>
      <c r="E24" s="20"/>
      <c r="F24" s="18"/>
    </row>
    <row r="25" spans="1:6" x14ac:dyDescent="0.2">
      <c r="A25" s="5"/>
      <c r="B25" s="3" t="s">
        <v>13</v>
      </c>
      <c r="C25" s="6"/>
      <c r="D25" s="6"/>
      <c r="E25" s="6"/>
    </row>
    <row r="26" spans="1:6" ht="25.5" x14ac:dyDescent="0.2">
      <c r="A26" s="5" t="s">
        <v>50</v>
      </c>
      <c r="B26" s="8" t="s">
        <v>51</v>
      </c>
      <c r="C26" s="9">
        <v>14</v>
      </c>
      <c r="D26" s="9" t="s">
        <v>8</v>
      </c>
      <c r="E26" s="6"/>
      <c r="F26" s="9">
        <f>C26*E26</f>
        <v>0</v>
      </c>
    </row>
    <row r="27" spans="1:6" ht="25.5" x14ac:dyDescent="0.2">
      <c r="A27" s="5" t="s">
        <v>52</v>
      </c>
      <c r="B27" s="8" t="s">
        <v>53</v>
      </c>
      <c r="C27" s="9">
        <v>59</v>
      </c>
      <c r="D27" s="9" t="s">
        <v>12</v>
      </c>
      <c r="E27" s="6"/>
      <c r="F27" s="9">
        <f>C27*E27</f>
        <v>0</v>
      </c>
    </row>
    <row r="28" spans="1:6" x14ac:dyDescent="0.2">
      <c r="A28" s="5"/>
      <c r="B28" s="3" t="s">
        <v>54</v>
      </c>
      <c r="C28" s="6"/>
      <c r="D28" s="6"/>
      <c r="E28" s="6"/>
    </row>
    <row r="29" spans="1:6" ht="63.75" x14ac:dyDescent="0.2">
      <c r="A29" s="5" t="s">
        <v>55</v>
      </c>
      <c r="B29" s="8" t="s">
        <v>56</v>
      </c>
      <c r="C29" s="9">
        <v>108</v>
      </c>
      <c r="D29" s="9" t="s">
        <v>12</v>
      </c>
      <c r="E29" s="6"/>
      <c r="F29" s="9">
        <f>C29*E29</f>
        <v>0</v>
      </c>
    </row>
    <row r="30" spans="1:6" x14ac:dyDescent="0.2">
      <c r="A30" s="5"/>
      <c r="B30" s="3" t="s">
        <v>57</v>
      </c>
      <c r="C30" s="6"/>
      <c r="D30" s="6"/>
      <c r="E30" s="6"/>
    </row>
    <row r="31" spans="1:6" x14ac:dyDescent="0.2">
      <c r="A31" s="5" t="s">
        <v>58</v>
      </c>
      <c r="B31" s="8" t="s">
        <v>59</v>
      </c>
      <c r="C31" s="9">
        <v>6</v>
      </c>
      <c r="D31" s="9" t="s">
        <v>8</v>
      </c>
      <c r="E31" s="6"/>
      <c r="F31" s="9">
        <f>C31*E31</f>
        <v>0</v>
      </c>
    </row>
    <row r="32" spans="1:6" x14ac:dyDescent="0.2">
      <c r="A32" s="5"/>
      <c r="B32" s="3" t="s">
        <v>60</v>
      </c>
      <c r="C32" s="6"/>
      <c r="D32" s="6"/>
      <c r="E32" s="6"/>
    </row>
    <row r="33" spans="1:6" x14ac:dyDescent="0.2">
      <c r="A33" s="5"/>
      <c r="B33" s="3" t="s">
        <v>61</v>
      </c>
      <c r="C33" s="6"/>
      <c r="D33" s="6"/>
      <c r="E33" s="6"/>
    </row>
    <row r="34" spans="1:6" ht="38.25" x14ac:dyDescent="0.2">
      <c r="A34" s="5" t="s">
        <v>62</v>
      </c>
      <c r="B34" s="8" t="s">
        <v>63</v>
      </c>
      <c r="C34" s="9">
        <v>88</v>
      </c>
      <c r="D34" s="9" t="s">
        <v>8</v>
      </c>
      <c r="E34" s="6"/>
      <c r="F34" s="9">
        <f>C34*E34</f>
        <v>0</v>
      </c>
    </row>
    <row r="35" spans="1:6" x14ac:dyDescent="0.2">
      <c r="A35" s="5" t="s">
        <v>64</v>
      </c>
      <c r="B35" s="8" t="s">
        <v>65</v>
      </c>
      <c r="C35" s="9">
        <v>168</v>
      </c>
      <c r="D35" s="9" t="s">
        <v>12</v>
      </c>
      <c r="E35" s="6"/>
      <c r="F35" s="9">
        <f>C35*E35</f>
        <v>0</v>
      </c>
    </row>
    <row r="36" spans="1:6" x14ac:dyDescent="0.2">
      <c r="A36" s="5" t="s">
        <v>66</v>
      </c>
      <c r="B36" s="8" t="s">
        <v>67</v>
      </c>
      <c r="C36" s="9">
        <v>168</v>
      </c>
      <c r="D36" s="9" t="s">
        <v>12</v>
      </c>
      <c r="E36" s="6"/>
      <c r="F36" s="9">
        <f>C36*E36</f>
        <v>0</v>
      </c>
    </row>
    <row r="37" spans="1:6" ht="25.5" x14ac:dyDescent="0.2">
      <c r="A37" s="5" t="s">
        <v>68</v>
      </c>
      <c r="B37" s="8" t="s">
        <v>69</v>
      </c>
      <c r="C37" s="9">
        <v>27</v>
      </c>
      <c r="D37" s="9" t="s">
        <v>9</v>
      </c>
      <c r="E37" s="6"/>
      <c r="F37" s="9">
        <f>C37*E37</f>
        <v>0</v>
      </c>
    </row>
    <row r="38" spans="1:6" x14ac:dyDescent="0.2">
      <c r="A38" s="5" t="s">
        <v>70</v>
      </c>
      <c r="B38" s="8" t="s">
        <v>71</v>
      </c>
      <c r="C38" s="9">
        <v>168</v>
      </c>
      <c r="D38" s="9" t="s">
        <v>12</v>
      </c>
      <c r="E38" s="6"/>
      <c r="F38" s="9">
        <f>C38*E38</f>
        <v>0</v>
      </c>
    </row>
    <row r="39" spans="1:6" x14ac:dyDescent="0.2">
      <c r="A39" s="5"/>
      <c r="B39" s="3" t="s">
        <v>72</v>
      </c>
      <c r="C39" s="6"/>
      <c r="D39" s="6"/>
      <c r="E39" s="6"/>
    </row>
    <row r="40" spans="1:6" x14ac:dyDescent="0.2">
      <c r="A40" s="5" t="s">
        <v>73</v>
      </c>
      <c r="B40" s="8" t="s">
        <v>74</v>
      </c>
      <c r="C40" s="9">
        <v>129</v>
      </c>
      <c r="D40" s="9" t="s">
        <v>12</v>
      </c>
      <c r="E40" s="6"/>
      <c r="F40" s="9">
        <f>C40*E40</f>
        <v>0</v>
      </c>
    </row>
    <row r="41" spans="1:6" x14ac:dyDescent="0.2">
      <c r="A41" s="5"/>
      <c r="B41" s="3" t="s">
        <v>75</v>
      </c>
      <c r="C41" s="6"/>
      <c r="D41" s="6"/>
      <c r="E41" s="6"/>
    </row>
    <row r="42" spans="1:6" ht="25.5" x14ac:dyDescent="0.2">
      <c r="A42" s="5" t="s">
        <v>76</v>
      </c>
      <c r="B42" s="8" t="s">
        <v>77</v>
      </c>
      <c r="C42" s="9">
        <v>5</v>
      </c>
      <c r="D42" s="9" t="s">
        <v>15</v>
      </c>
      <c r="E42" s="6"/>
      <c r="F42" s="9">
        <f>C42*E42</f>
        <v>0</v>
      </c>
    </row>
    <row r="43" spans="1:6" x14ac:dyDescent="0.2">
      <c r="A43" s="5"/>
      <c r="B43" s="3" t="s">
        <v>78</v>
      </c>
      <c r="C43" s="6"/>
      <c r="D43" s="6"/>
      <c r="E43" s="6"/>
    </row>
    <row r="44" spans="1:6" x14ac:dyDescent="0.2">
      <c r="A44" s="5"/>
      <c r="B44" s="3" t="s">
        <v>14</v>
      </c>
      <c r="C44" s="6"/>
      <c r="D44" s="6"/>
      <c r="E44" s="6"/>
    </row>
    <row r="45" spans="1:6" x14ac:dyDescent="0.2">
      <c r="A45" s="5" t="s">
        <v>79</v>
      </c>
      <c r="B45" s="8" t="s">
        <v>80</v>
      </c>
      <c r="C45" s="9">
        <v>69</v>
      </c>
      <c r="D45" s="9" t="s">
        <v>12</v>
      </c>
      <c r="E45" s="6"/>
      <c r="F45" s="9">
        <f>C45*E45</f>
        <v>0</v>
      </c>
    </row>
    <row r="46" spans="1:6" x14ac:dyDescent="0.2">
      <c r="A46" s="5"/>
      <c r="B46" s="3" t="s">
        <v>81</v>
      </c>
      <c r="C46" s="6"/>
      <c r="D46" s="6"/>
      <c r="E46" s="6"/>
    </row>
    <row r="47" spans="1:6" ht="38.25" x14ac:dyDescent="0.2">
      <c r="A47" s="5" t="s">
        <v>82</v>
      </c>
      <c r="B47" s="8" t="s">
        <v>83</v>
      </c>
      <c r="C47" s="9">
        <v>1046</v>
      </c>
      <c r="D47" s="9" t="s">
        <v>8</v>
      </c>
      <c r="E47" s="6"/>
      <c r="F47" s="9">
        <f>C47*E47</f>
        <v>0</v>
      </c>
    </row>
    <row r="48" spans="1:6" x14ac:dyDescent="0.2">
      <c r="A48" s="5"/>
      <c r="B48" s="3" t="s">
        <v>84</v>
      </c>
      <c r="C48" s="6"/>
      <c r="D48" s="6"/>
      <c r="E48" s="6"/>
    </row>
    <row r="49" spans="1:6" ht="25.5" x14ac:dyDescent="0.2">
      <c r="A49" s="5" t="s">
        <v>85</v>
      </c>
      <c r="B49" s="8" t="s">
        <v>86</v>
      </c>
      <c r="C49" s="9">
        <v>353</v>
      </c>
      <c r="D49" s="9" t="s">
        <v>8</v>
      </c>
      <c r="E49" s="6"/>
      <c r="F49" s="9">
        <f>C49*E49</f>
        <v>0</v>
      </c>
    </row>
    <row r="50" spans="1:6" x14ac:dyDescent="0.2">
      <c r="A50" s="5" t="s">
        <v>87</v>
      </c>
      <c r="B50" s="8" t="s">
        <v>88</v>
      </c>
      <c r="C50" s="9">
        <v>5</v>
      </c>
      <c r="D50" s="9" t="s">
        <v>8</v>
      </c>
      <c r="E50" s="6"/>
      <c r="F50" s="9">
        <f>C50*E50</f>
        <v>0</v>
      </c>
    </row>
    <row r="51" spans="1:6" x14ac:dyDescent="0.2">
      <c r="A51" s="5"/>
      <c r="B51" s="3" t="s">
        <v>89</v>
      </c>
      <c r="C51" s="6"/>
      <c r="D51" s="6"/>
      <c r="E51" s="6"/>
    </row>
    <row r="52" spans="1:6" x14ac:dyDescent="0.2">
      <c r="A52" s="5"/>
      <c r="B52" s="10" t="s">
        <v>90</v>
      </c>
      <c r="C52" s="6"/>
      <c r="D52" s="11" t="s">
        <v>6</v>
      </c>
      <c r="E52" s="6"/>
    </row>
    <row r="53" spans="1:6" x14ac:dyDescent="0.2">
      <c r="A53" s="5"/>
      <c r="B53" s="12" t="s">
        <v>91</v>
      </c>
      <c r="C53" s="6"/>
      <c r="D53" s="6"/>
      <c r="E53" s="6"/>
    </row>
    <row r="54" spans="1:6" x14ac:dyDescent="0.2">
      <c r="A54" s="5" t="s">
        <v>92</v>
      </c>
      <c r="B54" s="8" t="s">
        <v>93</v>
      </c>
      <c r="C54" s="9">
        <v>5</v>
      </c>
      <c r="D54" s="9" t="s">
        <v>15</v>
      </c>
      <c r="E54" s="6"/>
      <c r="F54" s="9">
        <f>C54*E54</f>
        <v>0</v>
      </c>
    </row>
    <row r="55" spans="1:6" x14ac:dyDescent="0.2">
      <c r="A55" s="5"/>
      <c r="B55" s="12" t="s">
        <v>94</v>
      </c>
      <c r="C55" s="6"/>
      <c r="D55" s="6"/>
      <c r="E55" s="6"/>
    </row>
    <row r="56" spans="1:6" x14ac:dyDescent="0.2">
      <c r="A56" s="5" t="s">
        <v>95</v>
      </c>
      <c r="B56" s="8" t="s">
        <v>96</v>
      </c>
      <c r="C56" s="9">
        <v>2</v>
      </c>
      <c r="D56" s="9" t="s">
        <v>15</v>
      </c>
      <c r="E56" s="6"/>
      <c r="F56" s="9">
        <f>C56*E56</f>
        <v>0</v>
      </c>
    </row>
    <row r="57" spans="1:6" x14ac:dyDescent="0.2">
      <c r="A57" s="5" t="s">
        <v>97</v>
      </c>
      <c r="B57" s="8" t="s">
        <v>98</v>
      </c>
      <c r="C57" s="9">
        <v>2</v>
      </c>
      <c r="D57" s="9" t="s">
        <v>15</v>
      </c>
      <c r="E57" s="6"/>
      <c r="F57" s="9">
        <f>C57*E57</f>
        <v>0</v>
      </c>
    </row>
    <row r="58" spans="1:6" x14ac:dyDescent="0.2">
      <c r="A58" s="5" t="s">
        <v>99</v>
      </c>
      <c r="B58" s="8" t="s">
        <v>100</v>
      </c>
      <c r="C58" s="9">
        <v>1</v>
      </c>
      <c r="D58" s="9" t="s">
        <v>15</v>
      </c>
      <c r="E58" s="6"/>
      <c r="F58" s="9">
        <f>C58*E58</f>
        <v>0</v>
      </c>
    </row>
    <row r="59" spans="1:6" x14ac:dyDescent="0.2">
      <c r="A59" s="5" t="s">
        <v>101</v>
      </c>
      <c r="B59" s="8" t="s">
        <v>102</v>
      </c>
      <c r="C59" s="9">
        <v>1</v>
      </c>
      <c r="D59" s="9" t="s">
        <v>7</v>
      </c>
      <c r="E59" s="6"/>
      <c r="F59" s="9">
        <f>C59*E59</f>
        <v>0</v>
      </c>
    </row>
    <row r="60" spans="1:6" x14ac:dyDescent="0.2">
      <c r="A60" s="5"/>
      <c r="B60" s="12" t="s">
        <v>103</v>
      </c>
      <c r="C60" s="6"/>
      <c r="D60" s="6"/>
      <c r="E60" s="6"/>
    </row>
    <row r="61" spans="1:6" x14ac:dyDescent="0.2">
      <c r="A61" s="5" t="s">
        <v>104</v>
      </c>
      <c r="B61" s="8" t="s">
        <v>105</v>
      </c>
      <c r="C61" s="9">
        <v>2</v>
      </c>
      <c r="D61" s="9" t="s">
        <v>15</v>
      </c>
      <c r="E61" s="6"/>
      <c r="F61" s="9">
        <f t="shared" ref="F61:F67" si="1">C61*E61</f>
        <v>0</v>
      </c>
    </row>
    <row r="62" spans="1:6" x14ac:dyDescent="0.2">
      <c r="A62" s="5" t="s">
        <v>106</v>
      </c>
      <c r="B62" s="8" t="s">
        <v>107</v>
      </c>
      <c r="C62" s="9">
        <v>4</v>
      </c>
      <c r="D62" s="9" t="s">
        <v>15</v>
      </c>
      <c r="E62" s="6"/>
      <c r="F62" s="9">
        <f t="shared" si="1"/>
        <v>0</v>
      </c>
    </row>
    <row r="63" spans="1:6" x14ac:dyDescent="0.2">
      <c r="A63" s="5" t="s">
        <v>108</v>
      </c>
      <c r="B63" s="8" t="s">
        <v>109</v>
      </c>
      <c r="C63" s="9">
        <v>4</v>
      </c>
      <c r="D63" s="9" t="s">
        <v>15</v>
      </c>
      <c r="E63" s="6"/>
      <c r="F63" s="9">
        <f t="shared" si="1"/>
        <v>0</v>
      </c>
    </row>
    <row r="64" spans="1:6" x14ac:dyDescent="0.2">
      <c r="A64" s="5" t="s">
        <v>110</v>
      </c>
      <c r="B64" s="8" t="s">
        <v>111</v>
      </c>
      <c r="C64" s="9">
        <v>1</v>
      </c>
      <c r="D64" s="9" t="s">
        <v>15</v>
      </c>
      <c r="E64" s="6"/>
      <c r="F64" s="9">
        <f t="shared" si="1"/>
        <v>0</v>
      </c>
    </row>
    <row r="65" spans="1:6" x14ac:dyDescent="0.2">
      <c r="A65" s="5" t="s">
        <v>112</v>
      </c>
      <c r="B65" s="8" t="s">
        <v>113</v>
      </c>
      <c r="C65" s="9">
        <v>4</v>
      </c>
      <c r="D65" s="9" t="s">
        <v>15</v>
      </c>
      <c r="E65" s="6"/>
      <c r="F65" s="9">
        <f t="shared" si="1"/>
        <v>0</v>
      </c>
    </row>
    <row r="66" spans="1:6" x14ac:dyDescent="0.2">
      <c r="A66" s="5" t="s">
        <v>114</v>
      </c>
      <c r="B66" s="8" t="s">
        <v>115</v>
      </c>
      <c r="C66" s="9">
        <v>5</v>
      </c>
      <c r="D66" s="9" t="s">
        <v>15</v>
      </c>
      <c r="E66" s="6"/>
      <c r="F66" s="9">
        <f t="shared" si="1"/>
        <v>0</v>
      </c>
    </row>
    <row r="67" spans="1:6" x14ac:dyDescent="0.2">
      <c r="A67" s="5" t="s">
        <v>116</v>
      </c>
      <c r="B67" s="8" t="s">
        <v>117</v>
      </c>
      <c r="C67" s="9">
        <v>1</v>
      </c>
      <c r="D67" s="9" t="s">
        <v>7</v>
      </c>
      <c r="E67" s="6"/>
      <c r="F67" s="9">
        <f t="shared" si="1"/>
        <v>0</v>
      </c>
    </row>
    <row r="68" spans="1:6" x14ac:dyDescent="0.2">
      <c r="A68" s="5"/>
      <c r="B68" s="12" t="s">
        <v>118</v>
      </c>
      <c r="C68" s="6"/>
      <c r="D68" s="6"/>
      <c r="E68" s="6"/>
    </row>
    <row r="69" spans="1:6" x14ac:dyDescent="0.2">
      <c r="A69" s="5" t="s">
        <v>119</v>
      </c>
      <c r="B69" s="8" t="s">
        <v>120</v>
      </c>
      <c r="C69" s="9">
        <v>11</v>
      </c>
      <c r="D69" s="9" t="s">
        <v>15</v>
      </c>
      <c r="E69" s="6"/>
      <c r="F69" s="9">
        <f t="shared" ref="F69:F74" si="2">C69*E69</f>
        <v>0</v>
      </c>
    </row>
    <row r="70" spans="1:6" x14ac:dyDescent="0.2">
      <c r="A70" s="5" t="s">
        <v>121</v>
      </c>
      <c r="B70" s="8" t="s">
        <v>122</v>
      </c>
      <c r="C70" s="9">
        <v>8</v>
      </c>
      <c r="D70" s="9" t="s">
        <v>15</v>
      </c>
      <c r="E70" s="6"/>
      <c r="F70" s="9">
        <f t="shared" si="2"/>
        <v>0</v>
      </c>
    </row>
    <row r="71" spans="1:6" x14ac:dyDescent="0.2">
      <c r="A71" s="5" t="s">
        <v>123</v>
      </c>
      <c r="B71" s="8" t="s">
        <v>124</v>
      </c>
      <c r="C71" s="9">
        <v>11</v>
      </c>
      <c r="D71" s="9" t="s">
        <v>15</v>
      </c>
      <c r="E71" s="6"/>
      <c r="F71" s="9">
        <f t="shared" si="2"/>
        <v>0</v>
      </c>
    </row>
    <row r="72" spans="1:6" x14ac:dyDescent="0.2">
      <c r="A72" s="5" t="s">
        <v>125</v>
      </c>
      <c r="B72" s="8" t="s">
        <v>126</v>
      </c>
      <c r="C72" s="9">
        <v>6</v>
      </c>
      <c r="D72" s="9" t="s">
        <v>15</v>
      </c>
      <c r="E72" s="6"/>
      <c r="F72" s="9">
        <f t="shared" si="2"/>
        <v>0</v>
      </c>
    </row>
    <row r="73" spans="1:6" x14ac:dyDescent="0.2">
      <c r="A73" s="5" t="s">
        <v>127</v>
      </c>
      <c r="B73" s="8" t="s">
        <v>128</v>
      </c>
      <c r="C73" s="9">
        <v>11</v>
      </c>
      <c r="D73" s="9" t="s">
        <v>15</v>
      </c>
      <c r="E73" s="6"/>
      <c r="F73" s="9">
        <f t="shared" si="2"/>
        <v>0</v>
      </c>
    </row>
    <row r="74" spans="1:6" x14ac:dyDescent="0.2">
      <c r="A74" s="5" t="s">
        <v>129</v>
      </c>
      <c r="B74" s="8" t="s">
        <v>130</v>
      </c>
      <c r="C74" s="9">
        <v>8</v>
      </c>
      <c r="D74" s="9" t="s">
        <v>15</v>
      </c>
      <c r="E74" s="6"/>
      <c r="F74" s="9">
        <f t="shared" si="2"/>
        <v>0</v>
      </c>
    </row>
    <row r="75" spans="1:6" x14ac:dyDescent="0.2">
      <c r="A75" s="5"/>
      <c r="B75" s="12" t="s">
        <v>131</v>
      </c>
      <c r="C75" s="6"/>
      <c r="D75" s="6"/>
      <c r="E75" s="6"/>
    </row>
    <row r="76" spans="1:6" x14ac:dyDescent="0.2">
      <c r="A76" s="5" t="s">
        <v>132</v>
      </c>
      <c r="B76" s="8" t="s">
        <v>133</v>
      </c>
      <c r="C76" s="9">
        <v>71</v>
      </c>
      <c r="D76" s="9" t="s">
        <v>15</v>
      </c>
      <c r="E76" s="6"/>
      <c r="F76" s="9">
        <f t="shared" ref="F76:F82" si="3">C76*E76</f>
        <v>0</v>
      </c>
    </row>
    <row r="77" spans="1:6" x14ac:dyDescent="0.2">
      <c r="A77" s="5" t="s">
        <v>134</v>
      </c>
      <c r="B77" s="8" t="s">
        <v>135</v>
      </c>
      <c r="C77" s="9">
        <v>18</v>
      </c>
      <c r="D77" s="9" t="s">
        <v>15</v>
      </c>
      <c r="E77" s="6"/>
      <c r="F77" s="9">
        <f t="shared" si="3"/>
        <v>0</v>
      </c>
    </row>
    <row r="78" spans="1:6" x14ac:dyDescent="0.2">
      <c r="A78" s="5" t="s">
        <v>136</v>
      </c>
      <c r="B78" s="8" t="s">
        <v>137</v>
      </c>
      <c r="C78" s="9">
        <v>71</v>
      </c>
      <c r="D78" s="9" t="s">
        <v>15</v>
      </c>
      <c r="E78" s="6"/>
      <c r="F78" s="9">
        <f t="shared" si="3"/>
        <v>0</v>
      </c>
    </row>
    <row r="79" spans="1:6" x14ac:dyDescent="0.2">
      <c r="A79" s="5" t="s">
        <v>138</v>
      </c>
      <c r="B79" s="8" t="s">
        <v>139</v>
      </c>
      <c r="C79" s="9">
        <v>53</v>
      </c>
      <c r="D79" s="9" t="s">
        <v>15</v>
      </c>
      <c r="E79" s="6"/>
      <c r="F79" s="9">
        <f t="shared" si="3"/>
        <v>0</v>
      </c>
    </row>
    <row r="80" spans="1:6" x14ac:dyDescent="0.2">
      <c r="A80" s="5" t="s">
        <v>140</v>
      </c>
      <c r="B80" s="8" t="s">
        <v>141</v>
      </c>
      <c r="C80" s="9">
        <v>36</v>
      </c>
      <c r="D80" s="9" t="s">
        <v>15</v>
      </c>
      <c r="E80" s="6"/>
      <c r="F80" s="9">
        <f t="shared" si="3"/>
        <v>0</v>
      </c>
    </row>
    <row r="81" spans="1:6" x14ac:dyDescent="0.2">
      <c r="A81" s="5" t="s">
        <v>142</v>
      </c>
      <c r="B81" s="8" t="s">
        <v>143</v>
      </c>
      <c r="C81" s="9">
        <v>36</v>
      </c>
      <c r="D81" s="9" t="s">
        <v>15</v>
      </c>
      <c r="E81" s="6"/>
      <c r="F81" s="9">
        <f t="shared" si="3"/>
        <v>0</v>
      </c>
    </row>
    <row r="82" spans="1:6" x14ac:dyDescent="0.2">
      <c r="A82" s="5" t="s">
        <v>144</v>
      </c>
      <c r="B82" s="8" t="s">
        <v>145</v>
      </c>
      <c r="C82" s="9">
        <v>71</v>
      </c>
      <c r="D82" s="9" t="s">
        <v>15</v>
      </c>
      <c r="E82" s="6"/>
      <c r="F82" s="9">
        <f t="shared" si="3"/>
        <v>0</v>
      </c>
    </row>
    <row r="83" spans="1:6" x14ac:dyDescent="0.2">
      <c r="A83" s="5"/>
      <c r="B83" s="12" t="s">
        <v>146</v>
      </c>
      <c r="C83" s="6"/>
      <c r="D83" s="6"/>
      <c r="E83" s="6"/>
    </row>
    <row r="84" spans="1:6" x14ac:dyDescent="0.2">
      <c r="A84" s="5" t="s">
        <v>147</v>
      </c>
      <c r="B84" s="8" t="s">
        <v>148</v>
      </c>
      <c r="C84" s="9">
        <v>38</v>
      </c>
      <c r="D84" s="9" t="s">
        <v>15</v>
      </c>
      <c r="E84" s="6"/>
      <c r="F84" s="9">
        <f>C84*E84</f>
        <v>0</v>
      </c>
    </row>
    <row r="85" spans="1:6" x14ac:dyDescent="0.2">
      <c r="A85" s="5" t="s">
        <v>149</v>
      </c>
      <c r="B85" s="8" t="s">
        <v>150</v>
      </c>
      <c r="C85" s="9">
        <v>11</v>
      </c>
      <c r="D85" s="9" t="s">
        <v>15</v>
      </c>
      <c r="E85" s="6"/>
      <c r="F85" s="9">
        <f>C85*E85</f>
        <v>0</v>
      </c>
    </row>
    <row r="86" spans="1:6" x14ac:dyDescent="0.2">
      <c r="A86" s="5" t="s">
        <v>151</v>
      </c>
      <c r="B86" s="8" t="s">
        <v>152</v>
      </c>
      <c r="C86" s="9">
        <v>11</v>
      </c>
      <c r="D86" s="9" t="s">
        <v>15</v>
      </c>
      <c r="E86" s="6"/>
      <c r="F86" s="9">
        <f>C86*E86</f>
        <v>0</v>
      </c>
    </row>
    <row r="87" spans="1:6" x14ac:dyDescent="0.2">
      <c r="A87" s="5" t="s">
        <v>153</v>
      </c>
      <c r="B87" s="8" t="s">
        <v>154</v>
      </c>
      <c r="C87" s="9">
        <v>15</v>
      </c>
      <c r="D87" s="9" t="s">
        <v>15</v>
      </c>
      <c r="E87" s="6"/>
      <c r="F87" s="9">
        <f>C87*E87</f>
        <v>0</v>
      </c>
    </row>
    <row r="88" spans="1:6" x14ac:dyDescent="0.2">
      <c r="A88" s="5"/>
      <c r="B88" s="12" t="s">
        <v>155</v>
      </c>
      <c r="C88" s="6"/>
      <c r="D88" s="6"/>
      <c r="E88" s="6"/>
    </row>
    <row r="89" spans="1:6" x14ac:dyDescent="0.2">
      <c r="A89" s="5" t="s">
        <v>156</v>
      </c>
      <c r="B89" s="8" t="s">
        <v>157</v>
      </c>
      <c r="C89" s="9">
        <v>16</v>
      </c>
      <c r="D89" s="9" t="s">
        <v>15</v>
      </c>
      <c r="E89" s="6"/>
      <c r="F89" s="9">
        <f>C89*E89</f>
        <v>0</v>
      </c>
    </row>
    <row r="90" spans="1:6" x14ac:dyDescent="0.2">
      <c r="A90" s="5" t="s">
        <v>158</v>
      </c>
      <c r="B90" s="8" t="s">
        <v>159</v>
      </c>
      <c r="C90" s="9">
        <v>81</v>
      </c>
      <c r="D90" s="9" t="s">
        <v>15</v>
      </c>
      <c r="E90" s="6"/>
      <c r="F90" s="9">
        <f>C90*E90</f>
        <v>0</v>
      </c>
    </row>
    <row r="91" spans="1:6" x14ac:dyDescent="0.2">
      <c r="A91" s="5" t="s">
        <v>160</v>
      </c>
      <c r="B91" s="8" t="s">
        <v>161</v>
      </c>
      <c r="C91" s="9">
        <v>130</v>
      </c>
      <c r="D91" s="9" t="s">
        <v>15</v>
      </c>
      <c r="E91" s="6"/>
      <c r="F91" s="9">
        <f>C91*E91</f>
        <v>0</v>
      </c>
    </row>
    <row r="92" spans="1:6" x14ac:dyDescent="0.2">
      <c r="A92" s="5" t="s">
        <v>162</v>
      </c>
      <c r="B92" s="8" t="s">
        <v>163</v>
      </c>
      <c r="C92" s="9">
        <v>97</v>
      </c>
      <c r="D92" s="9" t="s">
        <v>15</v>
      </c>
      <c r="E92" s="6"/>
      <c r="F92" s="9">
        <f>C92*E92</f>
        <v>0</v>
      </c>
    </row>
    <row r="93" spans="1:6" x14ac:dyDescent="0.2">
      <c r="A93" s="5"/>
      <c r="B93" s="12" t="s">
        <v>164</v>
      </c>
      <c r="C93" s="6"/>
      <c r="D93" s="6"/>
      <c r="E93" s="6"/>
    </row>
    <row r="94" spans="1:6" x14ac:dyDescent="0.2">
      <c r="A94" s="5" t="s">
        <v>165</v>
      </c>
      <c r="B94" s="8" t="s">
        <v>166</v>
      </c>
      <c r="C94" s="9">
        <v>95</v>
      </c>
      <c r="D94" s="9" t="s">
        <v>15</v>
      </c>
      <c r="E94" s="6"/>
      <c r="F94" s="9">
        <f t="shared" ref="F94:F99" si="4">C94*E94</f>
        <v>0</v>
      </c>
    </row>
    <row r="95" spans="1:6" x14ac:dyDescent="0.2">
      <c r="A95" s="5" t="s">
        <v>167</v>
      </c>
      <c r="B95" s="8" t="s">
        <v>168</v>
      </c>
      <c r="C95" s="9">
        <v>71</v>
      </c>
      <c r="D95" s="9" t="s">
        <v>15</v>
      </c>
      <c r="E95" s="6"/>
      <c r="F95" s="9">
        <f t="shared" si="4"/>
        <v>0</v>
      </c>
    </row>
    <row r="96" spans="1:6" x14ac:dyDescent="0.2">
      <c r="A96" s="5" t="s">
        <v>169</v>
      </c>
      <c r="B96" s="8" t="s">
        <v>170</v>
      </c>
      <c r="C96" s="9">
        <v>95</v>
      </c>
      <c r="D96" s="9" t="s">
        <v>15</v>
      </c>
      <c r="E96" s="6"/>
      <c r="F96" s="9">
        <f t="shared" si="4"/>
        <v>0</v>
      </c>
    </row>
    <row r="97" spans="1:6" x14ac:dyDescent="0.2">
      <c r="A97" s="5" t="s">
        <v>171</v>
      </c>
      <c r="B97" s="8" t="s">
        <v>172</v>
      </c>
      <c r="C97" s="9">
        <v>71</v>
      </c>
      <c r="D97" s="9" t="s">
        <v>15</v>
      </c>
      <c r="E97" s="6"/>
      <c r="F97" s="9">
        <f t="shared" si="4"/>
        <v>0</v>
      </c>
    </row>
    <row r="98" spans="1:6" x14ac:dyDescent="0.2">
      <c r="A98" s="5" t="s">
        <v>173</v>
      </c>
      <c r="B98" s="8" t="s">
        <v>174</v>
      </c>
      <c r="C98" s="9">
        <v>71</v>
      </c>
      <c r="D98" s="9" t="s">
        <v>15</v>
      </c>
      <c r="E98" s="6"/>
      <c r="F98" s="9">
        <f t="shared" si="4"/>
        <v>0</v>
      </c>
    </row>
    <row r="99" spans="1:6" x14ac:dyDescent="0.2">
      <c r="A99" s="5" t="s">
        <v>175</v>
      </c>
      <c r="B99" s="8" t="s">
        <v>176</v>
      </c>
      <c r="C99" s="9">
        <v>71</v>
      </c>
      <c r="D99" s="9" t="s">
        <v>15</v>
      </c>
      <c r="E99" s="6"/>
      <c r="F99" s="9">
        <f t="shared" si="4"/>
        <v>0</v>
      </c>
    </row>
    <row r="100" spans="1:6" x14ac:dyDescent="0.2">
      <c r="A100" s="5"/>
      <c r="B100" s="3" t="s">
        <v>177</v>
      </c>
      <c r="C100" s="6"/>
      <c r="D100" s="6"/>
      <c r="E100" s="6"/>
    </row>
    <row r="101" spans="1:6" x14ac:dyDescent="0.2">
      <c r="A101" s="5" t="s">
        <v>178</v>
      </c>
      <c r="B101" s="8" t="s">
        <v>179</v>
      </c>
      <c r="C101" s="9">
        <v>1</v>
      </c>
      <c r="D101" s="9" t="s">
        <v>15</v>
      </c>
      <c r="E101" s="6"/>
      <c r="F101" s="9">
        <f>C101*E101</f>
        <v>0</v>
      </c>
    </row>
    <row r="102" spans="1:6" x14ac:dyDescent="0.2">
      <c r="A102" s="5"/>
      <c r="B102" s="3" t="s">
        <v>10</v>
      </c>
      <c r="C102" s="6"/>
      <c r="D102" s="6"/>
      <c r="E102" s="6"/>
    </row>
    <row r="103" spans="1:6" ht="25.5" x14ac:dyDescent="0.2">
      <c r="A103" s="5" t="s">
        <v>180</v>
      </c>
      <c r="B103" s="8" t="s">
        <v>11</v>
      </c>
      <c r="C103" s="6"/>
      <c r="D103" s="6" t="s">
        <v>7</v>
      </c>
      <c r="E103" s="6"/>
    </row>
    <row r="104" spans="1:6" x14ac:dyDescent="0.2">
      <c r="B104" s="14" t="s">
        <v>2</v>
      </c>
      <c r="F104" s="15">
        <f>SUM(F2:F103)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paperSize="9" scale="71" fitToHeight="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5F804789-76A1-4FEE-8A0B-9404B04F45AB}"/>
</file>

<file path=customXml/itemProps2.xml><?xml version="1.0" encoding="utf-8"?>
<ds:datastoreItem xmlns:ds="http://schemas.openxmlformats.org/officeDocument/2006/customXml" ds:itemID="{51B12155-C477-42F4-A797-D5CB419ED2C2}"/>
</file>

<file path=customXml/itemProps3.xml><?xml version="1.0" encoding="utf-8"?>
<ds:datastoreItem xmlns:ds="http://schemas.openxmlformats.org/officeDocument/2006/customXml" ds:itemID="{2562991C-AD4D-434B-A67E-6DF403E47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T37-EXTERIOR 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Herwaarde, Robert</dc:creator>
  <cp:lastModifiedBy>Van Herwaarde, Robert</cp:lastModifiedBy>
  <cp:lastPrinted>2026-04-06T22:43:21Z</cp:lastPrinted>
  <dcterms:created xsi:type="dcterms:W3CDTF">2026-03-30T04:32:22Z</dcterms:created>
  <dcterms:modified xsi:type="dcterms:W3CDTF">2026-04-10T00:00:14Z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