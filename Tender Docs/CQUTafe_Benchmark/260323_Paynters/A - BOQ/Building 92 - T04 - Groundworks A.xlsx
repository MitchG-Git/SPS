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stimating\3. Tenders\2. Current\Q1849 Rocky TAFE Consoli\BOQ\Building 92\"/>
    </mc:Choice>
  </mc:AlternateContent>
  <xr:revisionPtr revIDLastSave="0" documentId="8_{F5AE37FE-9215-43D7-801D-C283086D7A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04-GROUNDWORK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F20" i="2"/>
  <c r="F19" i="2"/>
  <c r="F18" i="2"/>
  <c r="F17" i="2"/>
  <c r="F14" i="2"/>
  <c r="F13" i="2"/>
  <c r="F10" i="2"/>
  <c r="F8" i="2"/>
  <c r="F7" i="2"/>
  <c r="F6" i="2"/>
  <c r="F25" i="2" l="1"/>
</calcChain>
</file>

<file path=xl/sharedStrings.xml><?xml version="1.0" encoding="utf-8"?>
<sst xmlns="http://schemas.openxmlformats.org/spreadsheetml/2006/main" count="56" uniqueCount="46">
  <si>
    <t>Code</t>
  </si>
  <si>
    <t>Description</t>
  </si>
  <si>
    <t>Total</t>
  </si>
  <si>
    <t>GROUNDWORKS</t>
  </si>
  <si>
    <t>Quantity</t>
  </si>
  <si>
    <t>Unit</t>
  </si>
  <si>
    <t>Rate</t>
  </si>
  <si>
    <t>WORK MEASURED IN OTHER SECTIONS</t>
  </si>
  <si>
    <t>T04.1</t>
  </si>
  <si>
    <t>Stormwater drainage included in T32 HYDRAULICS</t>
  </si>
  <si>
    <t>Note</t>
  </si>
  <si>
    <t>PRELIMINARIES</t>
  </si>
  <si>
    <t>T04.2</t>
  </si>
  <si>
    <t>Site establishment &amp; demobilisation</t>
  </si>
  <si>
    <t>item</t>
  </si>
  <si>
    <t>T04.3</t>
  </si>
  <si>
    <t>Survey set-out</t>
  </si>
  <si>
    <t>T04.4</t>
  </si>
  <si>
    <t>As constructed survey</t>
  </si>
  <si>
    <t>EROSION AND SEDIMENT CONTROL</t>
  </si>
  <si>
    <t>T04.5</t>
  </si>
  <si>
    <t>Allow for erosion and sediment control</t>
  </si>
  <si>
    <t>EXCAVATION</t>
  </si>
  <si>
    <t>Siteworks</t>
  </si>
  <si>
    <t>T04.6</t>
  </si>
  <si>
    <t>Clear the site of all vegetable matter, debris, rubbish etc.; including trees &lt;= 500 girth complete with stumps and roots</t>
  </si>
  <si>
    <t>m2</t>
  </si>
  <si>
    <t>T04.7</t>
  </si>
  <si>
    <t>Excavate to remove top soil average 200 mm deep</t>
  </si>
  <si>
    <t>Bulk Excavation</t>
  </si>
  <si>
    <t>T04.8</t>
  </si>
  <si>
    <t>T04.9</t>
  </si>
  <si>
    <t>T04.10</t>
  </si>
  <si>
    <t>Allow to proof roll sub-grade at pad level</t>
  </si>
  <si>
    <t>T04.11</t>
  </si>
  <si>
    <t>Allow to trim, grade open excavated sub-grade</t>
  </si>
  <si>
    <t>FILLING AND HARDCORE</t>
  </si>
  <si>
    <t>T04.12</t>
  </si>
  <si>
    <t>100 mm Thick Type 2.3 (CBR45%) material to building area :[4,291 m2]</t>
  </si>
  <si>
    <t>m3</t>
  </si>
  <si>
    <t>ADDITIONAL SCOPE</t>
  </si>
  <si>
    <t>T04.13</t>
  </si>
  <si>
    <t>The Tenderer shall detail any additional scope of work and its associated costs which is believed to be not covered in the preceding measurement / items</t>
  </si>
  <si>
    <t>Refer to Addendum 11 for further details</t>
  </si>
  <si>
    <t>Bulk earthwork; commencing at reduced level; bulk cut</t>
  </si>
  <si>
    <t>Allow for imported fill placed in layers not exceeding 200 mm 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</si>
</sst>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Calibri"/>
    </font>
    <font>
      <b/>
      <sz val="12"/>
      <name val="Calibri"/>
    </font>
    <font>
      <b/>
      <sz val="10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5"/>
  <sheetViews>
    <sheetView tabSelected="1" workbookViewId="0">
      <selection activeCell="B22" sqref="B22"/>
    </sheetView>
  </sheetViews>
  <sheetFormatPr defaultColWidth="9.140625" defaultRowHeight="12.75" x14ac:dyDescent="0.2"/>
  <cols>
    <col min="1" max="1" width="10.5703125" style="10" customWidth="1"/>
    <col min="2" max="2" width="70.5703125" style="13" customWidth="1"/>
    <col min="3" max="6" width="10.5703125" style="7" customWidth="1"/>
    <col min="7" max="16384" width="9.140625" style="1"/>
  </cols>
  <sheetData>
    <row r="1" spans="1:6" ht="15.75" x14ac:dyDescent="0.2">
      <c r="A1" s="14" t="s">
        <v>3</v>
      </c>
      <c r="B1" s="14"/>
      <c r="C1" s="14"/>
      <c r="D1" s="14"/>
      <c r="E1" s="14"/>
      <c r="F1" s="14"/>
    </row>
    <row r="2" spans="1:6" x14ac:dyDescent="0.2">
      <c r="A2" s="2" t="s">
        <v>0</v>
      </c>
      <c r="B2" s="3" t="s">
        <v>1</v>
      </c>
      <c r="C2" s="4" t="s">
        <v>4</v>
      </c>
      <c r="D2" s="4" t="s">
        <v>5</v>
      </c>
      <c r="E2" s="4" t="s">
        <v>6</v>
      </c>
      <c r="F2" s="4" t="s">
        <v>2</v>
      </c>
    </row>
    <row r="3" spans="1:6" x14ac:dyDescent="0.2">
      <c r="A3" s="5"/>
      <c r="B3" s="3" t="s">
        <v>7</v>
      </c>
      <c r="C3" s="6"/>
      <c r="D3" s="6"/>
      <c r="E3" s="6"/>
    </row>
    <row r="4" spans="1:6" x14ac:dyDescent="0.2">
      <c r="A4" s="5" t="s">
        <v>8</v>
      </c>
      <c r="B4" s="8" t="s">
        <v>9</v>
      </c>
      <c r="C4" s="6"/>
      <c r="D4" s="6" t="s">
        <v>10</v>
      </c>
      <c r="E4" s="6"/>
    </row>
    <row r="5" spans="1:6" x14ac:dyDescent="0.2">
      <c r="A5" s="5"/>
      <c r="B5" s="3" t="s">
        <v>11</v>
      </c>
      <c r="C5" s="6"/>
      <c r="D5" s="6"/>
      <c r="E5" s="6"/>
    </row>
    <row r="6" spans="1:6" x14ac:dyDescent="0.2">
      <c r="A6" s="5" t="s">
        <v>12</v>
      </c>
      <c r="B6" s="8" t="s">
        <v>13</v>
      </c>
      <c r="C6" s="9">
        <v>1</v>
      </c>
      <c r="D6" s="9" t="s">
        <v>14</v>
      </c>
      <c r="E6" s="6"/>
      <c r="F6" s="9">
        <f>C6*E6</f>
        <v>0</v>
      </c>
    </row>
    <row r="7" spans="1:6" x14ac:dyDescent="0.2">
      <c r="A7" s="5" t="s">
        <v>15</v>
      </c>
      <c r="B7" s="8" t="s">
        <v>16</v>
      </c>
      <c r="C7" s="9">
        <v>1</v>
      </c>
      <c r="D7" s="9" t="s">
        <v>14</v>
      </c>
      <c r="E7" s="6"/>
      <c r="F7" s="9">
        <f t="shared" ref="F7:F8" si="0">C7*E7</f>
        <v>0</v>
      </c>
    </row>
    <row r="8" spans="1:6" x14ac:dyDescent="0.2">
      <c r="A8" s="5" t="s">
        <v>17</v>
      </c>
      <c r="B8" s="8" t="s">
        <v>18</v>
      </c>
      <c r="C8" s="9">
        <v>1</v>
      </c>
      <c r="D8" s="9" t="s">
        <v>14</v>
      </c>
      <c r="E8" s="6"/>
      <c r="F8" s="9">
        <f t="shared" si="0"/>
        <v>0</v>
      </c>
    </row>
    <row r="9" spans="1:6" x14ac:dyDescent="0.2">
      <c r="A9" s="5"/>
      <c r="B9" s="3" t="s">
        <v>19</v>
      </c>
      <c r="C9" s="6"/>
      <c r="D9" s="6"/>
      <c r="E9" s="6"/>
    </row>
    <row r="10" spans="1:6" x14ac:dyDescent="0.2">
      <c r="A10" s="5" t="s">
        <v>20</v>
      </c>
      <c r="B10" s="8" t="s">
        <v>21</v>
      </c>
      <c r="C10" s="9">
        <v>1</v>
      </c>
      <c r="D10" s="9" t="s">
        <v>14</v>
      </c>
      <c r="E10" s="6"/>
      <c r="F10" s="9">
        <f>C10*E10</f>
        <v>0</v>
      </c>
    </row>
    <row r="11" spans="1:6" x14ac:dyDescent="0.2">
      <c r="A11" s="5"/>
      <c r="B11" s="3" t="s">
        <v>22</v>
      </c>
      <c r="C11" s="6"/>
      <c r="D11" s="6"/>
      <c r="E11" s="6"/>
    </row>
    <row r="12" spans="1:6" x14ac:dyDescent="0.2">
      <c r="A12" s="5"/>
      <c r="B12" s="3" t="s">
        <v>23</v>
      </c>
      <c r="C12" s="6"/>
      <c r="D12" s="6"/>
      <c r="E12" s="6"/>
    </row>
    <row r="13" spans="1:6" ht="25.5" x14ac:dyDescent="0.2">
      <c r="A13" s="5" t="s">
        <v>24</v>
      </c>
      <c r="B13" s="8" t="s">
        <v>25</v>
      </c>
      <c r="C13" s="9">
        <v>8009</v>
      </c>
      <c r="D13" s="9" t="s">
        <v>26</v>
      </c>
      <c r="E13" s="6"/>
      <c r="F13" s="9">
        <f t="shared" ref="F13:F14" si="1">C13*E13</f>
        <v>0</v>
      </c>
    </row>
    <row r="14" spans="1:6" x14ac:dyDescent="0.2">
      <c r="A14" s="5" t="s">
        <v>27</v>
      </c>
      <c r="B14" s="8" t="s">
        <v>28</v>
      </c>
      <c r="C14" s="9">
        <v>8009</v>
      </c>
      <c r="D14" s="9" t="s">
        <v>26</v>
      </c>
      <c r="E14" s="6"/>
      <c r="F14" s="9">
        <f t="shared" si="1"/>
        <v>0</v>
      </c>
    </row>
    <row r="15" spans="1:6" x14ac:dyDescent="0.2">
      <c r="A15" s="5"/>
      <c r="B15" s="3" t="s">
        <v>29</v>
      </c>
      <c r="C15" s="6"/>
      <c r="D15" s="6"/>
      <c r="E15" s="6"/>
    </row>
    <row r="16" spans="1:6" x14ac:dyDescent="0.2">
      <c r="A16" s="5"/>
      <c r="B16" s="15" t="s">
        <v>43</v>
      </c>
      <c r="C16" s="17"/>
      <c r="D16" s="17"/>
      <c r="E16" s="17"/>
      <c r="F16" s="18"/>
    </row>
    <row r="17" spans="1:6" x14ac:dyDescent="0.2">
      <c r="A17" s="5" t="s">
        <v>30</v>
      </c>
      <c r="B17" s="16" t="s">
        <v>44</v>
      </c>
      <c r="C17" s="19">
        <v>518</v>
      </c>
      <c r="D17" s="19" t="s">
        <v>39</v>
      </c>
      <c r="E17" s="17"/>
      <c r="F17" s="19">
        <f t="shared" ref="F17:F20" si="2">C17*E17</f>
        <v>0</v>
      </c>
    </row>
    <row r="18" spans="1:6" x14ac:dyDescent="0.2">
      <c r="A18" s="5" t="s">
        <v>31</v>
      </c>
      <c r="B18" s="16" t="s">
        <v>45</v>
      </c>
      <c r="C18" s="19">
        <v>2735</v>
      </c>
      <c r="D18" s="19" t="s">
        <v>39</v>
      </c>
      <c r="E18" s="17"/>
      <c r="F18" s="19">
        <f t="shared" si="2"/>
        <v>0</v>
      </c>
    </row>
    <row r="19" spans="1:6" x14ac:dyDescent="0.2">
      <c r="A19" s="5" t="s">
        <v>32</v>
      </c>
      <c r="B19" s="8" t="s">
        <v>33</v>
      </c>
      <c r="C19" s="9">
        <v>8009</v>
      </c>
      <c r="D19" s="9" t="s">
        <v>26</v>
      </c>
      <c r="E19" s="6"/>
      <c r="F19" s="9">
        <f t="shared" si="2"/>
        <v>0</v>
      </c>
    </row>
    <row r="20" spans="1:6" x14ac:dyDescent="0.2">
      <c r="A20" s="5" t="s">
        <v>34</v>
      </c>
      <c r="B20" s="8" t="s">
        <v>35</v>
      </c>
      <c r="C20" s="9">
        <v>8009</v>
      </c>
      <c r="D20" s="9" t="s">
        <v>26</v>
      </c>
      <c r="E20" s="6"/>
      <c r="F20" s="9">
        <f t="shared" si="2"/>
        <v>0</v>
      </c>
    </row>
    <row r="21" spans="1:6" x14ac:dyDescent="0.2">
      <c r="A21" s="5"/>
      <c r="B21" s="3" t="s">
        <v>36</v>
      </c>
      <c r="C21" s="6"/>
      <c r="D21" s="6"/>
      <c r="E21" s="6"/>
    </row>
    <row r="22" spans="1:6" x14ac:dyDescent="0.2">
      <c r="A22" s="5" t="s">
        <v>37</v>
      </c>
      <c r="B22" s="8" t="s">
        <v>38</v>
      </c>
      <c r="C22" s="9">
        <v>430</v>
      </c>
      <c r="D22" s="9" t="s">
        <v>39</v>
      </c>
      <c r="E22" s="6"/>
      <c r="F22" s="9">
        <f>C22*E22</f>
        <v>0</v>
      </c>
    </row>
    <row r="23" spans="1:6" x14ac:dyDescent="0.2">
      <c r="A23" s="5"/>
      <c r="B23" s="3" t="s">
        <v>40</v>
      </c>
      <c r="C23" s="6"/>
      <c r="D23" s="6"/>
      <c r="E23" s="6"/>
    </row>
    <row r="24" spans="1:6" ht="25.5" x14ac:dyDescent="0.2">
      <c r="A24" s="5" t="s">
        <v>41</v>
      </c>
      <c r="B24" s="8" t="s">
        <v>42</v>
      </c>
      <c r="C24" s="6"/>
      <c r="D24" s="6" t="s">
        <v>14</v>
      </c>
      <c r="E24" s="6"/>
    </row>
    <row r="25" spans="1:6" x14ac:dyDescent="0.2">
      <c r="B25" s="11" t="s">
        <v>2</v>
      </c>
      <c r="F25" s="12">
        <f>SUM(F2:F24)</f>
        <v>0</v>
      </c>
    </row>
  </sheetData>
  <mergeCells count="1">
    <mergeCell ref="A1:F1"/>
  </mergeCells>
  <pageMargins left="0.74803149606299213" right="0.74803149606299213" top="0.98425196850393704" bottom="0.98425196850393704" header="0.51181102362204722" footer="0.51181102362204722"/>
  <pageSetup paperSize="9" scale="71" fitToHeight="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32F09B9B-2796-49A5-8407-C9C0AC4AC14C}"/>
</file>

<file path=customXml/itemProps2.xml><?xml version="1.0" encoding="utf-8"?>
<ds:datastoreItem xmlns:ds="http://schemas.openxmlformats.org/officeDocument/2006/customXml" ds:itemID="{C2A6A24A-A83C-40DB-AB3C-198021048CE0}"/>
</file>

<file path=customXml/itemProps3.xml><?xml version="1.0" encoding="utf-8"?>
<ds:datastoreItem xmlns:ds="http://schemas.openxmlformats.org/officeDocument/2006/customXml" ds:itemID="{886A96AA-EB2E-4B11-9B7B-570F2D7B6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T04-GROUNDWORKS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Herwaarde, Robert</dc:creator>
  <cp:lastModifiedBy>Van Herwaarde, Robert</cp:lastModifiedBy>
  <cp:lastPrinted>2026-04-06T22:16:10Z</cp:lastPrinted>
  <dcterms:created xsi:type="dcterms:W3CDTF">2026-03-30T04:32:22Z</dcterms:created>
  <dcterms:modified xsi:type="dcterms:W3CDTF">2026-04-09T23:53:58Z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</Properties>
</file>