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Projects\04. Procurement\02. Tenders\CQURFQ-26-4-DFM - ROK TAFE Consolidation Stg.2 - Design and Construct\1  Tender\1  Draft\Appendix I - Pricing Schedules (COMPLETE AND RETURN)\"/>
    </mc:Choice>
  </mc:AlternateContent>
  <xr:revisionPtr revIDLastSave="0" documentId="13_ncr:1_{11765B98-88E7-4AF4-B47B-41E8AE789D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8" r:id="rId1"/>
    <sheet name="B92" sheetId="11" r:id="rId2"/>
    <sheet name="B21A" sheetId="18" r:id="rId3"/>
    <sheet name="B33" sheetId="14" r:id="rId4"/>
    <sheet name="B19" sheetId="13" r:id="rId5"/>
    <sheet name="B34" sheetId="15" r:id="rId6"/>
    <sheet name="B36" sheetId="12" r:id="rId7"/>
    <sheet name="B76" sheetId="16" r:id="rId8"/>
    <sheet name="B32" sheetId="17" r:id="rId9"/>
  </sheets>
  <definedNames>
    <definedName name="_xlnm.Print_Area" localSheetId="0">Summary!$A$1:$I$43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8" l="1"/>
  <c r="C25" i="8"/>
  <c r="C24" i="8"/>
  <c r="C23" i="8"/>
  <c r="C22" i="8"/>
  <c r="C21" i="8"/>
  <c r="C11" i="8"/>
  <c r="C10" i="8"/>
  <c r="C9" i="8"/>
  <c r="C42" i="13"/>
  <c r="C39" i="11"/>
  <c r="C43" i="18"/>
  <c r="C48" i="16"/>
  <c r="C42" i="15"/>
  <c r="C46" i="14"/>
  <c r="C46" i="12"/>
  <c r="C49" i="11"/>
  <c r="C44" i="16"/>
  <c r="C42" i="14"/>
  <c r="C42" i="12"/>
  <c r="C12" i="16"/>
  <c r="A11" i="16"/>
  <c r="A15" i="16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C12" i="12"/>
  <c r="A11" i="12"/>
  <c r="C12" i="15"/>
  <c r="A11" i="15"/>
  <c r="C12" i="14"/>
  <c r="A11" i="14"/>
  <c r="C12" i="18"/>
  <c r="A11" i="18"/>
  <c r="C12" i="13"/>
  <c r="A11" i="13"/>
  <c r="C45" i="11"/>
  <c r="C13" i="11"/>
  <c r="C55" i="11"/>
  <c r="A10" i="11"/>
  <c r="A11" i="11" s="1"/>
  <c r="A12" i="11" s="1"/>
  <c r="C39" i="18"/>
  <c r="C34" i="17"/>
  <c r="C40" i="16"/>
  <c r="C38" i="15"/>
  <c r="C38" i="14"/>
  <c r="C38" i="13"/>
  <c r="C38" i="12"/>
  <c r="C43" i="8"/>
  <c r="C38" i="8"/>
  <c r="A2" i="18"/>
  <c r="A15" i="18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2" i="17"/>
  <c r="A11" i="17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2" i="16"/>
  <c r="A2" i="15"/>
  <c r="A15" i="15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2" i="14"/>
  <c r="A15" i="14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2" i="13"/>
  <c r="A15" i="13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2" i="12"/>
  <c r="A15" i="12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B50" i="11"/>
  <c r="A2" i="11"/>
  <c r="C12" i="8" l="1"/>
  <c r="C17" i="8" s="1"/>
  <c r="C27" i="8"/>
  <c r="C32" i="8" s="1"/>
</calcChain>
</file>

<file path=xl/sharedStrings.xml><?xml version="1.0" encoding="utf-8"?>
<sst xmlns="http://schemas.openxmlformats.org/spreadsheetml/2006/main" count="374" uniqueCount="84">
  <si>
    <t>Total</t>
  </si>
  <si>
    <t>Building 36</t>
  </si>
  <si>
    <t>Building 19</t>
  </si>
  <si>
    <t>Building 33</t>
  </si>
  <si>
    <t>Building 34</t>
  </si>
  <si>
    <t>Building 32</t>
  </si>
  <si>
    <t>Sub-Total Building Works</t>
  </si>
  <si>
    <t>External Works</t>
  </si>
  <si>
    <t xml:space="preserve">Truck Pull in Zone </t>
  </si>
  <si>
    <t>External Services</t>
  </si>
  <si>
    <t>Pylon Signage</t>
  </si>
  <si>
    <t>Sub-Total External Works</t>
  </si>
  <si>
    <t>Claim Date:</t>
  </si>
  <si>
    <t>No</t>
  </si>
  <si>
    <t>Description</t>
  </si>
  <si>
    <t>Rockhampton TAFE Consolidation Stage 2</t>
  </si>
  <si>
    <t>25/02/2026</t>
  </si>
  <si>
    <t xml:space="preserve">Returnable schedule </t>
  </si>
  <si>
    <t>Building 92 (New Trades Building)</t>
  </si>
  <si>
    <t>Building 92 ESD Uplifts</t>
  </si>
  <si>
    <t>Building 76</t>
  </si>
  <si>
    <t>Landscaping &amp; Outdoor Car Storage to Building 92</t>
  </si>
  <si>
    <t>Drop-off Area (B36)</t>
  </si>
  <si>
    <t xml:space="preserve">Preliminaries </t>
  </si>
  <si>
    <t>Margin</t>
  </si>
  <si>
    <t>Design Finalisation (including novation)</t>
  </si>
  <si>
    <t xml:space="preserve">Other </t>
  </si>
  <si>
    <t>Building Works</t>
  </si>
  <si>
    <t>Substructure</t>
  </si>
  <si>
    <t>Columns</t>
  </si>
  <si>
    <t xml:space="preserve">Upper Floors </t>
  </si>
  <si>
    <t xml:space="preserve">Staircases </t>
  </si>
  <si>
    <t>Roof</t>
  </si>
  <si>
    <t>External Walls &amp; Windows</t>
  </si>
  <si>
    <t>Internal Walls &amp; Windows</t>
  </si>
  <si>
    <t>Doors, Frames &amp; Hardware</t>
  </si>
  <si>
    <t>Metal Work</t>
  </si>
  <si>
    <t>Wall Finishes</t>
  </si>
  <si>
    <t>Floor Finishes</t>
  </si>
  <si>
    <t>Ceiling Finishes</t>
  </si>
  <si>
    <t>Joinery</t>
  </si>
  <si>
    <t>FF&amp;E</t>
  </si>
  <si>
    <t>Workstations</t>
  </si>
  <si>
    <t>Signage and Graphics</t>
  </si>
  <si>
    <t>Vertical Transportation</t>
  </si>
  <si>
    <t>Hydraulic Services</t>
  </si>
  <si>
    <t>Mechanical Services</t>
  </si>
  <si>
    <t>Electrical, Communication &amp; Security Services</t>
  </si>
  <si>
    <t xml:space="preserve">AV Services </t>
  </si>
  <si>
    <t>Fire Services</t>
  </si>
  <si>
    <t>Final Cleaning</t>
  </si>
  <si>
    <t>Sub-Total  ESD Uplift</t>
  </si>
  <si>
    <t>Item 1</t>
  </si>
  <si>
    <t>Item 2</t>
  </si>
  <si>
    <t>List all items (i.e solar, rain water tank, additional ventilation etc)</t>
  </si>
  <si>
    <t>Green House</t>
  </si>
  <si>
    <t>Recreation Area</t>
  </si>
  <si>
    <t xml:space="preserve">Value Engineering </t>
  </si>
  <si>
    <t xml:space="preserve">List items of any VE opportunities including alternate products or material </t>
  </si>
  <si>
    <t>Proprietary Sheds</t>
  </si>
  <si>
    <t>Special Equipment</t>
  </si>
  <si>
    <t>Proprietary Sheds and Toilet</t>
  </si>
  <si>
    <t>Total Optional Cost</t>
  </si>
  <si>
    <t xml:space="preserve">Total Value Engineering </t>
  </si>
  <si>
    <t>Optional Costs</t>
  </si>
  <si>
    <t>Demolition</t>
  </si>
  <si>
    <t>Engineering workshop</t>
  </si>
  <si>
    <t>Fleet carpark</t>
  </si>
  <si>
    <t>Small shed</t>
  </si>
  <si>
    <t>Other</t>
  </si>
  <si>
    <t>Sub-Total Demolition Works</t>
  </si>
  <si>
    <t>Demolition (Internal)</t>
  </si>
  <si>
    <t>Footpaths (B33)</t>
  </si>
  <si>
    <t>Footpaths (B76)</t>
  </si>
  <si>
    <t>Relocation costs</t>
  </si>
  <si>
    <t>Sub-Total Relocation Costs</t>
  </si>
  <si>
    <t xml:space="preserve">Building 21A (Refurb and New Shed Engineering Workshop) </t>
  </si>
  <si>
    <t>GROSS CONSTRUCTION COST SP1</t>
  </si>
  <si>
    <t>NETT CONSTRUCTION COST SP1</t>
  </si>
  <si>
    <t>NETT CONSTRUCTION COST SP2</t>
  </si>
  <si>
    <t>GROSS CONSTRUCTION COST SP2</t>
  </si>
  <si>
    <t>SEPARABLE PORTION 1</t>
  </si>
  <si>
    <t>SEPARABLE PORTION 2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</si>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</sst>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dd\.mm\.yyyy"/>
  </numFmts>
  <fonts count="24">
    <font>
      <sz val="10"/>
      <name val="Arial"/>
    </font>
    <font>
      <sz val="10"/>
      <name val="Arial"/>
      <family val="2"/>
    </font>
    <font>
      <sz val="10"/>
      <name val="Verdana"/>
      <family val="2"/>
    </font>
    <font>
      <b/>
      <sz val="12"/>
      <color rgb="FFFFFFFF"/>
      <name val="Helvetica Neue"/>
    </font>
    <font>
      <b/>
      <sz val="10"/>
      <color theme="0"/>
      <name val="Helvetica Neue"/>
    </font>
    <font>
      <sz val="10"/>
      <name val="Helvetica Neue Light"/>
    </font>
    <font>
      <sz val="20"/>
      <color indexed="9"/>
      <name val="Helvetica Neue Light"/>
    </font>
    <font>
      <sz val="10"/>
      <name val="Verdana"/>
      <family val="2"/>
    </font>
    <font>
      <sz val="16"/>
      <name val="Helvetica Neue Light"/>
    </font>
    <font>
      <b/>
      <sz val="11"/>
      <name val="Arial"/>
      <family val="2"/>
    </font>
    <font>
      <sz val="10"/>
      <name val="Verdana"/>
      <family val="2"/>
    </font>
    <font>
      <sz val="20"/>
      <color indexed="9"/>
      <name val="Franklin Gothic Book"/>
      <family val="2"/>
    </font>
    <font>
      <sz val="10"/>
      <name val="Franklin Gothic Book"/>
      <family val="2"/>
    </font>
    <font>
      <sz val="10"/>
      <name val="Courier New"/>
      <family val="3"/>
    </font>
    <font>
      <b/>
      <sz val="10"/>
      <color theme="0"/>
      <name val="Franklin Gothic Book"/>
      <family val="2"/>
    </font>
    <font>
      <b/>
      <sz val="16"/>
      <name val="Franklin Gothic Book"/>
      <family val="2"/>
    </font>
    <font>
      <sz val="14"/>
      <name val="Franklin Gothic Book"/>
      <family val="2"/>
    </font>
    <font>
      <sz val="16"/>
      <name val="Franklin Gothic Book"/>
      <family val="2"/>
    </font>
    <font>
      <sz val="10"/>
      <color rgb="FF1E1E1E"/>
      <name val="Franklin Gothic Book"/>
      <family val="2"/>
    </font>
    <font>
      <sz val="10"/>
      <color indexed="8"/>
      <name val="Franklin Gothic Book"/>
      <family val="2"/>
    </font>
    <font>
      <sz val="10"/>
      <color theme="0"/>
      <name val="Franklin Gothic Book"/>
      <family val="2"/>
    </font>
    <font>
      <b/>
      <u/>
      <sz val="10"/>
      <color indexed="8"/>
      <name val="Franklin Gothic Book"/>
      <family val="2"/>
    </font>
    <font>
      <sz val="8"/>
      <name val="Arial"/>
    </font>
    <font>
      <b/>
      <sz val="10"/>
      <color indexed="8"/>
      <name val="Franklin Gothic Book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E27"/>
        <bgColor indexed="64"/>
      </patternFill>
    </fill>
    <fill>
      <patternFill patternType="solid">
        <fgColor rgb="FF807F83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4" borderId="2">
      <alignment vertical="center" wrapText="1"/>
    </xf>
    <xf numFmtId="0" fontId="3" fillId="3" borderId="3">
      <alignment vertical="center" wrapText="1"/>
    </xf>
    <xf numFmtId="0" fontId="6" fillId="3" borderId="0">
      <alignment vertical="center"/>
    </xf>
    <xf numFmtId="0" fontId="5" fillId="5" borderId="2">
      <alignment vertical="center"/>
    </xf>
    <xf numFmtId="0" fontId="7" fillId="2" borderId="0"/>
    <xf numFmtId="0" fontId="5" fillId="0" borderId="0">
      <alignment vertical="center"/>
    </xf>
    <xf numFmtId="0" fontId="8" fillId="0" borderId="0">
      <alignment vertical="center"/>
    </xf>
    <xf numFmtId="9" fontId="7" fillId="0" borderId="0" applyFont="0" applyFill="0" applyBorder="0" applyAlignment="0" applyProtection="0"/>
    <xf numFmtId="0" fontId="1" fillId="0" borderId="0"/>
    <xf numFmtId="44" fontId="9" fillId="6" borderId="4">
      <alignment horizontal="center" vertical="center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7" fillId="2" borderId="0"/>
    <xf numFmtId="43" fontId="7" fillId="0" borderId="0" applyFont="0" applyFill="0" applyBorder="0" applyAlignment="0" applyProtection="0"/>
    <xf numFmtId="44" fontId="9" fillId="6" borderId="4">
      <alignment horizontal="center" vertical="center"/>
    </xf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0" fillId="0" borderId="0"/>
    <xf numFmtId="0" fontId="2" fillId="2" borderId="0"/>
    <xf numFmtId="9" fontId="2" fillId="0" borderId="0" applyFont="0" applyFill="0" applyBorder="0" applyAlignment="0" applyProtection="0"/>
    <xf numFmtId="44" fontId="9" fillId="6" borderId="4">
      <alignment horizontal="center" vertical="center"/>
    </xf>
    <xf numFmtId="43" fontId="1" fillId="0" borderId="0" applyFont="0" applyFill="0" applyBorder="0" applyAlignment="0" applyProtection="0"/>
    <xf numFmtId="0" fontId="2" fillId="0" borderId="0"/>
    <xf numFmtId="0" fontId="2" fillId="2" borderId="0"/>
    <xf numFmtId="43" fontId="2" fillId="0" borderId="0" applyFont="0" applyFill="0" applyBorder="0" applyAlignment="0" applyProtection="0"/>
    <xf numFmtId="0" fontId="13" fillId="0" borderId="0"/>
  </cellStyleXfs>
  <cellXfs count="47">
    <xf numFmtId="0" fontId="0" fillId="0" borderId="0" xfId="0"/>
    <xf numFmtId="0" fontId="12" fillId="0" borderId="0" xfId="11" applyFont="1"/>
    <xf numFmtId="0" fontId="12" fillId="0" borderId="0" xfId="11" applyFont="1" applyAlignment="1">
      <alignment vertical="top"/>
    </xf>
    <xf numFmtId="0" fontId="12" fillId="0" borderId="0" xfId="30" applyFont="1"/>
    <xf numFmtId="0" fontId="12" fillId="0" borderId="0" xfId="11" applyFont="1" applyAlignment="1">
      <alignment horizontal="right" wrapText="1"/>
    </xf>
    <xf numFmtId="0" fontId="12" fillId="0" borderId="0" xfId="11" applyFont="1" applyAlignment="1">
      <alignment horizontal="right" vertical="top" wrapText="1"/>
    </xf>
    <xf numFmtId="0" fontId="12" fillId="0" borderId="0" xfId="30" applyFont="1" applyAlignment="1">
      <alignment horizontal="right" wrapText="1"/>
    </xf>
    <xf numFmtId="0" fontId="15" fillId="0" borderId="9" xfId="5" applyFont="1" applyFill="1" applyBorder="1">
      <alignment vertical="center"/>
    </xf>
    <xf numFmtId="0" fontId="16" fillId="0" borderId="9" xfId="5" applyFont="1" applyFill="1" applyBorder="1" applyAlignment="1">
      <alignment vertical="center" wrapText="1"/>
    </xf>
    <xf numFmtId="0" fontId="17" fillId="0" borderId="10" xfId="5" applyFont="1" applyFill="1" applyBorder="1" applyAlignment="1">
      <alignment vertical="center" wrapText="1"/>
    </xf>
    <xf numFmtId="0" fontId="12" fillId="0" borderId="0" xfId="30" applyFont="1" applyAlignment="1">
      <alignment wrapText="1"/>
    </xf>
    <xf numFmtId="0" fontId="18" fillId="0" borderId="0" xfId="8" applyFont="1">
      <alignment vertical="center"/>
    </xf>
    <xf numFmtId="165" fontId="18" fillId="0" borderId="0" xfId="8" quotePrefix="1" applyNumberFormat="1" applyFont="1" applyAlignment="1">
      <alignment horizontal="left" vertical="center" wrapText="1"/>
    </xf>
    <xf numFmtId="0" fontId="19" fillId="0" borderId="0" xfId="0" applyFont="1"/>
    <xf numFmtId="0" fontId="19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19" fillId="0" borderId="0" xfId="0" applyFont="1" applyAlignment="1">
      <alignment vertical="center"/>
    </xf>
    <xf numFmtId="0" fontId="19" fillId="0" borderId="7" xfId="0" applyFont="1" applyBorder="1" applyAlignment="1">
      <alignment horizontal="center" vertical="top"/>
    </xf>
    <xf numFmtId="0" fontId="19" fillId="0" borderId="7" xfId="0" applyFont="1" applyBorder="1" applyAlignment="1">
      <alignment vertical="top" wrapText="1"/>
    </xf>
    <xf numFmtId="164" fontId="19" fillId="0" borderId="7" xfId="1" applyNumberFormat="1" applyFont="1" applyBorder="1" applyAlignment="1">
      <alignment horizontal="right" vertical="top" wrapText="1"/>
    </xf>
    <xf numFmtId="0" fontId="19" fillId="0" borderId="6" xfId="0" applyFont="1" applyBorder="1" applyAlignment="1">
      <alignment horizontal="center" vertical="top"/>
    </xf>
    <xf numFmtId="0" fontId="19" fillId="0" borderId="6" xfId="0" applyFont="1" applyBorder="1" applyAlignment="1">
      <alignment vertical="top" wrapText="1"/>
    </xf>
    <xf numFmtId="164" fontId="19" fillId="0" borderId="6" xfId="1" applyNumberFormat="1" applyFont="1" applyBorder="1" applyAlignment="1">
      <alignment horizontal="right" vertical="top" wrapText="1"/>
    </xf>
    <xf numFmtId="0" fontId="19" fillId="0" borderId="8" xfId="0" applyFont="1" applyBorder="1" applyAlignment="1">
      <alignment vertical="top" wrapText="1"/>
    </xf>
    <xf numFmtId="164" fontId="19" fillId="0" borderId="8" xfId="1" applyNumberFormat="1" applyFont="1" applyBorder="1" applyAlignment="1">
      <alignment horizontal="right" vertical="top" wrapText="1"/>
    </xf>
    <xf numFmtId="0" fontId="21" fillId="0" borderId="7" xfId="0" applyFont="1" applyBorder="1" applyAlignment="1">
      <alignment vertical="top" wrapText="1"/>
    </xf>
    <xf numFmtId="0" fontId="20" fillId="8" borderId="1" xfId="0" applyFont="1" applyFill="1" applyBorder="1" applyAlignment="1">
      <alignment horizontal="center" vertical="center"/>
    </xf>
    <xf numFmtId="164" fontId="14" fillId="8" borderId="1" xfId="1" applyNumberFormat="1" applyFont="1" applyFill="1" applyBorder="1" applyAlignment="1">
      <alignment horizontal="right" vertical="center" wrapText="1"/>
    </xf>
    <xf numFmtId="0" fontId="14" fillId="8" borderId="5" xfId="0" applyFont="1" applyFill="1" applyBorder="1" applyAlignment="1">
      <alignment horizontal="center" vertical="center"/>
    </xf>
    <xf numFmtId="164" fontId="14" fillId="8" borderId="5" xfId="1" applyNumberFormat="1" applyFont="1" applyFill="1" applyBorder="1" applyAlignment="1">
      <alignment horizontal="right" vertical="center" wrapText="1"/>
    </xf>
    <xf numFmtId="0" fontId="11" fillId="3" borderId="9" xfId="5" applyFont="1" applyBorder="1" applyAlignment="1">
      <alignment horizontal="center" vertical="center"/>
    </xf>
    <xf numFmtId="0" fontId="14" fillId="8" borderId="1" xfId="0" applyFont="1" applyFill="1" applyBorder="1" applyAlignment="1">
      <alignment horizontal="right" vertical="center" wrapText="1"/>
    </xf>
    <xf numFmtId="0" fontId="21" fillId="0" borderId="6" xfId="0" applyFont="1" applyBorder="1" applyAlignment="1">
      <alignment vertical="top" wrapText="1"/>
    </xf>
    <xf numFmtId="0" fontId="15" fillId="0" borderId="9" xfId="5" applyFont="1" applyFill="1" applyBorder="1" applyAlignment="1">
      <alignment horizontal="left" vertical="center"/>
    </xf>
    <xf numFmtId="0" fontId="11" fillId="3" borderId="9" xfId="5" applyFont="1" applyBorder="1" applyAlignment="1">
      <alignment horizontal="center" vertical="center"/>
    </xf>
    <xf numFmtId="0" fontId="14" fillId="7" borderId="11" xfId="11" applyFont="1" applyFill="1" applyBorder="1" applyAlignment="1">
      <alignment horizontal="center" vertical="center" wrapText="1"/>
    </xf>
    <xf numFmtId="0" fontId="14" fillId="7" borderId="12" xfId="11" applyFont="1" applyFill="1" applyBorder="1" applyAlignment="1">
      <alignment horizontal="center" vertical="center" wrapText="1"/>
    </xf>
    <xf numFmtId="0" fontId="14" fillId="8" borderId="13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0" fontId="14" fillId="7" borderId="1" xfId="11" applyFont="1" applyFill="1" applyBorder="1" applyAlignment="1">
      <alignment horizontal="center" vertical="center" wrapText="1"/>
    </xf>
    <xf numFmtId="0" fontId="14" fillId="7" borderId="12" xfId="11" applyFont="1" applyFill="1" applyBorder="1" applyAlignment="1">
      <alignment horizontal="left" vertical="center" wrapText="1"/>
    </xf>
    <xf numFmtId="0" fontId="14" fillId="8" borderId="5" xfId="0" applyFont="1" applyFill="1" applyBorder="1" applyAlignment="1">
      <alignment horizontal="right" vertical="center" wrapText="1"/>
    </xf>
    <xf numFmtId="0" fontId="14" fillId="7" borderId="15" xfId="11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</cellXfs>
  <cellStyles count="31">
    <cellStyle name="Comma" xfId="1" builtinId="3"/>
    <cellStyle name="Comma 2" xfId="14" xr:uid="{00000000-0005-0000-0000-000001000000}"/>
    <cellStyle name="Comma 2 2" xfId="20" xr:uid="{00000000-0005-0000-0000-000002000000}"/>
    <cellStyle name="Comma 2 3" xfId="26" xr:uid="{00000000-0005-0000-0000-000003000000}"/>
    <cellStyle name="Comma 3" xfId="18" xr:uid="{00000000-0005-0000-0000-000004000000}"/>
    <cellStyle name="Comma 4" xfId="21" xr:uid="{00000000-0005-0000-0000-000005000000}"/>
    <cellStyle name="Comma 5" xfId="29" xr:uid="{00000000-0005-0000-0000-000006000000}"/>
    <cellStyle name="heading" xfId="12" xr:uid="{00000000-0005-0000-0000-000007000000}"/>
    <cellStyle name="heading 5" xfId="19" xr:uid="{00000000-0005-0000-0000-000008000000}"/>
    <cellStyle name="heading 6" xfId="25" xr:uid="{00000000-0005-0000-0000-000009000000}"/>
    <cellStyle name="MBM Break" xfId="7" xr:uid="{00000000-0005-0000-0000-00000A000000}"/>
    <cellStyle name="MBM Break 2" xfId="17" xr:uid="{00000000-0005-0000-0000-00000B000000}"/>
    <cellStyle name="MBM Break 2 2" xfId="28" xr:uid="{00000000-0005-0000-0000-00000C000000}"/>
    <cellStyle name="MBM Break 3" xfId="23" xr:uid="{00000000-0005-0000-0000-00000D000000}"/>
    <cellStyle name="MBM H1" xfId="5" xr:uid="{00000000-0005-0000-0000-00000E000000}"/>
    <cellStyle name="MBM H2" xfId="9" xr:uid="{00000000-0005-0000-0000-00000F000000}"/>
    <cellStyle name="MBM L1" xfId="4" xr:uid="{00000000-0005-0000-0000-000010000000}"/>
    <cellStyle name="MBM L2" xfId="3" xr:uid="{00000000-0005-0000-0000-000011000000}"/>
    <cellStyle name="MBM L3" xfId="6" xr:uid="{00000000-0005-0000-0000-000012000000}"/>
    <cellStyle name="MBM L4" xfId="8" xr:uid="{00000000-0005-0000-0000-000013000000}"/>
    <cellStyle name="Normal" xfId="0" builtinId="0"/>
    <cellStyle name="Normal 2" xfId="11" xr:uid="{00000000-0005-0000-0000-000015000000}"/>
    <cellStyle name="Normal 3" xfId="13" xr:uid="{00000000-0005-0000-0000-000016000000}"/>
    <cellStyle name="Normal 4" xfId="16" xr:uid="{00000000-0005-0000-0000-000017000000}"/>
    <cellStyle name="Normal 4 2" xfId="27" xr:uid="{00000000-0005-0000-0000-000018000000}"/>
    <cellStyle name="Normal 5" xfId="2" xr:uid="{00000000-0005-0000-0000-000019000000}"/>
    <cellStyle name="Normal 6" xfId="22" xr:uid="{00000000-0005-0000-0000-00001A000000}"/>
    <cellStyle name="Normal_Claim 1" xfId="30" xr:uid="{CF1DE030-BDF7-43AE-9B57-178952F44C06}"/>
    <cellStyle name="Percent 2" xfId="15" xr:uid="{00000000-0005-0000-0000-00001B000000}"/>
    <cellStyle name="Percent 3" xfId="10" xr:uid="{00000000-0005-0000-0000-00001C000000}"/>
    <cellStyle name="Percent 4" xfId="24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CEAF-30BD-44B2-9C7F-0A81A4D03897}">
  <sheetPr>
    <pageSetUpPr fitToPage="1"/>
  </sheetPr>
  <dimension ref="A1:J43"/>
  <sheetViews>
    <sheetView tabSelected="1" view="pageBreakPreview" zoomScaleNormal="100" zoomScaleSheetLayoutView="100" workbookViewId="0">
      <selection activeCell="M13" sqref="M13"/>
    </sheetView>
  </sheetViews>
  <sheetFormatPr defaultColWidth="9.140625" defaultRowHeight="13.5"/>
  <cols>
    <col min="1" max="1" width="10.7109375" style="13" customWidth="1"/>
    <col min="2" max="2" width="86.42578125" style="14" customWidth="1"/>
    <col min="3" max="3" width="13.5703125" style="15" customWidth="1"/>
    <col min="4" max="9" width="9.140625" style="13" hidden="1" customWidth="1"/>
    <col min="10" max="16384" width="9.140625" style="13"/>
  </cols>
  <sheetData>
    <row r="1" spans="1:4" s="1" customFormat="1" ht="31.5" customHeight="1">
      <c r="A1" s="7" t="s">
        <v>15</v>
      </c>
      <c r="B1" s="8"/>
      <c r="C1" s="4"/>
    </row>
    <row r="2" spans="1:4" s="2" customFormat="1" ht="31.5" customHeight="1">
      <c r="A2" s="7" t="s">
        <v>17</v>
      </c>
      <c r="B2" s="9"/>
      <c r="C2" s="5"/>
      <c r="D2" s="5"/>
    </row>
    <row r="3" spans="1:4" s="2" customFormat="1" ht="3" customHeight="1">
      <c r="A3" s="34"/>
      <c r="B3" s="34"/>
      <c r="C3" s="30"/>
    </row>
    <row r="4" spans="1:4" s="3" customFormat="1" ht="9" customHeight="1">
      <c r="B4" s="10"/>
      <c r="C4" s="6"/>
    </row>
    <row r="5" spans="1:4" ht="9" customHeight="1"/>
    <row r="6" spans="1:4" ht="17.25" customHeight="1">
      <c r="A6" s="44" t="s">
        <v>81</v>
      </c>
      <c r="B6" s="45"/>
      <c r="C6" s="46"/>
    </row>
    <row r="7" spans="1:4" s="16" customFormat="1" ht="17.45" customHeight="1">
      <c r="A7" s="39" t="s">
        <v>13</v>
      </c>
      <c r="B7" s="42" t="s">
        <v>14</v>
      </c>
      <c r="C7" s="43" t="s">
        <v>0</v>
      </c>
    </row>
    <row r="8" spans="1:4" s="16" customFormat="1" ht="17.45" customHeight="1">
      <c r="A8" s="35"/>
      <c r="B8" s="36"/>
      <c r="C8" s="38"/>
    </row>
    <row r="9" spans="1:4">
      <c r="A9" s="17">
        <v>1</v>
      </c>
      <c r="B9" s="21" t="s">
        <v>18</v>
      </c>
      <c r="C9" s="22">
        <f>'B92'!C13+'B92'!C39+'B92'!C45+'B92'!C49</f>
        <v>0</v>
      </c>
    </row>
    <row r="10" spans="1:4">
      <c r="A10" s="17">
        <v>2</v>
      </c>
      <c r="B10" s="21" t="s">
        <v>19</v>
      </c>
      <c r="C10" s="22">
        <f>'B92'!C55</f>
        <v>0</v>
      </c>
    </row>
    <row r="11" spans="1:4">
      <c r="A11" s="20">
        <v>3</v>
      </c>
      <c r="B11" s="23" t="s">
        <v>76</v>
      </c>
      <c r="C11" s="24">
        <f>B21A!C12+B21A!C39+B21A!C43</f>
        <v>0</v>
      </c>
    </row>
    <row r="12" spans="1:4" s="16" customFormat="1">
      <c r="A12" s="26"/>
      <c r="B12" s="31" t="s">
        <v>78</v>
      </c>
      <c r="C12" s="27">
        <f>SUM(C9:C11)</f>
        <v>0</v>
      </c>
    </row>
    <row r="13" spans="1:4">
      <c r="A13" s="20">
        <v>4</v>
      </c>
      <c r="B13" s="21" t="s">
        <v>25</v>
      </c>
      <c r="C13" s="22"/>
    </row>
    <row r="14" spans="1:4">
      <c r="A14" s="20">
        <v>5</v>
      </c>
      <c r="B14" s="21" t="s">
        <v>23</v>
      </c>
      <c r="C14" s="22"/>
    </row>
    <row r="15" spans="1:4">
      <c r="A15" s="20">
        <v>6</v>
      </c>
      <c r="B15" s="21" t="s">
        <v>24</v>
      </c>
      <c r="C15" s="22"/>
    </row>
    <row r="16" spans="1:4">
      <c r="A16" s="20">
        <v>7</v>
      </c>
      <c r="B16" s="21" t="s">
        <v>26</v>
      </c>
      <c r="C16" s="22"/>
    </row>
    <row r="17" spans="1:3" s="16" customFormat="1" ht="16.5" customHeight="1">
      <c r="A17" s="28"/>
      <c r="B17" s="41" t="s">
        <v>77</v>
      </c>
      <c r="C17" s="29">
        <f>C12+C13+C14+C15+C16</f>
        <v>0</v>
      </c>
    </row>
    <row r="18" spans="1:3" ht="17.25" customHeight="1">
      <c r="A18" s="44" t="s">
        <v>82</v>
      </c>
      <c r="B18" s="45"/>
      <c r="C18" s="46"/>
    </row>
    <row r="19" spans="1:3" s="16" customFormat="1" ht="17.45" customHeight="1">
      <c r="A19" s="39" t="s">
        <v>13</v>
      </c>
      <c r="B19" s="42" t="s">
        <v>14</v>
      </c>
      <c r="C19" s="43" t="s">
        <v>0</v>
      </c>
    </row>
    <row r="20" spans="1:3" s="16" customFormat="1" ht="17.45" customHeight="1">
      <c r="A20" s="35"/>
      <c r="B20" s="36"/>
      <c r="C20" s="38"/>
    </row>
    <row r="21" spans="1:3">
      <c r="A21" s="17">
        <v>8</v>
      </c>
      <c r="B21" s="21" t="s">
        <v>3</v>
      </c>
      <c r="C21" s="22">
        <f>'B33'!C12+'B33'!C38+'B33'!C42+'B33'!C46</f>
        <v>0</v>
      </c>
    </row>
    <row r="22" spans="1:3">
      <c r="A22" s="17">
        <v>9</v>
      </c>
      <c r="B22" s="21" t="s">
        <v>2</v>
      </c>
      <c r="C22" s="22">
        <f>'B19'!C12+'B19'!C38+'B19'!C42</f>
        <v>0</v>
      </c>
    </row>
    <row r="23" spans="1:3">
      <c r="A23" s="17">
        <v>10</v>
      </c>
      <c r="B23" s="21" t="s">
        <v>4</v>
      </c>
      <c r="C23" s="22">
        <f>'B34'!C12+'B34'!C38+'B34'!C42</f>
        <v>0</v>
      </c>
    </row>
    <row r="24" spans="1:3">
      <c r="A24" s="17">
        <v>11</v>
      </c>
      <c r="B24" s="21" t="s">
        <v>1</v>
      </c>
      <c r="C24" s="22">
        <f>'B36'!C12+'B36'!C38+'B36'!C42+'B36'!C46</f>
        <v>0</v>
      </c>
    </row>
    <row r="25" spans="1:3">
      <c r="A25" s="17">
        <v>12</v>
      </c>
      <c r="B25" s="21" t="s">
        <v>20</v>
      </c>
      <c r="C25" s="22">
        <f>'B76'!C12+'B76'!C40+'B76'!C44+'B76'!C48</f>
        <v>0</v>
      </c>
    </row>
    <row r="26" spans="1:3">
      <c r="A26" s="17">
        <v>13</v>
      </c>
      <c r="B26" s="21" t="s">
        <v>5</v>
      </c>
      <c r="C26" s="22">
        <f>'B32'!C34</f>
        <v>0</v>
      </c>
    </row>
    <row r="27" spans="1:3" s="16" customFormat="1">
      <c r="A27" s="26"/>
      <c r="B27" s="31" t="s">
        <v>79</v>
      </c>
      <c r="C27" s="27">
        <f>SUM(C21:C26)</f>
        <v>0</v>
      </c>
    </row>
    <row r="28" spans="1:3">
      <c r="A28" s="20">
        <v>14</v>
      </c>
      <c r="B28" s="21" t="s">
        <v>25</v>
      </c>
      <c r="C28" s="22"/>
    </row>
    <row r="29" spans="1:3">
      <c r="A29" s="20">
        <v>15</v>
      </c>
      <c r="B29" s="21" t="s">
        <v>23</v>
      </c>
      <c r="C29" s="22"/>
    </row>
    <row r="30" spans="1:3">
      <c r="A30" s="20">
        <v>16</v>
      </c>
      <c r="B30" s="21" t="s">
        <v>24</v>
      </c>
      <c r="C30" s="22"/>
    </row>
    <row r="31" spans="1:3">
      <c r="A31" s="20">
        <v>17</v>
      </c>
      <c r="B31" s="21" t="s">
        <v>26</v>
      </c>
      <c r="C31" s="22"/>
    </row>
    <row r="32" spans="1:3" s="16" customFormat="1" ht="16.5" customHeight="1">
      <c r="A32" s="28"/>
      <c r="B32" s="41" t="s">
        <v>80</v>
      </c>
      <c r="C32" s="29">
        <f>C27+C28+C29+C30+C31</f>
        <v>0</v>
      </c>
    </row>
    <row r="33" spans="1:3" ht="17.25" customHeight="1">
      <c r="A33" s="44" t="s">
        <v>83</v>
      </c>
      <c r="B33" s="45"/>
      <c r="C33" s="46"/>
    </row>
    <row r="34" spans="1:3">
      <c r="A34" s="20"/>
      <c r="B34" s="32" t="s">
        <v>64</v>
      </c>
      <c r="C34" s="22"/>
    </row>
    <row r="35" spans="1:3">
      <c r="A35" s="20">
        <v>18</v>
      </c>
      <c r="B35" s="21" t="s">
        <v>10</v>
      </c>
      <c r="C35" s="22"/>
    </row>
    <row r="36" spans="1:3">
      <c r="A36" s="20">
        <v>19</v>
      </c>
      <c r="B36" s="21" t="s">
        <v>56</v>
      </c>
      <c r="C36" s="22"/>
    </row>
    <row r="37" spans="1:3">
      <c r="A37" s="20"/>
      <c r="B37" s="21" t="s">
        <v>26</v>
      </c>
      <c r="C37" s="22"/>
    </row>
    <row r="38" spans="1:3" s="16" customFormat="1">
      <c r="A38" s="28"/>
      <c r="B38" s="31" t="s">
        <v>62</v>
      </c>
      <c r="C38" s="29">
        <f>SUM(C35:C37)</f>
        <v>0</v>
      </c>
    </row>
    <row r="39" spans="1:3">
      <c r="A39" s="20"/>
      <c r="B39" s="32" t="s">
        <v>57</v>
      </c>
      <c r="C39" s="22"/>
    </row>
    <row r="40" spans="1:3">
      <c r="A40" s="20"/>
      <c r="B40" s="21" t="s">
        <v>58</v>
      </c>
      <c r="C40" s="22"/>
    </row>
    <row r="41" spans="1:3">
      <c r="A41" s="20">
        <v>21</v>
      </c>
      <c r="B41" s="21" t="s">
        <v>52</v>
      </c>
      <c r="C41" s="22"/>
    </row>
    <row r="42" spans="1:3">
      <c r="A42" s="20">
        <v>22</v>
      </c>
      <c r="B42" s="21" t="s">
        <v>53</v>
      </c>
      <c r="C42" s="22"/>
    </row>
    <row r="43" spans="1:3" s="16" customFormat="1">
      <c r="A43" s="28"/>
      <c r="B43" s="31" t="s">
        <v>63</v>
      </c>
      <c r="C43" s="29">
        <f>SUM(C40:C42)</f>
        <v>0</v>
      </c>
    </row>
  </sheetData>
  <mergeCells count="10">
    <mergeCell ref="A18:C18"/>
    <mergeCell ref="A19:A20"/>
    <mergeCell ref="B19:B20"/>
    <mergeCell ref="C19:C20"/>
    <mergeCell ref="A33:C33"/>
    <mergeCell ref="A3:B3"/>
    <mergeCell ref="A7:A8"/>
    <mergeCell ref="B7:B8"/>
    <mergeCell ref="C7:C8"/>
    <mergeCell ref="A6:C6"/>
  </mergeCells>
  <phoneticPr fontId="22" type="noConversion"/>
  <pageMargins left="0.70866141732283472" right="0.70866141732283472" top="0.74803149606299213" bottom="0.74803149606299213" header="0.31496062992125984" footer="0.31496062992125984"/>
  <pageSetup scale="82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C7BE-B6D3-4276-9CB1-B693963274B4}">
  <dimension ref="A1:L55"/>
  <sheetViews>
    <sheetView view="pageBreakPreview" topLeftCell="A11" zoomScale="85" zoomScaleNormal="100" zoomScaleSheetLayoutView="85" workbookViewId="0">
      <selection activeCell="C39" sqref="C39"/>
    </sheetView>
  </sheetViews>
  <sheetFormatPr defaultColWidth="9.140625" defaultRowHeight="13.5"/>
  <cols>
    <col min="1" max="1" width="10.7109375" style="13" customWidth="1"/>
    <col min="2" max="2" width="86.42578125" style="14" customWidth="1"/>
    <col min="3" max="3" width="13.5703125" style="15" customWidth="1"/>
    <col min="4" max="5" width="9.140625" style="13"/>
    <col min="6" max="6" width="2" style="13" customWidth="1"/>
    <col min="7" max="12" width="9.140625" style="13" hidden="1" customWidth="1"/>
    <col min="13" max="16384" width="9.140625" style="13"/>
  </cols>
  <sheetData>
    <row r="1" spans="1:3" s="1" customFormat="1" ht="31.5" customHeight="1">
      <c r="A1" s="7" t="s">
        <v>15</v>
      </c>
      <c r="B1" s="8"/>
      <c r="C1" s="4"/>
    </row>
    <row r="2" spans="1:3" s="2" customFormat="1" ht="31.5" customHeight="1">
      <c r="A2" s="7" t="str">
        <f>Summary!B9</f>
        <v>Building 92 (New Trades Building)</v>
      </c>
      <c r="B2" s="9"/>
      <c r="C2" s="5"/>
    </row>
    <row r="3" spans="1:3" s="2" customFormat="1" ht="3" customHeight="1">
      <c r="A3" s="34"/>
      <c r="B3" s="34"/>
      <c r="C3" s="30"/>
    </row>
    <row r="4" spans="1:3" s="3" customFormat="1" ht="9" customHeight="1">
      <c r="B4" s="10"/>
      <c r="C4" s="6"/>
    </row>
    <row r="5" spans="1:3" s="3" customFormat="1" ht="13.5" customHeight="1">
      <c r="A5" s="11" t="s">
        <v>12</v>
      </c>
      <c r="B5" s="12" t="s">
        <v>16</v>
      </c>
      <c r="C5" s="4"/>
    </row>
    <row r="6" spans="1:3" s="16" customFormat="1" ht="17.45" customHeight="1">
      <c r="A6" s="35" t="s">
        <v>13</v>
      </c>
      <c r="B6" s="40" t="s">
        <v>14</v>
      </c>
      <c r="C6" s="37" t="s">
        <v>0</v>
      </c>
    </row>
    <row r="7" spans="1:3" s="16" customFormat="1">
      <c r="A7" s="35"/>
      <c r="B7" s="40"/>
      <c r="C7" s="38"/>
    </row>
    <row r="8" spans="1:3">
      <c r="A8" s="17"/>
      <c r="B8" s="25" t="s">
        <v>65</v>
      </c>
      <c r="C8" s="19"/>
    </row>
    <row r="9" spans="1:3">
      <c r="A9" s="17">
        <v>1</v>
      </c>
      <c r="B9" s="18" t="s">
        <v>66</v>
      </c>
      <c r="C9" s="19"/>
    </row>
    <row r="10" spans="1:3">
      <c r="A10" s="20">
        <f>A9+1</f>
        <v>2</v>
      </c>
      <c r="B10" s="21" t="s">
        <v>67</v>
      </c>
      <c r="C10" s="22"/>
    </row>
    <row r="11" spans="1:3">
      <c r="A11" s="20">
        <f t="shared" ref="A11:A12" si="0">A10+1</f>
        <v>3</v>
      </c>
      <c r="B11" s="21" t="s">
        <v>68</v>
      </c>
      <c r="C11" s="22"/>
    </row>
    <row r="12" spans="1:3">
      <c r="A12" s="20">
        <f t="shared" si="0"/>
        <v>4</v>
      </c>
      <c r="B12" s="21" t="s">
        <v>69</v>
      </c>
      <c r="C12" s="22"/>
    </row>
    <row r="13" spans="1:3" s="16" customFormat="1">
      <c r="A13" s="26"/>
      <c r="B13" s="31" t="s">
        <v>70</v>
      </c>
      <c r="C13" s="27">
        <f>SUM(C9:C12)</f>
        <v>0</v>
      </c>
    </row>
    <row r="14" spans="1:3">
      <c r="A14" s="17"/>
      <c r="B14" s="25" t="s">
        <v>27</v>
      </c>
      <c r="C14" s="19"/>
    </row>
    <row r="15" spans="1:3">
      <c r="A15" s="17">
        <v>5</v>
      </c>
      <c r="B15" s="18" t="s">
        <v>28</v>
      </c>
      <c r="C15" s="19"/>
    </row>
    <row r="16" spans="1:3">
      <c r="A16" s="17">
        <v>6</v>
      </c>
      <c r="B16" s="21" t="s">
        <v>29</v>
      </c>
      <c r="C16" s="22"/>
    </row>
    <row r="17" spans="1:3">
      <c r="A17" s="17">
        <v>7</v>
      </c>
      <c r="B17" s="21" t="s">
        <v>30</v>
      </c>
      <c r="C17" s="22"/>
    </row>
    <row r="18" spans="1:3">
      <c r="A18" s="17">
        <v>8</v>
      </c>
      <c r="B18" s="21" t="s">
        <v>31</v>
      </c>
      <c r="C18" s="22"/>
    </row>
    <row r="19" spans="1:3">
      <c r="A19" s="17">
        <v>9</v>
      </c>
      <c r="B19" s="21" t="s">
        <v>32</v>
      </c>
      <c r="C19" s="22"/>
    </row>
    <row r="20" spans="1:3">
      <c r="A20" s="17">
        <v>10</v>
      </c>
      <c r="B20" s="21" t="s">
        <v>33</v>
      </c>
      <c r="C20" s="22"/>
    </row>
    <row r="21" spans="1:3">
      <c r="A21" s="17">
        <v>11</v>
      </c>
      <c r="B21" s="21" t="s">
        <v>34</v>
      </c>
      <c r="C21" s="22"/>
    </row>
    <row r="22" spans="1:3">
      <c r="A22" s="17">
        <v>12</v>
      </c>
      <c r="B22" s="21" t="s">
        <v>35</v>
      </c>
      <c r="C22" s="22"/>
    </row>
    <row r="23" spans="1:3">
      <c r="A23" s="17">
        <v>13</v>
      </c>
      <c r="B23" s="21" t="s">
        <v>36</v>
      </c>
      <c r="C23" s="22"/>
    </row>
    <row r="24" spans="1:3">
      <c r="A24" s="17">
        <v>14</v>
      </c>
      <c r="B24" s="21" t="s">
        <v>37</v>
      </c>
      <c r="C24" s="22"/>
    </row>
    <row r="25" spans="1:3">
      <c r="A25" s="17">
        <v>15</v>
      </c>
      <c r="B25" s="21" t="s">
        <v>38</v>
      </c>
      <c r="C25" s="22"/>
    </row>
    <row r="26" spans="1:3">
      <c r="A26" s="17">
        <v>16</v>
      </c>
      <c r="B26" s="21" t="s">
        <v>39</v>
      </c>
      <c r="C26" s="22"/>
    </row>
    <row r="27" spans="1:3">
      <c r="A27" s="17">
        <v>17</v>
      </c>
      <c r="B27" s="21" t="s">
        <v>40</v>
      </c>
      <c r="C27" s="22"/>
    </row>
    <row r="28" spans="1:3">
      <c r="A28" s="17">
        <v>18</v>
      </c>
      <c r="B28" s="21" t="s">
        <v>41</v>
      </c>
      <c r="C28" s="22"/>
    </row>
    <row r="29" spans="1:3">
      <c r="A29" s="17">
        <v>19</v>
      </c>
      <c r="B29" s="21" t="s">
        <v>42</v>
      </c>
      <c r="C29" s="22"/>
    </row>
    <row r="30" spans="1:3">
      <c r="A30" s="17">
        <v>20</v>
      </c>
      <c r="B30" s="21" t="s">
        <v>60</v>
      </c>
      <c r="C30" s="22"/>
    </row>
    <row r="31" spans="1:3">
      <c r="A31" s="17">
        <v>21</v>
      </c>
      <c r="B31" s="21" t="s">
        <v>43</v>
      </c>
      <c r="C31" s="22"/>
    </row>
    <row r="32" spans="1:3">
      <c r="A32" s="17">
        <v>22</v>
      </c>
      <c r="B32" s="21" t="s">
        <v>44</v>
      </c>
      <c r="C32" s="22"/>
    </row>
    <row r="33" spans="1:3">
      <c r="A33" s="17">
        <v>23</v>
      </c>
      <c r="B33" s="21" t="s">
        <v>45</v>
      </c>
      <c r="C33" s="22"/>
    </row>
    <row r="34" spans="1:3">
      <c r="A34" s="17">
        <v>24</v>
      </c>
      <c r="B34" s="21" t="s">
        <v>46</v>
      </c>
      <c r="C34" s="22"/>
    </row>
    <row r="35" spans="1:3">
      <c r="A35" s="17">
        <v>25</v>
      </c>
      <c r="B35" s="21" t="s">
        <v>47</v>
      </c>
      <c r="C35" s="22"/>
    </row>
    <row r="36" spans="1:3">
      <c r="A36" s="17">
        <v>26</v>
      </c>
      <c r="B36" s="21" t="s">
        <v>48</v>
      </c>
      <c r="C36" s="22"/>
    </row>
    <row r="37" spans="1:3">
      <c r="A37" s="17">
        <v>27</v>
      </c>
      <c r="B37" s="21" t="s">
        <v>49</v>
      </c>
      <c r="C37" s="22"/>
    </row>
    <row r="38" spans="1:3">
      <c r="A38" s="17">
        <v>28</v>
      </c>
      <c r="B38" s="21" t="s">
        <v>50</v>
      </c>
      <c r="C38" s="22"/>
    </row>
    <row r="39" spans="1:3" s="16" customFormat="1">
      <c r="A39" s="26"/>
      <c r="B39" s="31" t="s">
        <v>6</v>
      </c>
      <c r="C39" s="27">
        <f>SUM(C15:C38)</f>
        <v>0</v>
      </c>
    </row>
    <row r="40" spans="1:3">
      <c r="A40" s="17"/>
      <c r="B40" s="25" t="s">
        <v>7</v>
      </c>
      <c r="C40" s="19"/>
    </row>
    <row r="41" spans="1:3">
      <c r="A41" s="17">
        <v>29</v>
      </c>
      <c r="B41" s="18" t="s">
        <v>21</v>
      </c>
      <c r="C41" s="19"/>
    </row>
    <row r="42" spans="1:3">
      <c r="A42" s="20">
        <v>30</v>
      </c>
      <c r="B42" s="21" t="s">
        <v>8</v>
      </c>
      <c r="C42" s="22"/>
    </row>
    <row r="43" spans="1:3">
      <c r="A43" s="20">
        <v>31</v>
      </c>
      <c r="B43" s="21" t="s">
        <v>9</v>
      </c>
      <c r="C43" s="22"/>
    </row>
    <row r="44" spans="1:3">
      <c r="A44" s="20">
        <v>32</v>
      </c>
      <c r="B44" s="21" t="s">
        <v>69</v>
      </c>
      <c r="C44" s="22"/>
    </row>
    <row r="45" spans="1:3" s="16" customFormat="1">
      <c r="A45" s="26"/>
      <c r="B45" s="31" t="s">
        <v>11</v>
      </c>
      <c r="C45" s="27">
        <f>SUM(C41:C44)</f>
        <v>0</v>
      </c>
    </row>
    <row r="46" spans="1:3">
      <c r="A46" s="17"/>
      <c r="B46" s="25" t="s">
        <v>74</v>
      </c>
      <c r="C46" s="19"/>
    </row>
    <row r="47" spans="1:3">
      <c r="A47" s="20">
        <v>33</v>
      </c>
      <c r="B47" s="21" t="s">
        <v>74</v>
      </c>
      <c r="C47" s="24"/>
    </row>
    <row r="48" spans="1:3">
      <c r="A48" s="20"/>
      <c r="B48" s="21"/>
      <c r="C48" s="24"/>
    </row>
    <row r="49" spans="1:3" s="16" customFormat="1">
      <c r="A49" s="26"/>
      <c r="B49" s="31" t="s">
        <v>75</v>
      </c>
      <c r="C49" s="27">
        <f>SUM(C47:C48)</f>
        <v>0</v>
      </c>
    </row>
    <row r="50" spans="1:3">
      <c r="A50" s="17"/>
      <c r="B50" s="25" t="str">
        <f>Summary!B10</f>
        <v>Building 92 ESD Uplifts</v>
      </c>
      <c r="C50" s="19"/>
    </row>
    <row r="51" spans="1:3">
      <c r="A51" s="20">
        <v>34</v>
      </c>
      <c r="B51" s="21" t="s">
        <v>54</v>
      </c>
      <c r="C51" s="24"/>
    </row>
    <row r="52" spans="1:3">
      <c r="A52" s="20">
        <v>35</v>
      </c>
      <c r="B52" s="21" t="s">
        <v>52</v>
      </c>
      <c r="C52" s="22"/>
    </row>
    <row r="53" spans="1:3">
      <c r="A53" s="20">
        <v>36</v>
      </c>
      <c r="B53" s="21" t="s">
        <v>53</v>
      </c>
      <c r="C53" s="24"/>
    </row>
    <row r="54" spans="1:3">
      <c r="A54" s="20"/>
      <c r="B54" s="21"/>
      <c r="C54" s="24"/>
    </row>
    <row r="55" spans="1:3" s="16" customFormat="1">
      <c r="A55" s="26"/>
      <c r="B55" s="31" t="s">
        <v>51</v>
      </c>
      <c r="C55" s="27">
        <f>SUM(C51:C54)</f>
        <v>0</v>
      </c>
    </row>
  </sheetData>
  <mergeCells count="4">
    <mergeCell ref="A3:B3"/>
    <mergeCell ref="A6:A7"/>
    <mergeCell ref="B6:B7"/>
    <mergeCell ref="C6:C7"/>
  </mergeCells>
  <pageMargins left="0.7" right="0.7" top="0.75" bottom="0.75" header="0.3" footer="0.3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83DE-8550-49B7-99FB-600C5340958D}">
  <dimension ref="A1:L43"/>
  <sheetViews>
    <sheetView view="pageBreakPreview" topLeftCell="A8" zoomScaleNormal="100" zoomScaleSheetLayoutView="100" workbookViewId="0">
      <selection activeCell="C43" sqref="C43"/>
    </sheetView>
  </sheetViews>
  <sheetFormatPr defaultColWidth="9.140625" defaultRowHeight="13.5"/>
  <cols>
    <col min="1" max="1" width="10.7109375" style="13" customWidth="1"/>
    <col min="2" max="2" width="86.42578125" style="14" customWidth="1"/>
    <col min="3" max="3" width="13.5703125" style="15" customWidth="1"/>
    <col min="4" max="5" width="9.140625" style="13"/>
    <col min="6" max="6" width="2" style="13" customWidth="1"/>
    <col min="7" max="12" width="9.140625" style="13" hidden="1" customWidth="1"/>
    <col min="13" max="16384" width="9.140625" style="13"/>
  </cols>
  <sheetData>
    <row r="1" spans="1:3" s="1" customFormat="1" ht="31.5" customHeight="1">
      <c r="A1" s="7" t="s">
        <v>15</v>
      </c>
      <c r="B1" s="8"/>
      <c r="C1" s="4"/>
    </row>
    <row r="2" spans="1:3" s="2" customFormat="1" ht="31.5" customHeight="1">
      <c r="A2" s="7" t="str">
        <f>Summary!B11</f>
        <v xml:space="preserve">Building 21A (Refurb and New Shed Engineering Workshop) </v>
      </c>
      <c r="B2" s="9"/>
      <c r="C2" s="5"/>
    </row>
    <row r="3" spans="1:3" s="2" customFormat="1" ht="3" customHeight="1">
      <c r="A3" s="34"/>
      <c r="B3" s="34"/>
      <c r="C3" s="30"/>
    </row>
    <row r="4" spans="1:3" s="3" customFormat="1" ht="9" customHeight="1">
      <c r="B4" s="10"/>
      <c r="C4" s="6"/>
    </row>
    <row r="5" spans="1:3" s="3" customFormat="1" ht="13.5" customHeight="1">
      <c r="A5" s="11" t="s">
        <v>12</v>
      </c>
      <c r="B5" s="12" t="s">
        <v>16</v>
      </c>
      <c r="C5" s="4"/>
    </row>
    <row r="6" spans="1:3" ht="9" customHeight="1"/>
    <row r="7" spans="1:3" s="16" customFormat="1" ht="17.45" customHeight="1">
      <c r="A7" s="35" t="s">
        <v>13</v>
      </c>
      <c r="B7" s="40" t="s">
        <v>14</v>
      </c>
      <c r="C7" s="37" t="s">
        <v>0</v>
      </c>
    </row>
    <row r="8" spans="1:3" s="16" customFormat="1">
      <c r="A8" s="35"/>
      <c r="B8" s="40"/>
      <c r="C8" s="38"/>
    </row>
    <row r="9" spans="1:3">
      <c r="A9" s="17"/>
      <c r="B9" s="25" t="s">
        <v>65</v>
      </c>
      <c r="C9" s="19"/>
    </row>
    <row r="10" spans="1:3">
      <c r="A10" s="17">
        <v>1</v>
      </c>
      <c r="B10" s="18" t="s">
        <v>71</v>
      </c>
      <c r="C10" s="19"/>
    </row>
    <row r="11" spans="1:3">
      <c r="A11" s="20">
        <f>A10+1</f>
        <v>2</v>
      </c>
      <c r="B11" s="21" t="s">
        <v>69</v>
      </c>
      <c r="C11" s="22"/>
    </row>
    <row r="12" spans="1:3" s="16" customFormat="1">
      <c r="A12" s="26"/>
      <c r="B12" s="31" t="s">
        <v>70</v>
      </c>
      <c r="C12" s="27">
        <f>SUM(C10:C11)</f>
        <v>0</v>
      </c>
    </row>
    <row r="13" spans="1:3">
      <c r="A13" s="17"/>
      <c r="B13" s="25" t="s">
        <v>27</v>
      </c>
      <c r="C13" s="19"/>
    </row>
    <row r="14" spans="1:3">
      <c r="A14" s="17">
        <v>3</v>
      </c>
      <c r="B14" s="18" t="s">
        <v>28</v>
      </c>
      <c r="C14" s="19"/>
    </row>
    <row r="15" spans="1:3">
      <c r="A15" s="20">
        <f>A14+1</f>
        <v>4</v>
      </c>
      <c r="B15" s="21" t="s">
        <v>29</v>
      </c>
      <c r="C15" s="22"/>
    </row>
    <row r="16" spans="1:3">
      <c r="A16" s="20">
        <f t="shared" ref="A16:A36" si="0">A15+1</f>
        <v>5</v>
      </c>
      <c r="B16" s="21" t="s">
        <v>30</v>
      </c>
      <c r="C16" s="22"/>
    </row>
    <row r="17" spans="1:3">
      <c r="A17" s="20">
        <f t="shared" si="0"/>
        <v>6</v>
      </c>
      <c r="B17" s="21" t="s">
        <v>31</v>
      </c>
      <c r="C17" s="22"/>
    </row>
    <row r="18" spans="1:3">
      <c r="A18" s="20">
        <f t="shared" si="0"/>
        <v>7</v>
      </c>
      <c r="B18" s="21" t="s">
        <v>32</v>
      </c>
      <c r="C18" s="22"/>
    </row>
    <row r="19" spans="1:3">
      <c r="A19" s="20">
        <f t="shared" si="0"/>
        <v>8</v>
      </c>
      <c r="B19" s="21" t="s">
        <v>33</v>
      </c>
      <c r="C19" s="22"/>
    </row>
    <row r="20" spans="1:3">
      <c r="A20" s="20">
        <f t="shared" si="0"/>
        <v>9</v>
      </c>
      <c r="B20" s="21" t="s">
        <v>34</v>
      </c>
      <c r="C20" s="22"/>
    </row>
    <row r="21" spans="1:3">
      <c r="A21" s="20">
        <f t="shared" si="0"/>
        <v>10</v>
      </c>
      <c r="B21" s="21" t="s">
        <v>35</v>
      </c>
      <c r="C21" s="22"/>
    </row>
    <row r="22" spans="1:3">
      <c r="A22" s="20">
        <f t="shared" si="0"/>
        <v>11</v>
      </c>
      <c r="B22" s="21" t="s">
        <v>36</v>
      </c>
      <c r="C22" s="22"/>
    </row>
    <row r="23" spans="1:3">
      <c r="A23" s="20">
        <f t="shared" si="0"/>
        <v>12</v>
      </c>
      <c r="B23" s="21" t="s">
        <v>37</v>
      </c>
      <c r="C23" s="22"/>
    </row>
    <row r="24" spans="1:3">
      <c r="A24" s="20">
        <f t="shared" si="0"/>
        <v>13</v>
      </c>
      <c r="B24" s="21" t="s">
        <v>38</v>
      </c>
      <c r="C24" s="22"/>
    </row>
    <row r="25" spans="1:3">
      <c r="A25" s="20">
        <f t="shared" si="0"/>
        <v>14</v>
      </c>
      <c r="B25" s="21" t="s">
        <v>39</v>
      </c>
      <c r="C25" s="22"/>
    </row>
    <row r="26" spans="1:3">
      <c r="A26" s="20">
        <f t="shared" si="0"/>
        <v>15</v>
      </c>
      <c r="B26" s="21" t="s">
        <v>40</v>
      </c>
      <c r="C26" s="22"/>
    </row>
    <row r="27" spans="1:3">
      <c r="A27" s="20">
        <f t="shared" si="0"/>
        <v>16</v>
      </c>
      <c r="B27" s="21" t="s">
        <v>41</v>
      </c>
      <c r="C27" s="22"/>
    </row>
    <row r="28" spans="1:3">
      <c r="A28" s="20">
        <f t="shared" si="0"/>
        <v>17</v>
      </c>
      <c r="B28" s="21" t="s">
        <v>42</v>
      </c>
      <c r="C28" s="22"/>
    </row>
    <row r="29" spans="1:3">
      <c r="A29" s="20">
        <f t="shared" si="0"/>
        <v>18</v>
      </c>
      <c r="B29" s="21" t="s">
        <v>60</v>
      </c>
      <c r="C29" s="22"/>
    </row>
    <row r="30" spans="1:3">
      <c r="A30" s="20">
        <f t="shared" si="0"/>
        <v>19</v>
      </c>
      <c r="B30" s="21" t="s">
        <v>43</v>
      </c>
      <c r="C30" s="22"/>
    </row>
    <row r="31" spans="1:3">
      <c r="A31" s="20">
        <f t="shared" si="0"/>
        <v>20</v>
      </c>
      <c r="B31" s="21" t="s">
        <v>44</v>
      </c>
      <c r="C31" s="22"/>
    </row>
    <row r="32" spans="1:3">
      <c r="A32" s="20">
        <f t="shared" si="0"/>
        <v>21</v>
      </c>
      <c r="B32" s="21" t="s">
        <v>45</v>
      </c>
      <c r="C32" s="22"/>
    </row>
    <row r="33" spans="1:3">
      <c r="A33" s="20">
        <f t="shared" si="0"/>
        <v>22</v>
      </c>
      <c r="B33" s="21" t="s">
        <v>46</v>
      </c>
      <c r="C33" s="22"/>
    </row>
    <row r="34" spans="1:3">
      <c r="A34" s="20">
        <f t="shared" si="0"/>
        <v>23</v>
      </c>
      <c r="B34" s="21" t="s">
        <v>47</v>
      </c>
      <c r="C34" s="22"/>
    </row>
    <row r="35" spans="1:3">
      <c r="A35" s="20">
        <f t="shared" si="0"/>
        <v>24</v>
      </c>
      <c r="B35" s="21" t="s">
        <v>48</v>
      </c>
      <c r="C35" s="22"/>
    </row>
    <row r="36" spans="1:3">
      <c r="A36" s="20">
        <f t="shared" si="0"/>
        <v>25</v>
      </c>
      <c r="B36" s="21" t="s">
        <v>49</v>
      </c>
      <c r="C36" s="22"/>
    </row>
    <row r="37" spans="1:3">
      <c r="A37" s="20">
        <f>A36+1</f>
        <v>26</v>
      </c>
      <c r="B37" s="21" t="s">
        <v>50</v>
      </c>
      <c r="C37" s="22"/>
    </row>
    <row r="38" spans="1:3">
      <c r="A38" s="20">
        <v>26</v>
      </c>
      <c r="B38" s="21" t="s">
        <v>59</v>
      </c>
      <c r="C38" s="22"/>
    </row>
    <row r="39" spans="1:3" s="16" customFormat="1">
      <c r="A39" s="26"/>
      <c r="B39" s="31" t="s">
        <v>6</v>
      </c>
      <c r="C39" s="27">
        <f>SUM(C14:C38)</f>
        <v>0</v>
      </c>
    </row>
    <row r="40" spans="1:3">
      <c r="A40" s="17"/>
      <c r="B40" s="25" t="s">
        <v>74</v>
      </c>
      <c r="C40" s="19"/>
    </row>
    <row r="41" spans="1:3">
      <c r="A41" s="20">
        <v>27</v>
      </c>
      <c r="B41" s="21" t="s">
        <v>74</v>
      </c>
      <c r="C41" s="24"/>
    </row>
    <row r="42" spans="1:3">
      <c r="A42" s="20"/>
      <c r="B42" s="21"/>
      <c r="C42" s="24"/>
    </row>
    <row r="43" spans="1:3" s="16" customFormat="1">
      <c r="A43" s="26"/>
      <c r="B43" s="31" t="s">
        <v>75</v>
      </c>
      <c r="C43" s="27">
        <f>SUM(C41:C42)</f>
        <v>0</v>
      </c>
    </row>
  </sheetData>
  <mergeCells count="4">
    <mergeCell ref="A3:B3"/>
    <mergeCell ref="A7:A8"/>
    <mergeCell ref="B7:B8"/>
    <mergeCell ref="C7:C8"/>
  </mergeCells>
  <pageMargins left="0.7" right="0.7" top="0.75" bottom="0.75" header="0.3" footer="0.3"/>
  <pageSetup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1EB4-A7FF-479A-B972-F09FE073005B}">
  <dimension ref="A1:L46"/>
  <sheetViews>
    <sheetView view="pageBreakPreview" topLeftCell="A14" zoomScale="115" zoomScaleNormal="100" zoomScaleSheetLayoutView="115" workbookViewId="0">
      <selection activeCell="A45" sqref="A45"/>
    </sheetView>
  </sheetViews>
  <sheetFormatPr defaultColWidth="9.140625" defaultRowHeight="13.5"/>
  <cols>
    <col min="1" max="1" width="10.7109375" style="13" customWidth="1"/>
    <col min="2" max="2" width="86.42578125" style="14" customWidth="1"/>
    <col min="3" max="3" width="13.5703125" style="15" customWidth="1"/>
    <col min="4" max="5" width="9.140625" style="13"/>
    <col min="6" max="6" width="2" style="13" customWidth="1"/>
    <col min="7" max="12" width="9.140625" style="13" hidden="1" customWidth="1"/>
    <col min="13" max="16384" width="9.140625" style="13"/>
  </cols>
  <sheetData>
    <row r="1" spans="1:3" s="1" customFormat="1" ht="31.5" customHeight="1">
      <c r="A1" s="7" t="s">
        <v>15</v>
      </c>
      <c r="B1" s="8"/>
      <c r="C1" s="4"/>
    </row>
    <row r="2" spans="1:3" s="2" customFormat="1" ht="31.5" customHeight="1">
      <c r="A2" s="7" t="str">
        <f>Summary!B21</f>
        <v>Building 33</v>
      </c>
      <c r="B2" s="9"/>
      <c r="C2" s="5"/>
    </row>
    <row r="3" spans="1:3" s="2" customFormat="1" ht="3" customHeight="1">
      <c r="A3" s="34"/>
      <c r="B3" s="34"/>
      <c r="C3" s="30"/>
    </row>
    <row r="4" spans="1:3" s="3" customFormat="1" ht="9" customHeight="1">
      <c r="B4" s="10"/>
      <c r="C4" s="6"/>
    </row>
    <row r="5" spans="1:3" s="3" customFormat="1" ht="13.5" customHeight="1">
      <c r="A5" s="11" t="s">
        <v>12</v>
      </c>
      <c r="B5" s="12" t="s">
        <v>16</v>
      </c>
      <c r="C5" s="4"/>
    </row>
    <row r="6" spans="1:3" ht="9" customHeight="1"/>
    <row r="7" spans="1:3" s="16" customFormat="1" ht="17.45" customHeight="1">
      <c r="A7" s="35" t="s">
        <v>13</v>
      </c>
      <c r="B7" s="40" t="s">
        <v>14</v>
      </c>
      <c r="C7" s="37" t="s">
        <v>0</v>
      </c>
    </row>
    <row r="8" spans="1:3" s="16" customFormat="1">
      <c r="A8" s="35"/>
      <c r="B8" s="40"/>
      <c r="C8" s="38"/>
    </row>
    <row r="9" spans="1:3">
      <c r="A9" s="17"/>
      <c r="B9" s="25" t="s">
        <v>65</v>
      </c>
      <c r="C9" s="19"/>
    </row>
    <row r="10" spans="1:3">
      <c r="A10" s="17">
        <v>1</v>
      </c>
      <c r="B10" s="18" t="s">
        <v>71</v>
      </c>
      <c r="C10" s="19"/>
    </row>
    <row r="11" spans="1:3">
      <c r="A11" s="20">
        <f>A10+1</f>
        <v>2</v>
      </c>
      <c r="B11" s="21" t="s">
        <v>69</v>
      </c>
      <c r="C11" s="22"/>
    </row>
    <row r="12" spans="1:3" s="16" customFormat="1">
      <c r="A12" s="26"/>
      <c r="B12" s="31" t="s">
        <v>70</v>
      </c>
      <c r="C12" s="27">
        <f>SUM(C10:C11)</f>
        <v>0</v>
      </c>
    </row>
    <row r="13" spans="1:3">
      <c r="A13" s="17"/>
      <c r="B13" s="25" t="s">
        <v>27</v>
      </c>
      <c r="C13" s="19"/>
    </row>
    <row r="14" spans="1:3">
      <c r="A14" s="17">
        <v>3</v>
      </c>
      <c r="B14" s="18" t="s">
        <v>28</v>
      </c>
      <c r="C14" s="19"/>
    </row>
    <row r="15" spans="1:3">
      <c r="A15" s="20">
        <f>A14+1</f>
        <v>4</v>
      </c>
      <c r="B15" s="21" t="s">
        <v>29</v>
      </c>
      <c r="C15" s="22"/>
    </row>
    <row r="16" spans="1:3">
      <c r="A16" s="20">
        <f t="shared" ref="A16:A37" si="0">A15+1</f>
        <v>5</v>
      </c>
      <c r="B16" s="21" t="s">
        <v>30</v>
      </c>
      <c r="C16" s="22"/>
    </row>
    <row r="17" spans="1:3">
      <c r="A17" s="20">
        <f t="shared" si="0"/>
        <v>6</v>
      </c>
      <c r="B17" s="21" t="s">
        <v>31</v>
      </c>
      <c r="C17" s="22"/>
    </row>
    <row r="18" spans="1:3">
      <c r="A18" s="20">
        <f t="shared" si="0"/>
        <v>7</v>
      </c>
      <c r="B18" s="21" t="s">
        <v>32</v>
      </c>
      <c r="C18" s="22"/>
    </row>
    <row r="19" spans="1:3">
      <c r="A19" s="20">
        <f t="shared" si="0"/>
        <v>8</v>
      </c>
      <c r="B19" s="21" t="s">
        <v>33</v>
      </c>
      <c r="C19" s="22"/>
    </row>
    <row r="20" spans="1:3">
      <c r="A20" s="20">
        <f t="shared" si="0"/>
        <v>9</v>
      </c>
      <c r="B20" s="21" t="s">
        <v>34</v>
      </c>
      <c r="C20" s="22"/>
    </row>
    <row r="21" spans="1:3">
      <c r="A21" s="20">
        <f t="shared" si="0"/>
        <v>10</v>
      </c>
      <c r="B21" s="21" t="s">
        <v>35</v>
      </c>
      <c r="C21" s="22"/>
    </row>
    <row r="22" spans="1:3">
      <c r="A22" s="20">
        <f t="shared" si="0"/>
        <v>11</v>
      </c>
      <c r="B22" s="21" t="s">
        <v>36</v>
      </c>
      <c r="C22" s="22"/>
    </row>
    <row r="23" spans="1:3">
      <c r="A23" s="20">
        <f t="shared" si="0"/>
        <v>12</v>
      </c>
      <c r="B23" s="21" t="s">
        <v>37</v>
      </c>
      <c r="C23" s="22"/>
    </row>
    <row r="24" spans="1:3">
      <c r="A24" s="20">
        <f t="shared" si="0"/>
        <v>13</v>
      </c>
      <c r="B24" s="21" t="s">
        <v>38</v>
      </c>
      <c r="C24" s="22"/>
    </row>
    <row r="25" spans="1:3">
      <c r="A25" s="20">
        <f t="shared" si="0"/>
        <v>14</v>
      </c>
      <c r="B25" s="21" t="s">
        <v>39</v>
      </c>
      <c r="C25" s="22"/>
    </row>
    <row r="26" spans="1:3">
      <c r="A26" s="20">
        <f t="shared" si="0"/>
        <v>15</v>
      </c>
      <c r="B26" s="21" t="s">
        <v>40</v>
      </c>
      <c r="C26" s="22"/>
    </row>
    <row r="27" spans="1:3">
      <c r="A27" s="20">
        <f t="shared" si="0"/>
        <v>16</v>
      </c>
      <c r="B27" s="21" t="s">
        <v>41</v>
      </c>
      <c r="C27" s="22"/>
    </row>
    <row r="28" spans="1:3">
      <c r="A28" s="20">
        <f t="shared" si="0"/>
        <v>17</v>
      </c>
      <c r="B28" s="21" t="s">
        <v>42</v>
      </c>
      <c r="C28" s="22"/>
    </row>
    <row r="29" spans="1:3">
      <c r="A29" s="20">
        <f t="shared" si="0"/>
        <v>18</v>
      </c>
      <c r="B29" s="21" t="s">
        <v>60</v>
      </c>
      <c r="C29" s="22"/>
    </row>
    <row r="30" spans="1:3">
      <c r="A30" s="20">
        <f t="shared" si="0"/>
        <v>19</v>
      </c>
      <c r="B30" s="21" t="s">
        <v>43</v>
      </c>
      <c r="C30" s="22"/>
    </row>
    <row r="31" spans="1:3">
      <c r="A31" s="20">
        <f t="shared" si="0"/>
        <v>20</v>
      </c>
      <c r="B31" s="21" t="s">
        <v>44</v>
      </c>
      <c r="C31" s="22"/>
    </row>
    <row r="32" spans="1:3">
      <c r="A32" s="20">
        <f t="shared" si="0"/>
        <v>21</v>
      </c>
      <c r="B32" s="21" t="s">
        <v>45</v>
      </c>
      <c r="C32" s="22"/>
    </row>
    <row r="33" spans="1:3">
      <c r="A33" s="20">
        <f t="shared" si="0"/>
        <v>22</v>
      </c>
      <c r="B33" s="21" t="s">
        <v>46</v>
      </c>
      <c r="C33" s="22"/>
    </row>
    <row r="34" spans="1:3">
      <c r="A34" s="20">
        <f t="shared" si="0"/>
        <v>23</v>
      </c>
      <c r="B34" s="21" t="s">
        <v>47</v>
      </c>
      <c r="C34" s="22"/>
    </row>
    <row r="35" spans="1:3">
      <c r="A35" s="20">
        <f t="shared" si="0"/>
        <v>24</v>
      </c>
      <c r="B35" s="21" t="s">
        <v>48</v>
      </c>
      <c r="C35" s="22"/>
    </row>
    <row r="36" spans="1:3">
      <c r="A36" s="20">
        <f t="shared" si="0"/>
        <v>25</v>
      </c>
      <c r="B36" s="21" t="s">
        <v>49</v>
      </c>
      <c r="C36" s="22"/>
    </row>
    <row r="37" spans="1:3">
      <c r="A37" s="20">
        <f t="shared" si="0"/>
        <v>26</v>
      </c>
      <c r="B37" s="21" t="s">
        <v>50</v>
      </c>
      <c r="C37" s="22"/>
    </row>
    <row r="38" spans="1:3" s="16" customFormat="1">
      <c r="A38" s="26"/>
      <c r="B38" s="31" t="s">
        <v>6</v>
      </c>
      <c r="C38" s="27">
        <f>SUM(C14:C37)</f>
        <v>0</v>
      </c>
    </row>
    <row r="39" spans="1:3">
      <c r="A39" s="17"/>
      <c r="B39" s="25" t="s">
        <v>7</v>
      </c>
      <c r="C39" s="19"/>
    </row>
    <row r="40" spans="1:3">
      <c r="A40" s="17">
        <v>27</v>
      </c>
      <c r="B40" s="18" t="s">
        <v>72</v>
      </c>
      <c r="C40" s="19"/>
    </row>
    <row r="41" spans="1:3">
      <c r="A41" s="20">
        <v>28</v>
      </c>
      <c r="B41" s="21" t="s">
        <v>69</v>
      </c>
      <c r="C41" s="22"/>
    </row>
    <row r="42" spans="1:3" s="16" customFormat="1">
      <c r="A42" s="26"/>
      <c r="B42" s="31" t="s">
        <v>11</v>
      </c>
      <c r="C42" s="27">
        <f>SUM(C40:C41)</f>
        <v>0</v>
      </c>
    </row>
    <row r="43" spans="1:3">
      <c r="A43" s="17"/>
      <c r="B43" s="25" t="s">
        <v>74</v>
      </c>
      <c r="C43" s="19"/>
    </row>
    <row r="44" spans="1:3">
      <c r="A44" s="20">
        <v>29</v>
      </c>
      <c r="B44" s="21" t="s">
        <v>74</v>
      </c>
      <c r="C44" s="24"/>
    </row>
    <row r="45" spans="1:3">
      <c r="A45" s="20"/>
      <c r="B45" s="21"/>
      <c r="C45" s="24"/>
    </row>
    <row r="46" spans="1:3" s="16" customFormat="1">
      <c r="A46" s="26"/>
      <c r="B46" s="31" t="s">
        <v>75</v>
      </c>
      <c r="C46" s="27">
        <f>SUM(C44:C45)</f>
        <v>0</v>
      </c>
    </row>
  </sheetData>
  <mergeCells count="4">
    <mergeCell ref="A3:B3"/>
    <mergeCell ref="A7:A8"/>
    <mergeCell ref="B7:B8"/>
    <mergeCell ref="C7:C8"/>
  </mergeCells>
  <pageMargins left="0.7" right="0.7" top="0.75" bottom="0.75" header="0.3" footer="0.3"/>
  <pageSetup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8F3D-9333-4B1C-8414-4E226DF65746}">
  <dimension ref="A1:L42"/>
  <sheetViews>
    <sheetView view="pageBreakPreview" topLeftCell="A8" zoomScaleNormal="100" zoomScaleSheetLayoutView="100" workbookViewId="0">
      <selection activeCell="C43" sqref="C43"/>
    </sheetView>
  </sheetViews>
  <sheetFormatPr defaultColWidth="9.140625" defaultRowHeight="13.5"/>
  <cols>
    <col min="1" max="1" width="10.7109375" style="13" customWidth="1"/>
    <col min="2" max="2" width="86.42578125" style="14" customWidth="1"/>
    <col min="3" max="3" width="13.5703125" style="15" customWidth="1"/>
    <col min="4" max="5" width="9.140625" style="13"/>
    <col min="6" max="6" width="2" style="13" customWidth="1"/>
    <col min="7" max="12" width="9.140625" style="13" hidden="1" customWidth="1"/>
    <col min="13" max="16384" width="9.140625" style="13"/>
  </cols>
  <sheetData>
    <row r="1" spans="1:3" s="1" customFormat="1" ht="31.5" customHeight="1">
      <c r="A1" s="7" t="s">
        <v>15</v>
      </c>
      <c r="B1" s="8"/>
      <c r="C1" s="4"/>
    </row>
    <row r="2" spans="1:3" s="2" customFormat="1" ht="31.5" customHeight="1">
      <c r="A2" s="7" t="str">
        <f>Summary!B22</f>
        <v>Building 19</v>
      </c>
      <c r="B2" s="9"/>
      <c r="C2" s="5"/>
    </row>
    <row r="3" spans="1:3" s="2" customFormat="1" ht="3" customHeight="1">
      <c r="A3" s="34"/>
      <c r="B3" s="34"/>
      <c r="C3" s="30"/>
    </row>
    <row r="4" spans="1:3" s="3" customFormat="1" ht="9" customHeight="1">
      <c r="B4" s="10"/>
      <c r="C4" s="6"/>
    </row>
    <row r="5" spans="1:3" s="3" customFormat="1" ht="13.5" customHeight="1">
      <c r="A5" s="11" t="s">
        <v>12</v>
      </c>
      <c r="B5" s="12" t="s">
        <v>16</v>
      </c>
      <c r="C5" s="4"/>
    </row>
    <row r="6" spans="1:3" ht="9" customHeight="1"/>
    <row r="7" spans="1:3" s="16" customFormat="1" ht="17.45" customHeight="1">
      <c r="A7" s="35" t="s">
        <v>13</v>
      </c>
      <c r="B7" s="40" t="s">
        <v>14</v>
      </c>
      <c r="C7" s="37" t="s">
        <v>0</v>
      </c>
    </row>
    <row r="8" spans="1:3" s="16" customFormat="1">
      <c r="A8" s="35"/>
      <c r="B8" s="40"/>
      <c r="C8" s="38"/>
    </row>
    <row r="9" spans="1:3">
      <c r="A9" s="17"/>
      <c r="B9" s="25" t="s">
        <v>65</v>
      </c>
      <c r="C9" s="19"/>
    </row>
    <row r="10" spans="1:3">
      <c r="A10" s="17">
        <v>1</v>
      </c>
      <c r="B10" s="18" t="s">
        <v>71</v>
      </c>
      <c r="C10" s="19"/>
    </row>
    <row r="11" spans="1:3">
      <c r="A11" s="20">
        <f>A10+1</f>
        <v>2</v>
      </c>
      <c r="B11" s="21" t="s">
        <v>69</v>
      </c>
      <c r="C11" s="22"/>
    </row>
    <row r="12" spans="1:3" s="16" customFormat="1">
      <c r="A12" s="26"/>
      <c r="B12" s="31" t="s">
        <v>70</v>
      </c>
      <c r="C12" s="27">
        <f>SUM(C10:C11)</f>
        <v>0</v>
      </c>
    </row>
    <row r="13" spans="1:3">
      <c r="A13" s="17"/>
      <c r="B13" s="25" t="s">
        <v>27</v>
      </c>
      <c r="C13" s="19"/>
    </row>
    <row r="14" spans="1:3">
      <c r="A14" s="17">
        <v>3</v>
      </c>
      <c r="B14" s="18" t="s">
        <v>28</v>
      </c>
      <c r="C14" s="19"/>
    </row>
    <row r="15" spans="1:3">
      <c r="A15" s="20">
        <f>A14+1</f>
        <v>4</v>
      </c>
      <c r="B15" s="21" t="s">
        <v>29</v>
      </c>
      <c r="C15" s="22"/>
    </row>
    <row r="16" spans="1:3">
      <c r="A16" s="20">
        <f t="shared" ref="A16:A37" si="0">A15+1</f>
        <v>5</v>
      </c>
      <c r="B16" s="21" t="s">
        <v>30</v>
      </c>
      <c r="C16" s="22"/>
    </row>
    <row r="17" spans="1:3">
      <c r="A17" s="20">
        <f t="shared" si="0"/>
        <v>6</v>
      </c>
      <c r="B17" s="21" t="s">
        <v>31</v>
      </c>
      <c r="C17" s="22"/>
    </row>
    <row r="18" spans="1:3">
      <c r="A18" s="20">
        <f t="shared" si="0"/>
        <v>7</v>
      </c>
      <c r="B18" s="21" t="s">
        <v>32</v>
      </c>
      <c r="C18" s="22"/>
    </row>
    <row r="19" spans="1:3">
      <c r="A19" s="20">
        <f t="shared" si="0"/>
        <v>8</v>
      </c>
      <c r="B19" s="21" t="s">
        <v>33</v>
      </c>
      <c r="C19" s="22"/>
    </row>
    <row r="20" spans="1:3">
      <c r="A20" s="20">
        <f t="shared" si="0"/>
        <v>9</v>
      </c>
      <c r="B20" s="21" t="s">
        <v>34</v>
      </c>
      <c r="C20" s="22"/>
    </row>
    <row r="21" spans="1:3">
      <c r="A21" s="20">
        <f t="shared" si="0"/>
        <v>10</v>
      </c>
      <c r="B21" s="21" t="s">
        <v>35</v>
      </c>
      <c r="C21" s="22"/>
    </row>
    <row r="22" spans="1:3">
      <c r="A22" s="20">
        <f t="shared" si="0"/>
        <v>11</v>
      </c>
      <c r="B22" s="21" t="s">
        <v>36</v>
      </c>
      <c r="C22" s="22"/>
    </row>
    <row r="23" spans="1:3">
      <c r="A23" s="20">
        <f t="shared" si="0"/>
        <v>12</v>
      </c>
      <c r="B23" s="21" t="s">
        <v>37</v>
      </c>
      <c r="C23" s="22"/>
    </row>
    <row r="24" spans="1:3">
      <c r="A24" s="20">
        <f t="shared" si="0"/>
        <v>13</v>
      </c>
      <c r="B24" s="21" t="s">
        <v>38</v>
      </c>
      <c r="C24" s="22"/>
    </row>
    <row r="25" spans="1:3">
      <c r="A25" s="20">
        <f t="shared" si="0"/>
        <v>14</v>
      </c>
      <c r="B25" s="21" t="s">
        <v>39</v>
      </c>
      <c r="C25" s="22"/>
    </row>
    <row r="26" spans="1:3">
      <c r="A26" s="20">
        <f t="shared" si="0"/>
        <v>15</v>
      </c>
      <c r="B26" s="21" t="s">
        <v>40</v>
      </c>
      <c r="C26" s="22"/>
    </row>
    <row r="27" spans="1:3">
      <c r="A27" s="20">
        <f t="shared" si="0"/>
        <v>16</v>
      </c>
      <c r="B27" s="21" t="s">
        <v>41</v>
      </c>
      <c r="C27" s="22"/>
    </row>
    <row r="28" spans="1:3">
      <c r="A28" s="20">
        <f t="shared" si="0"/>
        <v>17</v>
      </c>
      <c r="B28" s="21" t="s">
        <v>42</v>
      </c>
      <c r="C28" s="22"/>
    </row>
    <row r="29" spans="1:3">
      <c r="A29" s="20">
        <f t="shared" si="0"/>
        <v>18</v>
      </c>
      <c r="B29" s="21" t="s">
        <v>60</v>
      </c>
      <c r="C29" s="22"/>
    </row>
    <row r="30" spans="1:3">
      <c r="A30" s="20">
        <f t="shared" si="0"/>
        <v>19</v>
      </c>
      <c r="B30" s="21" t="s">
        <v>43</v>
      </c>
      <c r="C30" s="22"/>
    </row>
    <row r="31" spans="1:3">
      <c r="A31" s="20">
        <f t="shared" si="0"/>
        <v>20</v>
      </c>
      <c r="B31" s="21" t="s">
        <v>44</v>
      </c>
      <c r="C31" s="22"/>
    </row>
    <row r="32" spans="1:3">
      <c r="A32" s="20">
        <f t="shared" si="0"/>
        <v>21</v>
      </c>
      <c r="B32" s="21" t="s">
        <v>45</v>
      </c>
      <c r="C32" s="22"/>
    </row>
    <row r="33" spans="1:3">
      <c r="A33" s="20">
        <f t="shared" si="0"/>
        <v>22</v>
      </c>
      <c r="B33" s="21" t="s">
        <v>46</v>
      </c>
      <c r="C33" s="22"/>
    </row>
    <row r="34" spans="1:3">
      <c r="A34" s="20">
        <f t="shared" si="0"/>
        <v>23</v>
      </c>
      <c r="B34" s="21" t="s">
        <v>47</v>
      </c>
      <c r="C34" s="22"/>
    </row>
    <row r="35" spans="1:3">
      <c r="A35" s="20">
        <f t="shared" si="0"/>
        <v>24</v>
      </c>
      <c r="B35" s="21" t="s">
        <v>48</v>
      </c>
      <c r="C35" s="22"/>
    </row>
    <row r="36" spans="1:3">
      <c r="A36" s="20">
        <f t="shared" si="0"/>
        <v>25</v>
      </c>
      <c r="B36" s="21" t="s">
        <v>49</v>
      </c>
      <c r="C36" s="22"/>
    </row>
    <row r="37" spans="1:3">
      <c r="A37" s="20">
        <f t="shared" si="0"/>
        <v>26</v>
      </c>
      <c r="B37" s="21" t="s">
        <v>50</v>
      </c>
      <c r="C37" s="22"/>
    </row>
    <row r="38" spans="1:3" s="16" customFormat="1">
      <c r="A38" s="26"/>
      <c r="B38" s="31" t="s">
        <v>6</v>
      </c>
      <c r="C38" s="27">
        <f>SUM(C13:C37)</f>
        <v>0</v>
      </c>
    </row>
    <row r="39" spans="1:3">
      <c r="A39" s="17"/>
      <c r="B39" s="25" t="s">
        <v>74</v>
      </c>
      <c r="C39" s="19"/>
    </row>
    <row r="40" spans="1:3">
      <c r="A40" s="20">
        <v>27</v>
      </c>
      <c r="B40" s="21" t="s">
        <v>74</v>
      </c>
      <c r="C40" s="24"/>
    </row>
    <row r="41" spans="1:3">
      <c r="A41" s="20"/>
      <c r="B41" s="21"/>
      <c r="C41" s="24"/>
    </row>
    <row r="42" spans="1:3" s="16" customFormat="1">
      <c r="A42" s="26"/>
      <c r="B42" s="31" t="s">
        <v>75</v>
      </c>
      <c r="C42" s="27">
        <f>SUM(C40:C41)</f>
        <v>0</v>
      </c>
    </row>
  </sheetData>
  <mergeCells count="4">
    <mergeCell ref="A3:B3"/>
    <mergeCell ref="A7:A8"/>
    <mergeCell ref="B7:B8"/>
    <mergeCell ref="C7:C8"/>
  </mergeCells>
  <pageMargins left="0.7" right="0.7" top="0.75" bottom="0.75" header="0.3" footer="0.3"/>
  <pageSetup scale="7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D1FE-EAD9-4608-87DB-10C01A4B8AE4}">
  <dimension ref="A1:L42"/>
  <sheetViews>
    <sheetView view="pageBreakPreview" topLeftCell="A11" zoomScale="115" zoomScaleNormal="100" zoomScaleSheetLayoutView="115" workbookViewId="0">
      <selection activeCell="A41" sqref="A41"/>
    </sheetView>
  </sheetViews>
  <sheetFormatPr defaultColWidth="9.140625" defaultRowHeight="13.5"/>
  <cols>
    <col min="1" max="1" width="10.7109375" style="13" customWidth="1"/>
    <col min="2" max="2" width="86.42578125" style="14" customWidth="1"/>
    <col min="3" max="3" width="13.5703125" style="15" customWidth="1"/>
    <col min="4" max="5" width="9.140625" style="13"/>
    <col min="6" max="6" width="2" style="13" customWidth="1"/>
    <col min="7" max="12" width="9.140625" style="13" hidden="1" customWidth="1"/>
    <col min="13" max="16384" width="9.140625" style="13"/>
  </cols>
  <sheetData>
    <row r="1" spans="1:3" s="1" customFormat="1" ht="31.5" customHeight="1">
      <c r="A1" s="33" t="s">
        <v>15</v>
      </c>
      <c r="B1" s="8"/>
      <c r="C1" s="4"/>
    </row>
    <row r="2" spans="1:3" s="2" customFormat="1" ht="31.5" customHeight="1">
      <c r="A2" s="7" t="str">
        <f>Summary!B23</f>
        <v>Building 34</v>
      </c>
      <c r="B2" s="9"/>
      <c r="C2" s="5"/>
    </row>
    <row r="3" spans="1:3" s="2" customFormat="1" ht="3" customHeight="1">
      <c r="A3" s="34"/>
      <c r="B3" s="34"/>
      <c r="C3" s="30"/>
    </row>
    <row r="4" spans="1:3" s="3" customFormat="1" ht="9" customHeight="1">
      <c r="B4" s="10"/>
      <c r="C4" s="6"/>
    </row>
    <row r="5" spans="1:3" s="3" customFormat="1" ht="13.5" customHeight="1">
      <c r="A5" s="11" t="s">
        <v>12</v>
      </c>
      <c r="B5" s="12" t="s">
        <v>16</v>
      </c>
      <c r="C5" s="4"/>
    </row>
    <row r="6" spans="1:3" ht="9" customHeight="1"/>
    <row r="7" spans="1:3" s="16" customFormat="1" ht="17.45" customHeight="1">
      <c r="A7" s="35" t="s">
        <v>13</v>
      </c>
      <c r="B7" s="40" t="s">
        <v>14</v>
      </c>
      <c r="C7" s="37" t="s">
        <v>0</v>
      </c>
    </row>
    <row r="8" spans="1:3" s="16" customFormat="1">
      <c r="A8" s="35"/>
      <c r="B8" s="40"/>
      <c r="C8" s="38"/>
    </row>
    <row r="9" spans="1:3">
      <c r="A9" s="17"/>
      <c r="B9" s="25" t="s">
        <v>65</v>
      </c>
      <c r="C9" s="19"/>
    </row>
    <row r="10" spans="1:3">
      <c r="A10" s="17">
        <v>1</v>
      </c>
      <c r="B10" s="18" t="s">
        <v>71</v>
      </c>
      <c r="C10" s="19"/>
    </row>
    <row r="11" spans="1:3">
      <c r="A11" s="20">
        <f>A10+1</f>
        <v>2</v>
      </c>
      <c r="B11" s="21" t="s">
        <v>69</v>
      </c>
      <c r="C11" s="22"/>
    </row>
    <row r="12" spans="1:3" s="16" customFormat="1">
      <c r="A12" s="26"/>
      <c r="B12" s="31" t="s">
        <v>70</v>
      </c>
      <c r="C12" s="27">
        <f>SUM(C10:C11)</f>
        <v>0</v>
      </c>
    </row>
    <row r="13" spans="1:3">
      <c r="A13" s="17"/>
      <c r="B13" s="25" t="s">
        <v>27</v>
      </c>
      <c r="C13" s="19"/>
    </row>
    <row r="14" spans="1:3">
      <c r="A14" s="17">
        <v>3</v>
      </c>
      <c r="B14" s="18" t="s">
        <v>28</v>
      </c>
      <c r="C14" s="19"/>
    </row>
    <row r="15" spans="1:3">
      <c r="A15" s="20">
        <f>A14+1</f>
        <v>4</v>
      </c>
      <c r="B15" s="21" t="s">
        <v>29</v>
      </c>
      <c r="C15" s="22"/>
    </row>
    <row r="16" spans="1:3">
      <c r="A16" s="20">
        <f t="shared" ref="A16:A37" si="0">A15+1</f>
        <v>5</v>
      </c>
      <c r="B16" s="21" t="s">
        <v>30</v>
      </c>
      <c r="C16" s="22"/>
    </row>
    <row r="17" spans="1:3">
      <c r="A17" s="20">
        <f t="shared" si="0"/>
        <v>6</v>
      </c>
      <c r="B17" s="21" t="s">
        <v>31</v>
      </c>
      <c r="C17" s="22"/>
    </row>
    <row r="18" spans="1:3">
      <c r="A18" s="20">
        <f t="shared" si="0"/>
        <v>7</v>
      </c>
      <c r="B18" s="21" t="s">
        <v>32</v>
      </c>
      <c r="C18" s="22"/>
    </row>
    <row r="19" spans="1:3">
      <c r="A19" s="20">
        <f t="shared" si="0"/>
        <v>8</v>
      </c>
      <c r="B19" s="21" t="s">
        <v>33</v>
      </c>
      <c r="C19" s="22"/>
    </row>
    <row r="20" spans="1:3">
      <c r="A20" s="20">
        <f t="shared" si="0"/>
        <v>9</v>
      </c>
      <c r="B20" s="21" t="s">
        <v>34</v>
      </c>
      <c r="C20" s="22"/>
    </row>
    <row r="21" spans="1:3">
      <c r="A21" s="20">
        <f t="shared" si="0"/>
        <v>10</v>
      </c>
      <c r="B21" s="21" t="s">
        <v>35</v>
      </c>
      <c r="C21" s="22"/>
    </row>
    <row r="22" spans="1:3">
      <c r="A22" s="20">
        <f t="shared" si="0"/>
        <v>11</v>
      </c>
      <c r="B22" s="21" t="s">
        <v>36</v>
      </c>
      <c r="C22" s="22"/>
    </row>
    <row r="23" spans="1:3">
      <c r="A23" s="20">
        <f t="shared" si="0"/>
        <v>12</v>
      </c>
      <c r="B23" s="21" t="s">
        <v>37</v>
      </c>
      <c r="C23" s="22"/>
    </row>
    <row r="24" spans="1:3">
      <c r="A24" s="20">
        <f t="shared" si="0"/>
        <v>13</v>
      </c>
      <c r="B24" s="21" t="s">
        <v>38</v>
      </c>
      <c r="C24" s="22"/>
    </row>
    <row r="25" spans="1:3">
      <c r="A25" s="20">
        <f t="shared" si="0"/>
        <v>14</v>
      </c>
      <c r="B25" s="21" t="s">
        <v>39</v>
      </c>
      <c r="C25" s="22"/>
    </row>
    <row r="26" spans="1:3">
      <c r="A26" s="20">
        <f t="shared" si="0"/>
        <v>15</v>
      </c>
      <c r="B26" s="21" t="s">
        <v>40</v>
      </c>
      <c r="C26" s="22"/>
    </row>
    <row r="27" spans="1:3">
      <c r="A27" s="20">
        <f t="shared" si="0"/>
        <v>16</v>
      </c>
      <c r="B27" s="21" t="s">
        <v>41</v>
      </c>
      <c r="C27" s="22"/>
    </row>
    <row r="28" spans="1:3">
      <c r="A28" s="20">
        <f t="shared" si="0"/>
        <v>17</v>
      </c>
      <c r="B28" s="21" t="s">
        <v>42</v>
      </c>
      <c r="C28" s="22"/>
    </row>
    <row r="29" spans="1:3">
      <c r="A29" s="20">
        <f t="shared" si="0"/>
        <v>18</v>
      </c>
      <c r="B29" s="21" t="s">
        <v>60</v>
      </c>
      <c r="C29" s="22"/>
    </row>
    <row r="30" spans="1:3">
      <c r="A30" s="20">
        <f t="shared" si="0"/>
        <v>19</v>
      </c>
      <c r="B30" s="21" t="s">
        <v>43</v>
      </c>
      <c r="C30" s="22"/>
    </row>
    <row r="31" spans="1:3">
      <c r="A31" s="20">
        <f t="shared" si="0"/>
        <v>20</v>
      </c>
      <c r="B31" s="21" t="s">
        <v>44</v>
      </c>
      <c r="C31" s="22"/>
    </row>
    <row r="32" spans="1:3">
      <c r="A32" s="20">
        <f t="shared" si="0"/>
        <v>21</v>
      </c>
      <c r="B32" s="21" t="s">
        <v>45</v>
      </c>
      <c r="C32" s="22"/>
    </row>
    <row r="33" spans="1:3">
      <c r="A33" s="20">
        <f t="shared" si="0"/>
        <v>22</v>
      </c>
      <c r="B33" s="21" t="s">
        <v>46</v>
      </c>
      <c r="C33" s="22"/>
    </row>
    <row r="34" spans="1:3">
      <c r="A34" s="20">
        <f t="shared" si="0"/>
        <v>23</v>
      </c>
      <c r="B34" s="21" t="s">
        <v>47</v>
      </c>
      <c r="C34" s="22"/>
    </row>
    <row r="35" spans="1:3">
      <c r="A35" s="20">
        <f t="shared" si="0"/>
        <v>24</v>
      </c>
      <c r="B35" s="21" t="s">
        <v>48</v>
      </c>
      <c r="C35" s="22"/>
    </row>
    <row r="36" spans="1:3">
      <c r="A36" s="20">
        <f t="shared" si="0"/>
        <v>25</v>
      </c>
      <c r="B36" s="21" t="s">
        <v>49</v>
      </c>
      <c r="C36" s="22"/>
    </row>
    <row r="37" spans="1:3">
      <c r="A37" s="20">
        <f t="shared" si="0"/>
        <v>26</v>
      </c>
      <c r="B37" s="21" t="s">
        <v>50</v>
      </c>
      <c r="C37" s="22"/>
    </row>
    <row r="38" spans="1:3" s="16" customFormat="1">
      <c r="A38" s="26"/>
      <c r="B38" s="31" t="s">
        <v>6</v>
      </c>
      <c r="C38" s="27">
        <f>SUM(C14:C37)</f>
        <v>0</v>
      </c>
    </row>
    <row r="39" spans="1:3">
      <c r="A39" s="17"/>
      <c r="B39" s="25" t="s">
        <v>74</v>
      </c>
      <c r="C39" s="19"/>
    </row>
    <row r="40" spans="1:3">
      <c r="A40" s="20">
        <v>27</v>
      </c>
      <c r="B40" s="21" t="s">
        <v>74</v>
      </c>
      <c r="C40" s="24"/>
    </row>
    <row r="41" spans="1:3">
      <c r="A41" s="20"/>
      <c r="B41" s="21"/>
      <c r="C41" s="24"/>
    </row>
    <row r="42" spans="1:3" s="16" customFormat="1">
      <c r="A42" s="26"/>
      <c r="B42" s="31" t="s">
        <v>75</v>
      </c>
      <c r="C42" s="27">
        <f>SUM(C40:C41)</f>
        <v>0</v>
      </c>
    </row>
  </sheetData>
  <mergeCells count="4">
    <mergeCell ref="A3:B3"/>
    <mergeCell ref="A7:A8"/>
    <mergeCell ref="B7:B8"/>
    <mergeCell ref="C7:C8"/>
  </mergeCells>
  <pageMargins left="0.7" right="0.7" top="0.75" bottom="0.75" header="0.3" footer="0.3"/>
  <pageSetup scale="7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639C-489E-463D-ADE0-07C147166EEB}">
  <dimension ref="A1:L46"/>
  <sheetViews>
    <sheetView view="pageBreakPreview" topLeftCell="A8" zoomScaleNormal="100" zoomScaleSheetLayoutView="100" workbookViewId="0">
      <selection activeCell="C42" sqref="C42"/>
    </sheetView>
  </sheetViews>
  <sheetFormatPr defaultColWidth="9.140625" defaultRowHeight="13.5"/>
  <cols>
    <col min="1" max="1" width="10.7109375" style="13" customWidth="1"/>
    <col min="2" max="2" width="86.42578125" style="14" customWidth="1"/>
    <col min="3" max="3" width="13.5703125" style="15" customWidth="1"/>
    <col min="4" max="5" width="9.140625" style="13"/>
    <col min="6" max="6" width="2" style="13" customWidth="1"/>
    <col min="7" max="12" width="9.140625" style="13" hidden="1" customWidth="1"/>
    <col min="13" max="16384" width="9.140625" style="13"/>
  </cols>
  <sheetData>
    <row r="1" spans="1:3" s="1" customFormat="1" ht="31.5" customHeight="1">
      <c r="A1" s="7" t="s">
        <v>15</v>
      </c>
      <c r="B1" s="8"/>
      <c r="C1" s="4"/>
    </row>
    <row r="2" spans="1:3" s="2" customFormat="1" ht="31.5" customHeight="1">
      <c r="A2" s="7" t="str">
        <f>Summary!B24</f>
        <v>Building 36</v>
      </c>
      <c r="B2" s="9"/>
      <c r="C2" s="5"/>
    </row>
    <row r="3" spans="1:3" s="2" customFormat="1" ht="3" customHeight="1">
      <c r="A3" s="34"/>
      <c r="B3" s="34"/>
      <c r="C3" s="30"/>
    </row>
    <row r="4" spans="1:3" s="3" customFormat="1" ht="9" customHeight="1">
      <c r="B4" s="10"/>
      <c r="C4" s="6"/>
    </row>
    <row r="5" spans="1:3" s="3" customFormat="1" ht="13.5" customHeight="1">
      <c r="A5" s="11" t="s">
        <v>12</v>
      </c>
      <c r="B5" s="12" t="s">
        <v>16</v>
      </c>
      <c r="C5" s="4"/>
    </row>
    <row r="6" spans="1:3" ht="9" customHeight="1"/>
    <row r="7" spans="1:3" s="16" customFormat="1" ht="17.45" customHeight="1">
      <c r="A7" s="35" t="s">
        <v>13</v>
      </c>
      <c r="B7" s="40" t="s">
        <v>14</v>
      </c>
      <c r="C7" s="37" t="s">
        <v>0</v>
      </c>
    </row>
    <row r="8" spans="1:3" s="16" customFormat="1">
      <c r="A8" s="35"/>
      <c r="B8" s="40"/>
      <c r="C8" s="38"/>
    </row>
    <row r="9" spans="1:3">
      <c r="A9" s="17"/>
      <c r="B9" s="25" t="s">
        <v>65</v>
      </c>
      <c r="C9" s="19"/>
    </row>
    <row r="10" spans="1:3">
      <c r="A10" s="17">
        <v>1</v>
      </c>
      <c r="B10" s="18" t="s">
        <v>71</v>
      </c>
      <c r="C10" s="19"/>
    </row>
    <row r="11" spans="1:3">
      <c r="A11" s="20">
        <f>A10+1</f>
        <v>2</v>
      </c>
      <c r="B11" s="21" t="s">
        <v>69</v>
      </c>
      <c r="C11" s="22"/>
    </row>
    <row r="12" spans="1:3" s="16" customFormat="1">
      <c r="A12" s="26"/>
      <c r="B12" s="31" t="s">
        <v>70</v>
      </c>
      <c r="C12" s="27">
        <f>SUM(C10:C11)</f>
        <v>0</v>
      </c>
    </row>
    <row r="13" spans="1:3">
      <c r="A13" s="17"/>
      <c r="B13" s="25" t="s">
        <v>27</v>
      </c>
      <c r="C13" s="19"/>
    </row>
    <row r="14" spans="1:3">
      <c r="A14" s="17">
        <v>3</v>
      </c>
      <c r="B14" s="18" t="s">
        <v>28</v>
      </c>
      <c r="C14" s="19"/>
    </row>
    <row r="15" spans="1:3">
      <c r="A15" s="20">
        <f>A14+1</f>
        <v>4</v>
      </c>
      <c r="B15" s="21" t="s">
        <v>29</v>
      </c>
      <c r="C15" s="22"/>
    </row>
    <row r="16" spans="1:3">
      <c r="A16" s="20">
        <f t="shared" ref="A16:A37" si="0">A15+1</f>
        <v>5</v>
      </c>
      <c r="B16" s="21" t="s">
        <v>30</v>
      </c>
      <c r="C16" s="22"/>
    </row>
    <row r="17" spans="1:3">
      <c r="A17" s="20">
        <f t="shared" si="0"/>
        <v>6</v>
      </c>
      <c r="B17" s="21" t="s">
        <v>31</v>
      </c>
      <c r="C17" s="22"/>
    </row>
    <row r="18" spans="1:3">
      <c r="A18" s="20">
        <f t="shared" si="0"/>
        <v>7</v>
      </c>
      <c r="B18" s="21" t="s">
        <v>32</v>
      </c>
      <c r="C18" s="22"/>
    </row>
    <row r="19" spans="1:3">
      <c r="A19" s="20">
        <f t="shared" si="0"/>
        <v>8</v>
      </c>
      <c r="B19" s="21" t="s">
        <v>33</v>
      </c>
      <c r="C19" s="22"/>
    </row>
    <row r="20" spans="1:3">
      <c r="A20" s="20">
        <f t="shared" si="0"/>
        <v>9</v>
      </c>
      <c r="B20" s="21" t="s">
        <v>34</v>
      </c>
      <c r="C20" s="22"/>
    </row>
    <row r="21" spans="1:3">
      <c r="A21" s="20">
        <f t="shared" si="0"/>
        <v>10</v>
      </c>
      <c r="B21" s="21" t="s">
        <v>35</v>
      </c>
      <c r="C21" s="22"/>
    </row>
    <row r="22" spans="1:3">
      <c r="A22" s="20">
        <f t="shared" si="0"/>
        <v>11</v>
      </c>
      <c r="B22" s="21" t="s">
        <v>36</v>
      </c>
      <c r="C22" s="22"/>
    </row>
    <row r="23" spans="1:3">
      <c r="A23" s="20">
        <f t="shared" si="0"/>
        <v>12</v>
      </c>
      <c r="B23" s="21" t="s">
        <v>37</v>
      </c>
      <c r="C23" s="22"/>
    </row>
    <row r="24" spans="1:3">
      <c r="A24" s="20">
        <f t="shared" si="0"/>
        <v>13</v>
      </c>
      <c r="B24" s="21" t="s">
        <v>38</v>
      </c>
      <c r="C24" s="22"/>
    </row>
    <row r="25" spans="1:3">
      <c r="A25" s="20">
        <f t="shared" si="0"/>
        <v>14</v>
      </c>
      <c r="B25" s="21" t="s">
        <v>39</v>
      </c>
      <c r="C25" s="22"/>
    </row>
    <row r="26" spans="1:3">
      <c r="A26" s="20">
        <f t="shared" si="0"/>
        <v>15</v>
      </c>
      <c r="B26" s="21" t="s">
        <v>40</v>
      </c>
      <c r="C26" s="22"/>
    </row>
    <row r="27" spans="1:3">
      <c r="A27" s="20">
        <f t="shared" si="0"/>
        <v>16</v>
      </c>
      <c r="B27" s="21" t="s">
        <v>41</v>
      </c>
      <c r="C27" s="22"/>
    </row>
    <row r="28" spans="1:3">
      <c r="A28" s="20">
        <f t="shared" si="0"/>
        <v>17</v>
      </c>
      <c r="B28" s="21" t="s">
        <v>42</v>
      </c>
      <c r="C28" s="22"/>
    </row>
    <row r="29" spans="1:3">
      <c r="A29" s="20">
        <f t="shared" si="0"/>
        <v>18</v>
      </c>
      <c r="B29" s="21" t="s">
        <v>60</v>
      </c>
      <c r="C29" s="22"/>
    </row>
    <row r="30" spans="1:3">
      <c r="A30" s="20">
        <f t="shared" si="0"/>
        <v>19</v>
      </c>
      <c r="B30" s="21" t="s">
        <v>43</v>
      </c>
      <c r="C30" s="22"/>
    </row>
    <row r="31" spans="1:3">
      <c r="A31" s="20">
        <f t="shared" si="0"/>
        <v>20</v>
      </c>
      <c r="B31" s="21" t="s">
        <v>44</v>
      </c>
      <c r="C31" s="22"/>
    </row>
    <row r="32" spans="1:3">
      <c r="A32" s="20">
        <f t="shared" si="0"/>
        <v>21</v>
      </c>
      <c r="B32" s="21" t="s">
        <v>45</v>
      </c>
      <c r="C32" s="22"/>
    </row>
    <row r="33" spans="1:3">
      <c r="A33" s="20">
        <f t="shared" si="0"/>
        <v>22</v>
      </c>
      <c r="B33" s="21" t="s">
        <v>46</v>
      </c>
      <c r="C33" s="22"/>
    </row>
    <row r="34" spans="1:3">
      <c r="A34" s="20">
        <f t="shared" si="0"/>
        <v>23</v>
      </c>
      <c r="B34" s="21" t="s">
        <v>47</v>
      </c>
      <c r="C34" s="22"/>
    </row>
    <row r="35" spans="1:3">
      <c r="A35" s="20">
        <f t="shared" si="0"/>
        <v>24</v>
      </c>
      <c r="B35" s="21" t="s">
        <v>48</v>
      </c>
      <c r="C35" s="22"/>
    </row>
    <row r="36" spans="1:3">
      <c r="A36" s="20">
        <f t="shared" si="0"/>
        <v>25</v>
      </c>
      <c r="B36" s="21" t="s">
        <v>49</v>
      </c>
      <c r="C36" s="22"/>
    </row>
    <row r="37" spans="1:3">
      <c r="A37" s="20">
        <f t="shared" si="0"/>
        <v>26</v>
      </c>
      <c r="B37" s="21" t="s">
        <v>50</v>
      </c>
      <c r="C37" s="22"/>
    </row>
    <row r="38" spans="1:3" s="16" customFormat="1">
      <c r="A38" s="26"/>
      <c r="B38" s="31" t="s">
        <v>6</v>
      </c>
      <c r="C38" s="27">
        <f>SUM(C13:C37)</f>
        <v>0</v>
      </c>
    </row>
    <row r="39" spans="1:3">
      <c r="A39" s="17"/>
      <c r="B39" s="25" t="s">
        <v>7</v>
      </c>
      <c r="C39" s="19"/>
    </row>
    <row r="40" spans="1:3">
      <c r="A40" s="17">
        <v>27</v>
      </c>
      <c r="B40" s="18" t="s">
        <v>22</v>
      </c>
      <c r="C40" s="19"/>
    </row>
    <row r="41" spans="1:3">
      <c r="A41" s="20">
        <v>28</v>
      </c>
      <c r="B41" s="21" t="s">
        <v>69</v>
      </c>
      <c r="C41" s="22"/>
    </row>
    <row r="42" spans="1:3" s="16" customFormat="1">
      <c r="A42" s="26"/>
      <c r="B42" s="31" t="s">
        <v>11</v>
      </c>
      <c r="C42" s="27">
        <f>SUM(C40:C41)</f>
        <v>0</v>
      </c>
    </row>
    <row r="43" spans="1:3">
      <c r="A43" s="17"/>
      <c r="B43" s="25" t="s">
        <v>74</v>
      </c>
      <c r="C43" s="19"/>
    </row>
    <row r="44" spans="1:3">
      <c r="A44" s="20">
        <v>29</v>
      </c>
      <c r="B44" s="21" t="s">
        <v>74</v>
      </c>
      <c r="C44" s="24"/>
    </row>
    <row r="45" spans="1:3">
      <c r="A45" s="20"/>
      <c r="B45" s="21"/>
      <c r="C45" s="24"/>
    </row>
    <row r="46" spans="1:3" s="16" customFormat="1">
      <c r="A46" s="26"/>
      <c r="B46" s="31" t="s">
        <v>75</v>
      </c>
      <c r="C46" s="27">
        <f>SUM(C44:C45)</f>
        <v>0</v>
      </c>
    </row>
  </sheetData>
  <mergeCells count="4">
    <mergeCell ref="A3:B3"/>
    <mergeCell ref="A7:A8"/>
    <mergeCell ref="B7:B8"/>
    <mergeCell ref="C7:C8"/>
  </mergeCells>
  <pageMargins left="0.7" right="0.7" top="0.75" bottom="0.75" header="0.3" footer="0.3"/>
  <pageSetup scale="7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C568-434F-4215-8946-8B7F0946195A}">
  <dimension ref="A1:L48"/>
  <sheetViews>
    <sheetView view="pageBreakPreview" topLeftCell="A11" zoomScaleNormal="100" zoomScaleSheetLayoutView="100" workbookViewId="0">
      <selection activeCell="A47" sqref="A47"/>
    </sheetView>
  </sheetViews>
  <sheetFormatPr defaultColWidth="9.140625" defaultRowHeight="13.5"/>
  <cols>
    <col min="1" max="1" width="10.7109375" style="13" customWidth="1"/>
    <col min="2" max="2" width="86.42578125" style="14" customWidth="1"/>
    <col min="3" max="3" width="13.5703125" style="15" customWidth="1"/>
    <col min="4" max="5" width="9.140625" style="13"/>
    <col min="6" max="6" width="2" style="13" customWidth="1"/>
    <col min="7" max="12" width="9.140625" style="13" hidden="1" customWidth="1"/>
    <col min="13" max="16384" width="9.140625" style="13"/>
  </cols>
  <sheetData>
    <row r="1" spans="1:3" s="1" customFormat="1" ht="31.5" customHeight="1">
      <c r="A1" s="7" t="s">
        <v>15</v>
      </c>
      <c r="B1" s="8"/>
      <c r="C1" s="4"/>
    </row>
    <row r="2" spans="1:3" s="2" customFormat="1" ht="31.5" customHeight="1">
      <c r="A2" s="7" t="str">
        <f>Summary!B25</f>
        <v>Building 76</v>
      </c>
      <c r="B2" s="9"/>
      <c r="C2" s="5"/>
    </row>
    <row r="3" spans="1:3" s="2" customFormat="1" ht="3" customHeight="1">
      <c r="A3" s="34"/>
      <c r="B3" s="34"/>
      <c r="C3" s="30"/>
    </row>
    <row r="4" spans="1:3" s="3" customFormat="1" ht="9" customHeight="1">
      <c r="B4" s="10"/>
      <c r="C4" s="6"/>
    </row>
    <row r="5" spans="1:3" s="3" customFormat="1" ht="13.5" customHeight="1">
      <c r="A5" s="11" t="s">
        <v>12</v>
      </c>
      <c r="B5" s="12" t="s">
        <v>16</v>
      </c>
      <c r="C5" s="4"/>
    </row>
    <row r="6" spans="1:3" ht="9" customHeight="1"/>
    <row r="7" spans="1:3" s="16" customFormat="1" ht="17.45" customHeight="1">
      <c r="A7" s="35" t="s">
        <v>13</v>
      </c>
      <c r="B7" s="40" t="s">
        <v>14</v>
      </c>
      <c r="C7" s="37" t="s">
        <v>0</v>
      </c>
    </row>
    <row r="8" spans="1:3" s="16" customFormat="1">
      <c r="A8" s="35"/>
      <c r="B8" s="40"/>
      <c r="C8" s="38"/>
    </row>
    <row r="9" spans="1:3">
      <c r="A9" s="17"/>
      <c r="B9" s="25" t="s">
        <v>65</v>
      </c>
      <c r="C9" s="19"/>
    </row>
    <row r="10" spans="1:3">
      <c r="A10" s="17">
        <v>1</v>
      </c>
      <c r="B10" s="18" t="s">
        <v>71</v>
      </c>
      <c r="C10" s="19"/>
    </row>
    <row r="11" spans="1:3">
      <c r="A11" s="20">
        <f>A10+1</f>
        <v>2</v>
      </c>
      <c r="B11" s="21" t="s">
        <v>69</v>
      </c>
      <c r="C11" s="22"/>
    </row>
    <row r="12" spans="1:3" s="16" customFormat="1">
      <c r="A12" s="26"/>
      <c r="B12" s="31" t="s">
        <v>70</v>
      </c>
      <c r="C12" s="27">
        <f>SUM(C10:C11)</f>
        <v>0</v>
      </c>
    </row>
    <row r="13" spans="1:3">
      <c r="A13" s="17"/>
      <c r="B13" s="25" t="s">
        <v>27</v>
      </c>
      <c r="C13" s="19"/>
    </row>
    <row r="14" spans="1:3">
      <c r="A14" s="17">
        <v>3</v>
      </c>
      <c r="B14" s="18" t="s">
        <v>28</v>
      </c>
      <c r="C14" s="19"/>
    </row>
    <row r="15" spans="1:3">
      <c r="A15" s="20">
        <f>A14+1</f>
        <v>4</v>
      </c>
      <c r="B15" s="21" t="s">
        <v>29</v>
      </c>
      <c r="C15" s="22"/>
    </row>
    <row r="16" spans="1:3">
      <c r="A16" s="20">
        <f t="shared" ref="A16:A36" si="0">A15+1</f>
        <v>5</v>
      </c>
      <c r="B16" s="21" t="s">
        <v>30</v>
      </c>
      <c r="C16" s="22"/>
    </row>
    <row r="17" spans="1:3">
      <c r="A17" s="20">
        <f t="shared" si="0"/>
        <v>6</v>
      </c>
      <c r="B17" s="21" t="s">
        <v>31</v>
      </c>
      <c r="C17" s="22"/>
    </row>
    <row r="18" spans="1:3">
      <c r="A18" s="20">
        <f t="shared" si="0"/>
        <v>7</v>
      </c>
      <c r="B18" s="21" t="s">
        <v>32</v>
      </c>
      <c r="C18" s="22"/>
    </row>
    <row r="19" spans="1:3">
      <c r="A19" s="20">
        <f t="shared" si="0"/>
        <v>8</v>
      </c>
      <c r="B19" s="21" t="s">
        <v>33</v>
      </c>
      <c r="C19" s="22"/>
    </row>
    <row r="20" spans="1:3">
      <c r="A20" s="20">
        <f t="shared" si="0"/>
        <v>9</v>
      </c>
      <c r="B20" s="21" t="s">
        <v>34</v>
      </c>
      <c r="C20" s="22"/>
    </row>
    <row r="21" spans="1:3">
      <c r="A21" s="20">
        <f t="shared" si="0"/>
        <v>10</v>
      </c>
      <c r="B21" s="21" t="s">
        <v>35</v>
      </c>
      <c r="C21" s="22"/>
    </row>
    <row r="22" spans="1:3">
      <c r="A22" s="20">
        <f t="shared" si="0"/>
        <v>11</v>
      </c>
      <c r="B22" s="21" t="s">
        <v>36</v>
      </c>
      <c r="C22" s="22"/>
    </row>
    <row r="23" spans="1:3">
      <c r="A23" s="20">
        <f t="shared" si="0"/>
        <v>12</v>
      </c>
      <c r="B23" s="21" t="s">
        <v>37</v>
      </c>
      <c r="C23" s="22"/>
    </row>
    <row r="24" spans="1:3">
      <c r="A24" s="20">
        <f t="shared" si="0"/>
        <v>13</v>
      </c>
      <c r="B24" s="21" t="s">
        <v>38</v>
      </c>
      <c r="C24" s="22"/>
    </row>
    <row r="25" spans="1:3">
      <c r="A25" s="20">
        <f t="shared" si="0"/>
        <v>14</v>
      </c>
      <c r="B25" s="21" t="s">
        <v>39</v>
      </c>
      <c r="C25" s="22"/>
    </row>
    <row r="26" spans="1:3">
      <c r="A26" s="20">
        <f t="shared" si="0"/>
        <v>15</v>
      </c>
      <c r="B26" s="21" t="s">
        <v>40</v>
      </c>
      <c r="C26" s="22"/>
    </row>
    <row r="27" spans="1:3">
      <c r="A27" s="20">
        <f t="shared" si="0"/>
        <v>16</v>
      </c>
      <c r="B27" s="21" t="s">
        <v>41</v>
      </c>
      <c r="C27" s="22"/>
    </row>
    <row r="28" spans="1:3">
      <c r="A28" s="20">
        <f t="shared" si="0"/>
        <v>17</v>
      </c>
      <c r="B28" s="21" t="s">
        <v>42</v>
      </c>
      <c r="C28" s="22"/>
    </row>
    <row r="29" spans="1:3">
      <c r="A29" s="20">
        <f t="shared" si="0"/>
        <v>18</v>
      </c>
      <c r="B29" s="21" t="s">
        <v>60</v>
      </c>
      <c r="C29" s="22"/>
    </row>
    <row r="30" spans="1:3">
      <c r="A30" s="20">
        <f t="shared" si="0"/>
        <v>19</v>
      </c>
      <c r="B30" s="21" t="s">
        <v>43</v>
      </c>
      <c r="C30" s="22"/>
    </row>
    <row r="31" spans="1:3">
      <c r="A31" s="20">
        <f t="shared" si="0"/>
        <v>20</v>
      </c>
      <c r="B31" s="21" t="s">
        <v>44</v>
      </c>
      <c r="C31" s="22"/>
    </row>
    <row r="32" spans="1:3">
      <c r="A32" s="20">
        <f t="shared" si="0"/>
        <v>21</v>
      </c>
      <c r="B32" s="21" t="s">
        <v>45</v>
      </c>
      <c r="C32" s="22"/>
    </row>
    <row r="33" spans="1:3">
      <c r="A33" s="20">
        <f t="shared" si="0"/>
        <v>22</v>
      </c>
      <c r="B33" s="21" t="s">
        <v>46</v>
      </c>
      <c r="C33" s="22"/>
    </row>
    <row r="34" spans="1:3">
      <c r="A34" s="20">
        <f t="shared" si="0"/>
        <v>23</v>
      </c>
      <c r="B34" s="21" t="s">
        <v>47</v>
      </c>
      <c r="C34" s="22"/>
    </row>
    <row r="35" spans="1:3">
      <c r="A35" s="20">
        <f t="shared" si="0"/>
        <v>24</v>
      </c>
      <c r="B35" s="21" t="s">
        <v>48</v>
      </c>
      <c r="C35" s="22"/>
    </row>
    <row r="36" spans="1:3">
      <c r="A36" s="20">
        <f t="shared" si="0"/>
        <v>25</v>
      </c>
      <c r="B36" s="21" t="s">
        <v>49</v>
      </c>
      <c r="C36" s="22"/>
    </row>
    <row r="37" spans="1:3">
      <c r="A37" s="20">
        <f>A36+1</f>
        <v>26</v>
      </c>
      <c r="B37" s="21" t="s">
        <v>50</v>
      </c>
      <c r="C37" s="22"/>
    </row>
    <row r="38" spans="1:3">
      <c r="A38" s="20">
        <f>A37+1</f>
        <v>27</v>
      </c>
      <c r="B38" s="21" t="s">
        <v>55</v>
      </c>
      <c r="C38" s="22"/>
    </row>
    <row r="39" spans="1:3">
      <c r="A39" s="20">
        <v>26</v>
      </c>
      <c r="B39" s="21" t="s">
        <v>61</v>
      </c>
      <c r="C39" s="22"/>
    </row>
    <row r="40" spans="1:3" s="16" customFormat="1">
      <c r="A40" s="26"/>
      <c r="B40" s="31" t="s">
        <v>6</v>
      </c>
      <c r="C40" s="27">
        <f>SUM(C14:C39)</f>
        <v>0</v>
      </c>
    </row>
    <row r="41" spans="1:3">
      <c r="A41" s="17"/>
      <c r="B41" s="25" t="s">
        <v>7</v>
      </c>
      <c r="C41" s="19"/>
    </row>
    <row r="42" spans="1:3">
      <c r="A42" s="17">
        <v>27</v>
      </c>
      <c r="B42" s="18" t="s">
        <v>73</v>
      </c>
      <c r="C42" s="19"/>
    </row>
    <row r="43" spans="1:3">
      <c r="A43" s="20">
        <v>28</v>
      </c>
      <c r="B43" s="21" t="s">
        <v>69</v>
      </c>
      <c r="C43" s="22"/>
    </row>
    <row r="44" spans="1:3" s="16" customFormat="1">
      <c r="A44" s="26"/>
      <c r="B44" s="31" t="s">
        <v>11</v>
      </c>
      <c r="C44" s="27">
        <f>SUM(C42:C43)</f>
        <v>0</v>
      </c>
    </row>
    <row r="45" spans="1:3">
      <c r="A45" s="17"/>
      <c r="B45" s="25" t="s">
        <v>74</v>
      </c>
      <c r="C45" s="19"/>
    </row>
    <row r="46" spans="1:3">
      <c r="A46" s="20">
        <v>29</v>
      </c>
      <c r="B46" s="21" t="s">
        <v>74</v>
      </c>
      <c r="C46" s="24"/>
    </row>
    <row r="47" spans="1:3">
      <c r="A47" s="20"/>
      <c r="B47" s="21"/>
      <c r="C47" s="24"/>
    </row>
    <row r="48" spans="1:3" s="16" customFormat="1">
      <c r="A48" s="26"/>
      <c r="B48" s="31" t="s">
        <v>75</v>
      </c>
      <c r="C48" s="27">
        <f>SUM(C46:C47)</f>
        <v>0</v>
      </c>
    </row>
  </sheetData>
  <mergeCells count="4">
    <mergeCell ref="A3:B3"/>
    <mergeCell ref="A7:A8"/>
    <mergeCell ref="B7:B8"/>
    <mergeCell ref="C7:C8"/>
  </mergeCells>
  <pageMargins left="0.7" right="0.7" top="0.75" bottom="0.75" header="0.3" footer="0.3"/>
  <pageSetup scale="7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714B-2F4C-4495-B554-76EC982B76E4}">
  <dimension ref="A1:L34"/>
  <sheetViews>
    <sheetView view="pageBreakPreview" zoomScaleNormal="100" zoomScaleSheetLayoutView="100" workbookViewId="0">
      <selection activeCell="C34" sqref="C34"/>
    </sheetView>
  </sheetViews>
  <sheetFormatPr defaultColWidth="9.140625" defaultRowHeight="13.5"/>
  <cols>
    <col min="1" max="1" width="10.7109375" style="13" customWidth="1"/>
    <col min="2" max="2" width="86.42578125" style="14" customWidth="1"/>
    <col min="3" max="3" width="13.5703125" style="15" customWidth="1"/>
    <col min="4" max="5" width="9.140625" style="13"/>
    <col min="6" max="6" width="2" style="13" customWidth="1"/>
    <col min="7" max="12" width="9.140625" style="13" hidden="1" customWidth="1"/>
    <col min="13" max="16384" width="9.140625" style="13"/>
  </cols>
  <sheetData>
    <row r="1" spans="1:3" s="1" customFormat="1" ht="31.5" customHeight="1">
      <c r="A1" s="7" t="s">
        <v>15</v>
      </c>
      <c r="B1" s="8"/>
      <c r="C1" s="4"/>
    </row>
    <row r="2" spans="1:3" s="2" customFormat="1" ht="31.5" customHeight="1">
      <c r="A2" s="7" t="str">
        <f>Summary!B26</f>
        <v>Building 32</v>
      </c>
      <c r="B2" s="9"/>
      <c r="C2" s="5"/>
    </row>
    <row r="3" spans="1:3" s="2" customFormat="1" ht="3" customHeight="1">
      <c r="A3" s="34"/>
      <c r="B3" s="34"/>
      <c r="C3" s="30"/>
    </row>
    <row r="4" spans="1:3" s="3" customFormat="1" ht="9" customHeight="1">
      <c r="B4" s="10"/>
      <c r="C4" s="6"/>
    </row>
    <row r="5" spans="1:3" s="3" customFormat="1" ht="13.5" customHeight="1">
      <c r="A5" s="11" t="s">
        <v>12</v>
      </c>
      <c r="B5" s="12" t="s">
        <v>16</v>
      </c>
      <c r="C5" s="4"/>
    </row>
    <row r="6" spans="1:3" ht="9" customHeight="1"/>
    <row r="7" spans="1:3" s="16" customFormat="1" ht="17.45" customHeight="1">
      <c r="A7" s="35" t="s">
        <v>13</v>
      </c>
      <c r="B7" s="36" t="s">
        <v>14</v>
      </c>
      <c r="C7" s="37" t="s">
        <v>0</v>
      </c>
    </row>
    <row r="8" spans="1:3" s="16" customFormat="1">
      <c r="A8" s="35"/>
      <c r="B8" s="36"/>
      <c r="C8" s="38"/>
    </row>
    <row r="9" spans="1:3">
      <c r="A9" s="17"/>
      <c r="B9" s="25" t="s">
        <v>27</v>
      </c>
      <c r="C9" s="19"/>
    </row>
    <row r="10" spans="1:3">
      <c r="A10" s="17">
        <v>1</v>
      </c>
      <c r="B10" s="18" t="s">
        <v>28</v>
      </c>
      <c r="C10" s="19"/>
    </row>
    <row r="11" spans="1:3">
      <c r="A11" s="20">
        <f>A10+1</f>
        <v>2</v>
      </c>
      <c r="B11" s="21" t="s">
        <v>29</v>
      </c>
      <c r="C11" s="22"/>
    </row>
    <row r="12" spans="1:3">
      <c r="A12" s="20">
        <f t="shared" ref="A12:A32" si="0">A11+1</f>
        <v>3</v>
      </c>
      <c r="B12" s="21" t="s">
        <v>30</v>
      </c>
      <c r="C12" s="22"/>
    </row>
    <row r="13" spans="1:3">
      <c r="A13" s="20">
        <f t="shared" si="0"/>
        <v>4</v>
      </c>
      <c r="B13" s="21" t="s">
        <v>31</v>
      </c>
      <c r="C13" s="22"/>
    </row>
    <row r="14" spans="1:3">
      <c r="A14" s="20">
        <f t="shared" si="0"/>
        <v>5</v>
      </c>
      <c r="B14" s="21" t="s">
        <v>32</v>
      </c>
      <c r="C14" s="22"/>
    </row>
    <row r="15" spans="1:3">
      <c r="A15" s="20">
        <f t="shared" si="0"/>
        <v>6</v>
      </c>
      <c r="B15" s="21" t="s">
        <v>33</v>
      </c>
      <c r="C15" s="22"/>
    </row>
    <row r="16" spans="1:3">
      <c r="A16" s="20">
        <f t="shared" si="0"/>
        <v>7</v>
      </c>
      <c r="B16" s="21" t="s">
        <v>34</v>
      </c>
      <c r="C16" s="22"/>
    </row>
    <row r="17" spans="1:3">
      <c r="A17" s="20">
        <f t="shared" si="0"/>
        <v>8</v>
      </c>
      <c r="B17" s="21" t="s">
        <v>35</v>
      </c>
      <c r="C17" s="22"/>
    </row>
    <row r="18" spans="1:3">
      <c r="A18" s="20">
        <f t="shared" si="0"/>
        <v>9</v>
      </c>
      <c r="B18" s="21" t="s">
        <v>36</v>
      </c>
      <c r="C18" s="22"/>
    </row>
    <row r="19" spans="1:3">
      <c r="A19" s="20">
        <f t="shared" si="0"/>
        <v>10</v>
      </c>
      <c r="B19" s="21" t="s">
        <v>37</v>
      </c>
      <c r="C19" s="22"/>
    </row>
    <row r="20" spans="1:3">
      <c r="A20" s="20">
        <f t="shared" si="0"/>
        <v>11</v>
      </c>
      <c r="B20" s="21" t="s">
        <v>38</v>
      </c>
      <c r="C20" s="22"/>
    </row>
    <row r="21" spans="1:3">
      <c r="A21" s="20">
        <f t="shared" si="0"/>
        <v>12</v>
      </c>
      <c r="B21" s="21" t="s">
        <v>39</v>
      </c>
      <c r="C21" s="22"/>
    </row>
    <row r="22" spans="1:3">
      <c r="A22" s="20">
        <f t="shared" si="0"/>
        <v>13</v>
      </c>
      <c r="B22" s="21" t="s">
        <v>40</v>
      </c>
      <c r="C22" s="22"/>
    </row>
    <row r="23" spans="1:3">
      <c r="A23" s="20">
        <f t="shared" si="0"/>
        <v>14</v>
      </c>
      <c r="B23" s="21" t="s">
        <v>41</v>
      </c>
      <c r="C23" s="22"/>
    </row>
    <row r="24" spans="1:3">
      <c r="A24" s="20">
        <f t="shared" si="0"/>
        <v>15</v>
      </c>
      <c r="B24" s="21" t="s">
        <v>42</v>
      </c>
      <c r="C24" s="22"/>
    </row>
    <row r="25" spans="1:3">
      <c r="A25" s="20">
        <f t="shared" si="0"/>
        <v>16</v>
      </c>
      <c r="B25" s="21" t="s">
        <v>60</v>
      </c>
      <c r="C25" s="22"/>
    </row>
    <row r="26" spans="1:3">
      <c r="A26" s="20">
        <f t="shared" si="0"/>
        <v>17</v>
      </c>
      <c r="B26" s="21" t="s">
        <v>43</v>
      </c>
      <c r="C26" s="22"/>
    </row>
    <row r="27" spans="1:3">
      <c r="A27" s="20">
        <f t="shared" si="0"/>
        <v>18</v>
      </c>
      <c r="B27" s="21" t="s">
        <v>44</v>
      </c>
      <c r="C27" s="22"/>
    </row>
    <row r="28" spans="1:3">
      <c r="A28" s="20">
        <f t="shared" si="0"/>
        <v>19</v>
      </c>
      <c r="B28" s="21" t="s">
        <v>45</v>
      </c>
      <c r="C28" s="22"/>
    </row>
    <row r="29" spans="1:3">
      <c r="A29" s="20">
        <f t="shared" si="0"/>
        <v>20</v>
      </c>
      <c r="B29" s="21" t="s">
        <v>46</v>
      </c>
      <c r="C29" s="22"/>
    </row>
    <row r="30" spans="1:3">
      <c r="A30" s="20">
        <f t="shared" si="0"/>
        <v>21</v>
      </c>
      <c r="B30" s="21" t="s">
        <v>47</v>
      </c>
      <c r="C30" s="22"/>
    </row>
    <row r="31" spans="1:3">
      <c r="A31" s="20">
        <f t="shared" si="0"/>
        <v>22</v>
      </c>
      <c r="B31" s="21" t="s">
        <v>48</v>
      </c>
      <c r="C31" s="22"/>
    </row>
    <row r="32" spans="1:3">
      <c r="A32" s="20">
        <f t="shared" si="0"/>
        <v>23</v>
      </c>
      <c r="B32" s="21" t="s">
        <v>49</v>
      </c>
      <c r="C32" s="22"/>
    </row>
    <row r="33" spans="1:3">
      <c r="A33" s="20">
        <f>A32+1</f>
        <v>24</v>
      </c>
      <c r="B33" s="21" t="s">
        <v>50</v>
      </c>
      <c r="C33" s="22"/>
    </row>
    <row r="34" spans="1:3" s="16" customFormat="1">
      <c r="A34" s="26"/>
      <c r="B34" s="31" t="s">
        <v>6</v>
      </c>
      <c r="C34" s="27">
        <f>SUM(C10:C33)</f>
        <v>0</v>
      </c>
    </row>
  </sheetData>
  <mergeCells count="4">
    <mergeCell ref="A3:B3"/>
    <mergeCell ref="A7:A8"/>
    <mergeCell ref="B7:B8"/>
    <mergeCell ref="C7:C8"/>
  </mergeCells>
  <pageMargins left="0.7" right="0.7" top="0.75" bottom="0.75" header="0.3" footer="0.3"/>
  <pageSetup scale="7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dfb0090-8606-4b89-a68a-b73ca1d6b587">
      <UserInfo>
        <DisplayName/>
        <AccountId xsi:nil="true"/>
        <AccountType/>
      </UserInfo>
    </SharedWithUsers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Props1.xml><?xml version="1.0" encoding="utf-8"?>
<ds:datastoreItem xmlns:ds="http://schemas.openxmlformats.org/officeDocument/2006/customXml" ds:itemID="{6B711071-245E-4846-8A81-18348394C459}"/>
</file>

<file path=customXml/itemProps2.xml><?xml version="1.0" encoding="utf-8"?>
<ds:datastoreItem xmlns:ds="http://schemas.openxmlformats.org/officeDocument/2006/customXml" ds:itemID="{6D0608BE-7B6D-47F1-9600-20AEAF441D07}"/>
</file>

<file path=customXml/itemProps3.xml><?xml version="1.0" encoding="utf-8"?>
<ds:datastoreItem xmlns:ds="http://schemas.openxmlformats.org/officeDocument/2006/customXml" ds:itemID="{F0739506-5AC8-48A1-9179-30DF139E51F4}"/>
</file>

<file path=docMetadata/LabelInfo.xml><?xml version="1.0" encoding="utf-8"?>
<clbl:labelList xmlns:clbl="http://schemas.microsoft.com/office/2020/mipLabelMetadata">
  <clbl:label id="{590540ad-24f6-4603-bebb-fc2239ec787a}" enabled="1" method="Privileged" siteId="{fdade0c4-3fea-4320-ae53-1a1742aeff1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Summary</vt:lpstr>
      <vt:lpstr>B92</vt:lpstr>
      <vt:lpstr>B21A</vt:lpstr>
      <vt:lpstr>B33</vt:lpstr>
      <vt:lpstr>B19</vt:lpstr>
      <vt:lpstr>B34</vt:lpstr>
      <vt:lpstr>B36</vt:lpstr>
      <vt:lpstr>B76</vt:lpstr>
      <vt:lpstr>B32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 Du Bois</dc:creator>
  <cp:lastModifiedBy>Maddie Crigan</cp:lastModifiedBy>
  <cp:lastPrinted>2026-02-14T01:53:58Z</cp:lastPrinted>
  <dcterms:created xsi:type="dcterms:W3CDTF">2011-08-12T01:37:36Z</dcterms:created>
  <dcterms:modified xsi:type="dcterms:W3CDTF">2026-03-04T23:19:00Z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40107200</vt:r8>
  </property>
  <property fmtid="{D5CDD505-2E9C-101B-9397-08002B2CF9AE}" pid="3" name="ContentTypeId">
    <vt:lpwstr>0x0101009CD3EBEF7E0ECE45AC780B83940604DE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